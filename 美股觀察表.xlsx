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<sst xmlns="http://schemas.openxmlformats.org/spreadsheetml/2006/main" count="1414" uniqueCount="483">
  <si>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</si>
  <si>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</si>
  <si>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</si>
  <si>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</si>
  <si>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</si>
  <si>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</si>
  <si>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</si>
  <si>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</si>
  <si>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</si>
  <si>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</si>
  <si>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</si>
  <si>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</si>
  <si>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</si>
  <si>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</si>
  <si>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</si>
  <si>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</si>
  <si>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</si>
  <si>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</si>
  <si>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</si>
  <si>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</si>
  <si>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</si>
  <si>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</si>
  <si>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</si>
  <si>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</si>
  <si>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</si>
  <si>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</si>
  <si>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</si>
  <si>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</si>
  <si>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</si>
  <si>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</si>
  <si>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</si>
  <si>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</si>
  <si>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</si>
  <si>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</si>
  <si>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</si>
  <si>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</si>
  <si>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</si>
  <si>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</si>
  <si>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</si>
  <si>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</si>
  <si>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</si>
  <si>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</si>
  <si>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</si>
  <si>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</si>
  <si>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</si>
  <si>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</si>
  <si>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</si>
  <si>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</si>
  <si>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</si>
  <si>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</si>
  <si>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</si>
  <si>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</si>
  <si>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</si>
  <si>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</si>
  <si>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</si>
  <si>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</si>
  <si>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</si>
  <si>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</si>
  <si>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</si>
  <si>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</si>
  <si>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</si>
  <si>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</si>
  <si>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</si>
  <si>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</si>
  <si>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</si>
  <si>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</si>
  <si>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</si>
  <si>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</si>
  <si>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</si>
  <si>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</si>
  <si>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</si>
  <si>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</si>
  <si>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</si>
  <si>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</si>
  <si>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</si>
  <si>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</si>
  <si>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</si>
  <si>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</si>
  <si>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</si>
  <si>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</si>
  <si>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</si>
  <si>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</si>
  <si>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</si>
  <si>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</si>
  <si>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</si>
  <si>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</si>
  <si>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</si>
  <si>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</si>
  <si>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</si>
  <si>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</si>
  <si>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</si>
  <si>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</si>
  <si>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</si>
  <si>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</si>
  <si>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</si>
  <si>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</si>
  <si>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</si>
  <si>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</si>
  <si>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</si>
  <si>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</si>
  <si>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</si>
  <si>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</si>
  <si>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</si>
  <si>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</si>
  <si>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</si>
  <si>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</si>
  <si>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</si>
  <si>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</si>
  <si>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</si>
  <si>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</si>
  <si>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</si>
  <si>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</si>
  <si>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</si>
  <si>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</si>
  <si>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</si>
  <si>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</si>
  <si>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</si>
  <si>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</si>
  <si>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</si>
  <si>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</si>
  <si>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</si>
  <si>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</si>
  <si>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</si>
  <si>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</si>
  <si>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</si>
  <si>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</si>
  <si>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</si>
  <si>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</si>
  <si>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</si>
  <si>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</si>
  <si>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</si>
  <si>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</si>
  <si>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</si>
  <si>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</si>
  <si>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</si>
  <si>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</si>
  <si>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</si>
  <si>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</si>
  <si>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</si>
  <si>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</si>
  <si>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</si>
  <si>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</si>
  <si>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</si>
  <si>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</si>
  <si>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</si>
  <si>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</si>
  <si>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</si>
  <si>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</si>
  <si>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</si>
  <si>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</si>
  <si>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</si>
  <si>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</si>
  <si>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</si>
  <si>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</si>
  <si>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</si>
  <si>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</si>
  <si>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</si>
  <si>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</si>
  <si>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</si>
  <si>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</si>
  <si>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</si>
  <si>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</si>
  <si>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</si>
  <si>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</si>
  <si>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</si>
  <si>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</si>
  <si>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</si>
  <si>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</si>
  <si>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</si>
  <si>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</si>
  <si>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</si>
  <si>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t xml:space="preserve">AAOI</t>
  </si>
  <si>
    <t xml:space="preserve">未分類</t>
  </si>
  <si>
    <t xml:space="preserve">觀察</t>
  </si>
  <si>
    <t xml:space="preserve">CPO</t>
  </si>
  <si>
    <t xml:space="preserve">MRVL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</si>
  <si>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</si>
  <si>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</si>
  <si>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</si>
  <si>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</si>
  <si>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</si>
  <si>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</si>
  <si>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</si>
  <si>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</si>
  <si>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</si>
  <si>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</si>
  <si>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</si>
  <si>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</si>
  <si>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</si>
  <si>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</si>
  <si>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</si>
  <si>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</si>
  <si>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</si>
  <si>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</si>
  <si>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</si>
  <si>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</si>
  <si>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</si>
  <si>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</si>
  <si>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</si>
  <si>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</si>
  <si>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</si>
  <si>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</si>
  <si>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</si>
  <si>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</si>
  <si>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</si>
  <si>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</si>
  <si>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</si>
  <si>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</si>
  <si>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</si>
  <si>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</si>
  <si>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</si>
  <si>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</si>
  <si>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</si>
  <si>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</si>
  <si>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</si>
  <si>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</si>
  <si>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</si>
  <si>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</si>
  <si>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</si>
  <si>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</si>
  <si>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</si>
  <si>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</si>
  <si>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</si>
  <si>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</si>
  <si>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</si>
  <si>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</si>
  <si>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</si>
  <si>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</si>
  <si>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</si>
  <si>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</si>
  <si>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</si>
  <si>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</si>
  <si>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</si>
  <si>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</si>
  <si>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</si>
  <si>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</si>
  <si>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</si>
  <si>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</si>
  <si>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</si>
  <si>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</si>
  <si>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</si>
  <si>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</si>
  <si>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</si>
  <si>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</si>
  <si>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</si>
  <si>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</si>
  <si>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</si>
  <si>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</si>
  <si>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</si>
  <si>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</si>
  <si>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</si>
  <si>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</si>
  <si>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</si>
  <si>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</si>
  <si>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</si>
  <si>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</si>
  <si>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</si>
  <si>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</si>
  <si>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</si>
  <si>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</si>
  <si>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</si>
  <si>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</si>
  <si>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</si>
  <si>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</si>
  <si>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</si>
  <si>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</si>
  <si>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</si>
  <si>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</si>
  <si>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</si>
  <si>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</si>
  <si>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</si>
  <si>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</si>
  <si>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</si>
  <si>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</si>
  <si>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</si>
  <si>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</si>
  <si>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</si>
  <si>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</si>
  <si>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</si>
  <si>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</si>
  <si>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</si>
  <si>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</si>
  <si>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</si>
  <si>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</si>
  <si>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</si>
  <si>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</si>
  <si>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</si>
  <si>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</si>
  <si>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</si>
  <si>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</si>
  <si>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</si>
  <si>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</si>
  <si>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</si>
  <si>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</si>
  <si>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</si>
  <si>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</si>
  <si>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</si>
  <si>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</si>
  <si>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</si>
  <si>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</si>
  <si>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</si>
  <si>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</si>
  <si>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</si>
  <si>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</si>
  <si>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</si>
  <si>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</si>
  <si>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</si>
  <si>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</si>
  <si>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</si>
  <si>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</si>
  <si>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</si>
  <si>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</si>
  <si>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</si>
  <si>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</si>
  <si>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</si>
  <si>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</si>
  <si>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</si>
  <si>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</si>
  <si>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</si>
  <si>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</si>
  <si>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</si>
  <si>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</si>
  <si>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</si>
  <si>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</si>
  <si>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</si>
  <si>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</si>
  <si>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FY2027Q3E</t>
  </si>
  <si>
    <t xml:space="preserve">MRVL|0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</si>
  <si>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</si>
  <si>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</si>
  <si>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</si>
  <si>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</si>
  <si>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</si>
  <si>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</si>
  <si>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</si>
  <si>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</si>
  <si>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</si>
  <si>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</si>
  <si>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</si>
  <si>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</si>
  <si>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</si>
  <si>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</si>
  <si>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</si>
  <si>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</si>
  <si>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</si>
  <si>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</si>
  <si>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</si>
  <si>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</si>
  <si>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</si>
  <si>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</si>
  <si>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</si>
  <si>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</si>
  <si>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</si>
  <si>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</si>
  <si>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</si>
  <si>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FY2027Q1E</t>
  </si>
  <si>
    <t xml:space="preserve">MSFT|0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</si>
  <si>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</si>
  <si>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</si>
  <si>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</si>
  <si>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</si>
  <si>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</si>
  <si>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</si>
  <si>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</si>
  <si>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</si>
  <si>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</si>
  <si>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</si>
  <si>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</si>
  <si>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</si>
  <si>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</si>
  <si>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</si>
  <si>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</si>
  <si>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</si>
  <si>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</si>
  <si>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</si>
  <si>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</si>
  <si>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</si>
  <si>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</si>
  <si>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</si>
  <si>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</si>
  <si>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</si>
  <si>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NVDA|0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</si>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</sst>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5CC98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33.7584462920518</v>
      </c>
      <c r="G3" s="17" t="n">
        <f aca="false">IF(Calc!$A$2="","",Calc!N$2)</f>
        <v>1.1343105700803</v>
      </c>
      <c r="H3" s="17" t="n">
        <f aca="false">IF(Calc!$A$2="","",Calc!O$2)</f>
        <v>4.13890161613072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25.1835242492351</v>
      </c>
      <c r="G4" s="17" t="n">
        <f aca="false">IF(Calc!$A$3="","",Calc!N$3)</f>
        <v>1.11361505386545</v>
      </c>
      <c r="H4" s="17" t="n">
        <f aca="false">IF(Calc!$A$3="","",Calc!O$3)</f>
        <v>1.302154497664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17.0399169930933</v>
      </c>
      <c r="G5" s="17" t="n">
        <f aca="false">IF(Calc!$A$4="","",Calc!N$4)</f>
        <v>0.320237346591518</v>
      </c>
      <c r="H5" s="17" t="n">
        <f aca="false">IF(Calc!$A$4="","",Calc!O$4)</f>
        <v>0.263022951969695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41.6512366526004</v>
      </c>
      <c r="G6" s="17" t="n">
        <f aca="false">IF(Calc!$A$5="","",Calc!N$5)</f>
        <v>3.48035278356282</v>
      </c>
      <c r="H6" s="17" t="n">
        <f aca="false">IF(Calc!$A$5="","",Calc!O$5)</f>
        <v>4.05491481722672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10.9124512433467</v>
      </c>
      <c r="G7" s="17" t="n">
        <f aca="false">IF(Calc!$A$6="","",Calc!N$6)</f>
        <v>0.774847036674081</v>
      </c>
      <c r="H7" s="17" t="n">
        <f aca="false">IF(Calc!$A$6="","",Calc!O$6)</f>
        <v>0.865332418145239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n">
        <f aca="false">IF(Calc!$A$7="","",Calc!B$7)</f>
        <v>0</v>
      </c>
      <c r="C8" s="16" t="str">
        <f aca="false">IF(Calc!$A$7="","",Calc!C$7)</f>
        <v>觀察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32.3838419887021</v>
      </c>
      <c r="G8" s="17" t="str">
        <f aca="false">IF(Calc!$A$7="","",Calc!N$7)</f>
        <v>N/M</v>
      </c>
      <c r="H8" s="17" t="n">
        <f aca="false">IF(Calc!$A$7="","",Calc!O$7)</f>
        <v>0.0561474057937721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n">
        <f aca="false">IF(Calc!$A$8="","",Calc!B$8)</f>
        <v>0</v>
      </c>
      <c r="C9" s="16" t="str">
        <f aca="false">IF(Calc!$A$8="","",Calc!C$8)</f>
        <v>池子</v>
      </c>
      <c r="D9" s="17" t="n">
        <f aca="false">IF(Calc!$A$8="","",Calc!D$8)</f>
        <v>216.619995117188</v>
      </c>
      <c r="E9" s="18" t="n">
        <f aca="false">IF(Calc!$A$8="","",Calc!J$8)</f>
        <v>65.6424227627841</v>
      </c>
      <c r="F9" s="18" t="n">
        <f aca="false">IF(Calc!$A$8="","",Calc!L$8)</f>
        <v>38.5897864689975</v>
      </c>
      <c r="G9" s="17" t="n">
        <f aca="false">IF(Calc!$A$8="","",Calc!N$8)</f>
        <v>1.55398388581285</v>
      </c>
      <c r="H9" s="17" t="n">
        <f aca="false">IF(Calc!$A$8="","",Calc!O$8)</f>
        <v>0.663441797289183</v>
      </c>
      <c r="I9" s="19" t="n">
        <f aca="false">IF(Calc!$A$8="","",Calc!Q$8)</f>
        <v>0.00110793096394525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1">
      <formula>"N/M"</formula>
    </cfRule>
  </conditionalFormatting>
  <conditionalFormatting sqref="G3:G22">
    <cfRule type="cellIs" priority="11" operator="lessThan" aboveAverage="0" equalAverage="0" bottom="0" percent="0" rank="0" text="" dxfId="42">
      <formula>1.5</formula>
    </cfRule>
  </conditionalFormatting>
  <conditionalFormatting sqref="H3:H22">
    <cfRule type="cellIs" priority="12" operator="lessThan" aboveAverage="0" equalAverage="0" bottom="0" percent="0" rank="0" text="" dxfId="42">
      <formula>1.5</formula>
    </cfRule>
  </conditionalFormatting>
  <conditionalFormatting sqref="N3:N22">
    <cfRule type="cellIs" priority="13" operator="equal" aboveAverage="0" equalAverage="0" bottom="0" percent="0" rank="0" text="" dxfId="42">
      <formula>"成長且加速"</formula>
    </cfRule>
    <cfRule type="cellIs" priority="14" operator="equal" aboveAverage="0" equalAverage="0" bottom="0" percent="0" rank="0" text="" dxfId="43">
      <formula>"成長但減速"</formula>
    </cfRule>
    <cfRule type="cellIs" priority="15" operator="equal" aboveAverage="0" equalAverage="0" bottom="0" percent="0" rank="0" text="" dxfId="43">
      <formula>"衰退但收斂"</formula>
    </cfRule>
    <cfRule type="cellIs" priority="16" operator="equal" aboveAverage="0" equalAverage="0" bottom="0" percent="0" rank="0" text="" dxfId="44">
      <formula>"衰退且惡化"</formula>
    </cfRule>
  </conditionalFormatting>
  <conditionalFormatting sqref="A3:AC22">
    <cfRule type="expression" priority="17" aboveAverage="0" equalAverage="0" bottom="0" percent="0" rank="0" text="" dxfId="4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33.7584462920518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4.13890161613072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9.47022293150685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9.47022293150685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33.7584462920518</v>
      </c>
      <c r="N13" s="57" t="n">
        <f aca="false">IF(Stock_Card!$B$2="","",IFERROR(INDEX(Calc!$O$2:$O$100,MATCH(Stock_Card!$B$2,Calc!$A$2:$A$100,0)),""))</f>
        <v>4.13890161613072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{C614B4B7-DAE0-44BE-8CA0-F34710BBBB4F}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2">
      <formula>"成長且加速"</formula>
    </cfRule>
    <cfRule type="cellIs" priority="5" operator="equal" aboveAverage="0" equalAverage="0" bottom="0" percent="0" rank="0" text="" dxfId="43">
      <formula>"成長但減速"</formula>
    </cfRule>
    <cfRule type="cellIs" priority="6" operator="equal" aboveAverage="0" equalAverage="0" bottom="0" percent="0" rank="0" text="" dxfId="43">
      <formula>"衰退但收斂"</formula>
    </cfRule>
    <cfRule type="cellIs" priority="7" operator="equal" aboveAverage="0" equalAverage="0" bottom="0" percent="0" rank="0" text="" dxfId="4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6">
      <formula>$O5="預估"</formula>
    </cfRule>
  </conditionalFormatting>
  <conditionalFormatting sqref="B24:B28">
    <cfRule type="expression" priority="12" aboveAverage="0" equalAverage="0" bottom="0" percent="0" rank="0" text="" dxfId="4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4B4B7-DAE0-44BE-8CA0-F34710BBBB4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60</v>
      </c>
      <c r="I4" s="67" t="n">
        <f aca="false">IF($A4="","",IFERROR(INDEX(Raw_Price!$E$2:$E$100,MATCH($A4,Raw_Price!$A$2:$A$100,0)),""))</f>
        <v>46264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59</v>
      </c>
      <c r="I5" s="67" t="n">
        <f aca="false">IF($A5="","",IFERROR(INDEX(Raw_Price!$E$2:$E$100,MATCH($A5,Raw_Price!$A$2:$A$100,0)),""))</f>
        <v>46264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79</v>
      </c>
      <c r="I6" s="67" t="n">
        <f aca="false">IF($A6="","",IFERROR(INDEX(Raw_Price!$E$2:$E$100,MATCH($A6,Raw_Price!$A$2:$A$100,0)),""))</f>
        <v>46264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25</v>
      </c>
      <c r="I7" s="67" t="n">
        <f aca="false">IF($A7="","",IFERROR(INDEX(Raw_Price!$E$2:$E$100,MATCH($A7,Raw_Price!$A$2:$A$100,0)),""))</f>
        <v>46264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11</v>
      </c>
      <c r="I8" s="67" t="n">
        <f aca="false">IF($A8="","",IFERROR(INDEX(Raw_Price!$E$2:$E$100,MATCH($A8,Raw_Price!$A$2:$A$100,0)),""))</f>
        <v>46264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67</v>
      </c>
      <c r="I9" s="67" t="n">
        <f aca="false">IF($A9="","",IFERROR(INDEX(Raw_Price!$E$2:$E$100,MATCH($A9,Raw_Price!$A$2:$A$100,0)),""))</f>
        <v>46264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-3</v>
      </c>
      <c r="I10" s="67" t="n">
        <f aca="false">IF($A10="","",IFERROR(INDEX(Raw_Price!$E$2:$E$100,MATCH($A10,Raw_Price!$A$2:$A$100,0)),""))</f>
        <v>46264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7">
      <formula>"OK"</formula>
    </cfRule>
    <cfRule type="cellIs" priority="3" operator="equal" aboveAverage="0" equalAverage="0" bottom="0" percent="0" rank="0" text="" dxfId="48">
      <formula>"待更新財報"</formula>
    </cfRule>
    <cfRule type="expression" priority="4" aboveAverage="0" equalAverage="0" bottom="0" percent="0" rank="0" text="" dxfId="4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3"/>
      <c r="F2" s="74"/>
      <c r="G2" s="73"/>
    </row>
    <row r="3" customFormat="false" ht="15" hidden="false" customHeight="false" outlineLevel="0" collapsed="false">
      <c r="A3" s="73" t="s">
        <v>167</v>
      </c>
      <c r="B3" s="73"/>
      <c r="C3" s="73"/>
      <c r="D3" s="73"/>
      <c r="E3" s="73"/>
      <c r="F3" s="74"/>
      <c r="G3" s="73"/>
    </row>
    <row r="4" customFormat="false" ht="15" hidden="false" customHeight="false" outlineLevel="0" collapsed="false">
      <c r="A4" s="73" t="s">
        <v>168</v>
      </c>
      <c r="B4" s="73"/>
      <c r="C4" s="73"/>
      <c r="D4" s="73"/>
      <c r="E4" s="73"/>
      <c r="F4" s="74"/>
      <c r="G4" s="73"/>
    </row>
    <row r="5" customFormat="false" ht="15" hidden="false" customHeight="false" outlineLevel="0" collapsed="false">
      <c r="A5" s="73" t="s">
        <v>169</v>
      </c>
      <c r="B5" s="73"/>
      <c r="C5" s="73"/>
      <c r="D5" s="73"/>
      <c r="E5" s="73"/>
      <c r="F5" s="74"/>
      <c r="G5" s="73"/>
    </row>
    <row r="6" customFormat="false" ht="15" hidden="false" customHeight="false" outlineLevel="0" collapsed="false">
      <c r="A6" s="73" t="s">
        <v>170</v>
      </c>
      <c r="B6" s="73"/>
      <c r="C6" s="73"/>
      <c r="D6" s="73"/>
      <c r="E6" s="73"/>
      <c r="F6" s="74"/>
      <c r="G6" s="73"/>
    </row>
    <row r="7" customFormat="false" ht="15" hidden="false" customHeight="false" outlineLevel="0" collapsed="false">
      <c r="A7" s="73" t="s">
        <v>171</v>
      </c>
      <c r="B7" s="73"/>
      <c r="C7" s="75" t="s">
        <v>172</v>
      </c>
      <c r="D7" s="75" t="s">
        <v>173</v>
      </c>
      <c r="E7" s="73" t="s">
        <v>174</v>
      </c>
      <c r="F7" s="74" t="n">
        <v>46263</v>
      </c>
      <c r="G7" s="73"/>
    </row>
    <row r="8" customFormat="false" ht="15" hidden="false" customHeight="false" outlineLevel="0" collapsed="false">
      <c r="A8" s="73" t="s">
        <v>175</v>
      </c>
      <c r="B8" s="73"/>
      <c r="C8" s="75" t="s">
        <v>172</v>
      </c>
      <c r="D8" s="75" t="s">
        <v>176</v>
      </c>
      <c r="E8" s="73"/>
      <c r="F8" s="74" t="n">
        <v>46264</v>
      </c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4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4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4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4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4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4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4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4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4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4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4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4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4"/>
      <c r="G21" s="73"/>
    </row>
    <row r="24" customFormat="false" ht="15" hidden="false" customHeight="false" outlineLevel="0" collapsed="false">
      <c r="A24" s="24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178</v>
      </c>
      <c r="C1" s="14" t="s">
        <v>179</v>
      </c>
      <c r="D1" s="14" t="s">
        <v>180</v>
      </c>
      <c r="E1" s="14" t="s">
        <v>181</v>
      </c>
      <c r="F1" s="14" t="s">
        <v>182</v>
      </c>
      <c r="G1" s="14" t="s">
        <v>183</v>
      </c>
      <c r="H1" s="14" t="s">
        <v>184</v>
      </c>
      <c r="I1" s="14" t="s">
        <v>185</v>
      </c>
      <c r="J1" s="14" t="s">
        <v>186</v>
      </c>
      <c r="K1" s="14" t="s">
        <v>187</v>
      </c>
      <c r="L1" s="14" t="s">
        <v>188</v>
      </c>
      <c r="M1" s="14" t="s">
        <v>189</v>
      </c>
      <c r="N1" s="14" t="s">
        <v>190</v>
      </c>
      <c r="O1" s="14" t="s">
        <v>191</v>
      </c>
      <c r="P1" s="14" t="s">
        <v>192</v>
      </c>
      <c r="Q1" s="14" t="s">
        <v>193</v>
      </c>
    </row>
    <row r="2" customFormat="false" ht="15" hidden="false" customHeight="false" outlineLevel="0" collapsed="false">
      <c r="A2" s="76" t="s">
        <v>171</v>
      </c>
      <c r="B2" s="76" t="s">
        <v>194</v>
      </c>
      <c r="C2" s="77" t="n">
        <v>2026</v>
      </c>
      <c r="D2" s="77" t="n">
        <v>3</v>
      </c>
      <c r="E2" s="78" t="n">
        <v>46294</v>
      </c>
      <c r="F2" s="76" t="s">
        <v>195</v>
      </c>
      <c r="G2" s="76" t="s">
        <v>196</v>
      </c>
      <c r="H2" s="76" t="s">
        <v>197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198</v>
      </c>
    </row>
    <row r="3" customFormat="false" ht="15" hidden="false" customHeight="false" outlineLevel="0" collapsed="false">
      <c r="A3" s="76" t="s">
        <v>171</v>
      </c>
      <c r="B3" s="76" t="s">
        <v>199</v>
      </c>
      <c r="C3" s="77" t="n">
        <v>2026</v>
      </c>
      <c r="D3" s="77" t="n">
        <v>2</v>
      </c>
      <c r="E3" s="78" t="n">
        <v>46203</v>
      </c>
      <c r="F3" s="76" t="s">
        <v>200</v>
      </c>
      <c r="G3" s="76" t="s">
        <v>201</v>
      </c>
      <c r="H3" s="76" t="s">
        <v>197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202</v>
      </c>
    </row>
    <row r="4" customFormat="false" ht="15" hidden="false" customHeight="false" outlineLevel="0" collapsed="false">
      <c r="A4" s="76" t="s">
        <v>171</v>
      </c>
      <c r="B4" s="76" t="s">
        <v>203</v>
      </c>
      <c r="C4" s="77" t="n">
        <v>2026</v>
      </c>
      <c r="D4" s="77" t="n">
        <v>1</v>
      </c>
      <c r="E4" s="78" t="n">
        <v>46112</v>
      </c>
      <c r="F4" s="76" t="s">
        <v>200</v>
      </c>
      <c r="G4" s="76" t="s">
        <v>201</v>
      </c>
      <c r="H4" s="76" t="s">
        <v>197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204</v>
      </c>
    </row>
    <row r="5" customFormat="false" ht="15" hidden="false" customHeight="false" outlineLevel="0" collapsed="false">
      <c r="A5" s="76" t="s">
        <v>171</v>
      </c>
      <c r="B5" s="76" t="s">
        <v>205</v>
      </c>
      <c r="C5" s="77" t="n">
        <v>2025</v>
      </c>
      <c r="D5" s="77" t="n">
        <v>4</v>
      </c>
      <c r="E5" s="78" t="n">
        <v>46022</v>
      </c>
      <c r="F5" s="76" t="s">
        <v>200</v>
      </c>
      <c r="G5" s="76" t="s">
        <v>201</v>
      </c>
      <c r="H5" s="76" t="s">
        <v>197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206</v>
      </c>
    </row>
    <row r="6" customFormat="false" ht="15" hidden="false" customHeight="false" outlineLevel="0" collapsed="false">
      <c r="A6" s="76" t="s">
        <v>171</v>
      </c>
      <c r="B6" s="76" t="s">
        <v>207</v>
      </c>
      <c r="C6" s="77" t="n">
        <v>2025</v>
      </c>
      <c r="D6" s="77" t="n">
        <v>3</v>
      </c>
      <c r="E6" s="78" t="n">
        <v>45930</v>
      </c>
      <c r="F6" s="76" t="s">
        <v>200</v>
      </c>
      <c r="G6" s="76" t="s">
        <v>201</v>
      </c>
      <c r="H6" s="76" t="s">
        <v>197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208</v>
      </c>
    </row>
    <row r="7" customFormat="false" ht="15" hidden="false" customHeight="false" outlineLevel="0" collapsed="false">
      <c r="A7" s="76" t="s">
        <v>171</v>
      </c>
      <c r="B7" s="76" t="s">
        <v>209</v>
      </c>
      <c r="C7" s="77" t="n">
        <v>2025</v>
      </c>
      <c r="D7" s="77" t="n">
        <v>2</v>
      </c>
      <c r="E7" s="78" t="n">
        <v>45838</v>
      </c>
      <c r="F7" s="76" t="s">
        <v>200</v>
      </c>
      <c r="G7" s="76" t="s">
        <v>201</v>
      </c>
      <c r="H7" s="76" t="s">
        <v>197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210</v>
      </c>
    </row>
    <row r="8" customFormat="false" ht="15" hidden="false" customHeight="false" outlineLevel="0" collapsed="false">
      <c r="A8" s="76" t="s">
        <v>171</v>
      </c>
      <c r="B8" s="76" t="s">
        <v>211</v>
      </c>
      <c r="C8" s="77" t="n">
        <v>2025</v>
      </c>
      <c r="D8" s="77" t="n">
        <v>1</v>
      </c>
      <c r="E8" s="78" t="n">
        <v>45747</v>
      </c>
      <c r="F8" s="76" t="s">
        <v>200</v>
      </c>
      <c r="G8" s="76" t="s">
        <v>201</v>
      </c>
      <c r="H8" s="76" t="s">
        <v>197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212</v>
      </c>
    </row>
    <row r="9" customFormat="false" ht="15" hidden="false" customHeight="false" outlineLevel="0" collapsed="false">
      <c r="A9" s="76" t="s">
        <v>171</v>
      </c>
      <c r="B9" s="76" t="s">
        <v>213</v>
      </c>
      <c r="C9" s="77" t="n">
        <v>2024</v>
      </c>
      <c r="D9" s="77" t="n">
        <v>4</v>
      </c>
      <c r="E9" s="78" t="n">
        <v>45657</v>
      </c>
      <c r="F9" s="76" t="s">
        <v>200</v>
      </c>
      <c r="G9" s="76" t="s">
        <v>201</v>
      </c>
      <c r="H9" s="76" t="s">
        <v>197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214</v>
      </c>
    </row>
    <row r="10" customFormat="false" ht="15" hidden="false" customHeight="false" outlineLevel="0" collapsed="false">
      <c r="A10" s="76" t="s">
        <v>171</v>
      </c>
      <c r="B10" s="76" t="s">
        <v>215</v>
      </c>
      <c r="C10" s="77" t="n">
        <v>2024</v>
      </c>
      <c r="D10" s="77" t="n">
        <v>3</v>
      </c>
      <c r="E10" s="78" t="n">
        <v>45565</v>
      </c>
      <c r="F10" s="76" t="s">
        <v>200</v>
      </c>
      <c r="G10" s="76" t="s">
        <v>201</v>
      </c>
      <c r="H10" s="76" t="s">
        <v>197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216</v>
      </c>
    </row>
    <row r="11" customFormat="false" ht="15" hidden="false" customHeight="false" outlineLevel="0" collapsed="false">
      <c r="A11" s="76" t="s">
        <v>171</v>
      </c>
      <c r="B11" s="76" t="s">
        <v>217</v>
      </c>
      <c r="C11" s="77" t="n">
        <v>2024</v>
      </c>
      <c r="D11" s="77" t="n">
        <v>2</v>
      </c>
      <c r="E11" s="78" t="n">
        <v>45473</v>
      </c>
      <c r="F11" s="76" t="s">
        <v>200</v>
      </c>
      <c r="G11" s="76" t="s">
        <v>201</v>
      </c>
      <c r="H11" s="76" t="s">
        <v>197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218</v>
      </c>
    </row>
    <row r="12" customFormat="false" ht="15" hidden="false" customHeight="false" outlineLevel="0" collapsed="false">
      <c r="A12" s="76" t="s">
        <v>171</v>
      </c>
      <c r="B12" s="76" t="s">
        <v>219</v>
      </c>
      <c r="C12" s="77" t="n">
        <v>2024</v>
      </c>
      <c r="D12" s="77" t="n">
        <v>1</v>
      </c>
      <c r="E12" s="78" t="n">
        <v>45382</v>
      </c>
      <c r="F12" s="76" t="s">
        <v>200</v>
      </c>
      <c r="G12" s="76" t="s">
        <v>201</v>
      </c>
      <c r="H12" s="76" t="s">
        <v>197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220</v>
      </c>
    </row>
    <row r="13" customFormat="false" ht="15" hidden="false" customHeight="false" outlineLevel="0" collapsed="false">
      <c r="A13" s="76" t="s">
        <v>171</v>
      </c>
      <c r="B13" s="76" t="s">
        <v>221</v>
      </c>
      <c r="C13" s="77" t="n">
        <v>2023</v>
      </c>
      <c r="D13" s="77" t="n">
        <v>4</v>
      </c>
      <c r="E13" s="78" t="n">
        <v>45291</v>
      </c>
      <c r="F13" s="76" t="s">
        <v>200</v>
      </c>
      <c r="G13" s="76" t="s">
        <v>201</v>
      </c>
      <c r="H13" s="76" t="s">
        <v>197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222</v>
      </c>
    </row>
    <row r="14" customFormat="false" ht="15" hidden="false" customHeight="false" outlineLevel="0" collapsed="false">
      <c r="A14" s="76" t="s">
        <v>171</v>
      </c>
      <c r="B14" s="76" t="s">
        <v>223</v>
      </c>
      <c r="C14" s="77" t="n">
        <v>2023</v>
      </c>
      <c r="D14" s="77" t="n">
        <v>3</v>
      </c>
      <c r="E14" s="78" t="n">
        <v>45199</v>
      </c>
      <c r="F14" s="76" t="s">
        <v>200</v>
      </c>
      <c r="G14" s="76" t="s">
        <v>201</v>
      </c>
      <c r="H14" s="76" t="s">
        <v>197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224</v>
      </c>
    </row>
    <row r="15" customFormat="false" ht="15" hidden="false" customHeight="false" outlineLevel="0" collapsed="false">
      <c r="A15" s="76" t="s">
        <v>171</v>
      </c>
      <c r="B15" s="76" t="s">
        <v>225</v>
      </c>
      <c r="C15" s="77" t="n">
        <v>2023</v>
      </c>
      <c r="D15" s="77" t="n">
        <v>2</v>
      </c>
      <c r="E15" s="78" t="n">
        <v>45107</v>
      </c>
      <c r="F15" s="76" t="s">
        <v>200</v>
      </c>
      <c r="G15" s="76" t="s">
        <v>201</v>
      </c>
      <c r="H15" s="76" t="s">
        <v>197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226</v>
      </c>
    </row>
    <row r="16" customFormat="false" ht="15" hidden="false" customHeight="false" outlineLevel="0" collapsed="false">
      <c r="A16" s="76" t="s">
        <v>171</v>
      </c>
      <c r="B16" s="76" t="s">
        <v>227</v>
      </c>
      <c r="C16" s="77" t="n">
        <v>2023</v>
      </c>
      <c r="D16" s="77" t="n">
        <v>1</v>
      </c>
      <c r="E16" s="78" t="n">
        <v>45016</v>
      </c>
      <c r="F16" s="76" t="s">
        <v>200</v>
      </c>
      <c r="G16" s="76" t="s">
        <v>201</v>
      </c>
      <c r="H16" s="76" t="s">
        <v>197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228</v>
      </c>
    </row>
    <row r="17" customFormat="false" ht="15" hidden="false" customHeight="false" outlineLevel="0" collapsed="false">
      <c r="A17" s="76" t="s">
        <v>171</v>
      </c>
      <c r="B17" s="76" t="s">
        <v>229</v>
      </c>
      <c r="C17" s="77" t="n">
        <v>2022</v>
      </c>
      <c r="D17" s="77" t="n">
        <v>4</v>
      </c>
      <c r="E17" s="78" t="n">
        <v>44926</v>
      </c>
      <c r="F17" s="76" t="s">
        <v>200</v>
      </c>
      <c r="G17" s="76" t="s">
        <v>201</v>
      </c>
      <c r="H17" s="76" t="s">
        <v>197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230</v>
      </c>
    </row>
    <row r="18" customFormat="false" ht="15" hidden="false" customHeight="false" outlineLevel="0" collapsed="false">
      <c r="A18" s="76" t="s">
        <v>171</v>
      </c>
      <c r="B18" s="76" t="s">
        <v>231</v>
      </c>
      <c r="C18" s="77" t="n">
        <v>2022</v>
      </c>
      <c r="D18" s="77" t="n">
        <v>3</v>
      </c>
      <c r="E18" s="78" t="n">
        <v>44834</v>
      </c>
      <c r="F18" s="76" t="s">
        <v>200</v>
      </c>
      <c r="G18" s="76" t="s">
        <v>201</v>
      </c>
      <c r="H18" s="76" t="s">
        <v>197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232</v>
      </c>
    </row>
    <row r="19" customFormat="false" ht="15" hidden="false" customHeight="false" outlineLevel="0" collapsed="false">
      <c r="A19" s="76" t="s">
        <v>171</v>
      </c>
      <c r="B19" s="76" t="s">
        <v>233</v>
      </c>
      <c r="C19" s="77" t="n">
        <v>2022</v>
      </c>
      <c r="D19" s="77" t="n">
        <v>2</v>
      </c>
      <c r="E19" s="78" t="n">
        <v>44742</v>
      </c>
      <c r="F19" s="76" t="s">
        <v>200</v>
      </c>
      <c r="G19" s="76" t="s">
        <v>201</v>
      </c>
      <c r="H19" s="76" t="s">
        <v>197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234</v>
      </c>
    </row>
    <row r="20" customFormat="false" ht="15" hidden="false" customHeight="false" outlineLevel="0" collapsed="false">
      <c r="A20" s="76" t="s">
        <v>171</v>
      </c>
      <c r="B20" s="76" t="s">
        <v>235</v>
      </c>
      <c r="C20" s="77" t="n">
        <v>2022</v>
      </c>
      <c r="D20" s="77" t="n">
        <v>1</v>
      </c>
      <c r="E20" s="78" t="n">
        <v>44651</v>
      </c>
      <c r="F20" s="76" t="s">
        <v>200</v>
      </c>
      <c r="G20" s="76" t="s">
        <v>201</v>
      </c>
      <c r="H20" s="76" t="s">
        <v>197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236</v>
      </c>
    </row>
    <row r="21" customFormat="false" ht="15" hidden="false" customHeight="false" outlineLevel="0" collapsed="false">
      <c r="A21" s="76" t="s">
        <v>171</v>
      </c>
      <c r="B21" s="76" t="s">
        <v>237</v>
      </c>
      <c r="C21" s="77" t="n">
        <v>2021</v>
      </c>
      <c r="D21" s="77" t="n">
        <v>4</v>
      </c>
      <c r="E21" s="78" t="n">
        <v>44561</v>
      </c>
      <c r="F21" s="76" t="s">
        <v>200</v>
      </c>
      <c r="G21" s="76" t="s">
        <v>201</v>
      </c>
      <c r="H21" s="76" t="s">
        <v>197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238</v>
      </c>
    </row>
    <row r="22" customFormat="false" ht="15" hidden="false" customHeight="false" outlineLevel="0" collapsed="false">
      <c r="A22" s="76" t="s">
        <v>171</v>
      </c>
      <c r="B22" s="76" t="s">
        <v>239</v>
      </c>
      <c r="C22" s="77" t="n">
        <v>2021</v>
      </c>
      <c r="D22" s="77" t="n">
        <v>3</v>
      </c>
      <c r="E22" s="78" t="n">
        <v>44469</v>
      </c>
      <c r="F22" s="76" t="s">
        <v>200</v>
      </c>
      <c r="G22" s="76" t="s">
        <v>201</v>
      </c>
      <c r="H22" s="76" t="s">
        <v>197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240</v>
      </c>
    </row>
    <row r="23" customFormat="false" ht="15" hidden="false" customHeight="false" outlineLevel="0" collapsed="false">
      <c r="A23" s="76" t="s">
        <v>171</v>
      </c>
      <c r="B23" s="76" t="s">
        <v>241</v>
      </c>
      <c r="C23" s="77" t="n">
        <v>2021</v>
      </c>
      <c r="D23" s="77" t="n">
        <v>2</v>
      </c>
      <c r="E23" s="78" t="n">
        <v>44377</v>
      </c>
      <c r="F23" s="76" t="s">
        <v>200</v>
      </c>
      <c r="G23" s="76" t="s">
        <v>201</v>
      </c>
      <c r="H23" s="76" t="s">
        <v>197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242</v>
      </c>
    </row>
    <row r="24" customFormat="false" ht="15" hidden="false" customHeight="false" outlineLevel="0" collapsed="false">
      <c r="A24" s="76" t="s">
        <v>171</v>
      </c>
      <c r="B24" s="76" t="s">
        <v>243</v>
      </c>
      <c r="C24" s="77" t="n">
        <v>2021</v>
      </c>
      <c r="D24" s="77" t="n">
        <v>1</v>
      </c>
      <c r="E24" s="78" t="n">
        <v>44286</v>
      </c>
      <c r="F24" s="76" t="s">
        <v>200</v>
      </c>
      <c r="G24" s="76" t="s">
        <v>201</v>
      </c>
      <c r="H24" s="76" t="s">
        <v>197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244</v>
      </c>
    </row>
    <row r="25" customFormat="false" ht="15" hidden="false" customHeight="false" outlineLevel="0" collapsed="false">
      <c r="A25" s="76" t="s">
        <v>171</v>
      </c>
      <c r="B25" s="76" t="s">
        <v>245</v>
      </c>
      <c r="C25" s="77" t="n">
        <v>2020</v>
      </c>
      <c r="D25" s="77" t="n">
        <v>4</v>
      </c>
      <c r="E25" s="78" t="n">
        <v>44196</v>
      </c>
      <c r="F25" s="76" t="s">
        <v>200</v>
      </c>
      <c r="G25" s="76" t="s">
        <v>201</v>
      </c>
      <c r="H25" s="76" t="s">
        <v>197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246</v>
      </c>
    </row>
    <row r="26" customFormat="false" ht="15" hidden="false" customHeight="false" outlineLevel="0" collapsed="false">
      <c r="A26" s="76" t="s">
        <v>171</v>
      </c>
      <c r="B26" s="76" t="s">
        <v>247</v>
      </c>
      <c r="C26" s="77" t="n">
        <v>2020</v>
      </c>
      <c r="D26" s="77" t="n">
        <v>3</v>
      </c>
      <c r="E26" s="78" t="n">
        <v>44104</v>
      </c>
      <c r="F26" s="76" t="s">
        <v>200</v>
      </c>
      <c r="G26" s="76" t="s">
        <v>201</v>
      </c>
      <c r="H26" s="76" t="s">
        <v>197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248</v>
      </c>
    </row>
    <row r="27" customFormat="false" ht="15" hidden="false" customHeight="false" outlineLevel="0" collapsed="false">
      <c r="A27" s="76" t="s">
        <v>84</v>
      </c>
      <c r="B27" s="76" t="s">
        <v>249</v>
      </c>
      <c r="C27" s="77" t="n">
        <v>2026</v>
      </c>
      <c r="D27" s="77" t="n">
        <v>4</v>
      </c>
      <c r="E27" s="78" t="n">
        <v>46294</v>
      </c>
      <c r="F27" s="76" t="s">
        <v>195</v>
      </c>
      <c r="G27" s="76" t="s">
        <v>196</v>
      </c>
      <c r="H27" s="76" t="s">
        <v>197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250</v>
      </c>
    </row>
    <row r="28" customFormat="false" ht="15" hidden="false" customHeight="false" outlineLevel="0" collapsed="false">
      <c r="A28" s="76" t="s">
        <v>84</v>
      </c>
      <c r="B28" s="76" t="s">
        <v>251</v>
      </c>
      <c r="C28" s="77" t="n">
        <v>2026</v>
      </c>
      <c r="D28" s="77" t="n">
        <v>3</v>
      </c>
      <c r="E28" s="78" t="n">
        <v>46203</v>
      </c>
      <c r="F28" s="76" t="s">
        <v>200</v>
      </c>
      <c r="G28" s="76" t="s">
        <v>201</v>
      </c>
      <c r="H28" s="76" t="s">
        <v>197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252</v>
      </c>
    </row>
    <row r="29" customFormat="false" ht="15" hidden="false" customHeight="false" outlineLevel="0" collapsed="false">
      <c r="A29" s="76" t="s">
        <v>84</v>
      </c>
      <c r="B29" s="76" t="s">
        <v>199</v>
      </c>
      <c r="C29" s="77" t="n">
        <v>2026</v>
      </c>
      <c r="D29" s="77" t="n">
        <v>2</v>
      </c>
      <c r="E29" s="78" t="n">
        <v>46112</v>
      </c>
      <c r="F29" s="76" t="s">
        <v>200</v>
      </c>
      <c r="G29" s="76" t="s">
        <v>201</v>
      </c>
      <c r="H29" s="76" t="s">
        <v>197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253</v>
      </c>
    </row>
    <row r="30" customFormat="false" ht="15" hidden="false" customHeight="false" outlineLevel="0" collapsed="false">
      <c r="A30" s="76" t="s">
        <v>84</v>
      </c>
      <c r="B30" s="76" t="s">
        <v>203</v>
      </c>
      <c r="C30" s="77" t="n">
        <v>2026</v>
      </c>
      <c r="D30" s="77" t="n">
        <v>1</v>
      </c>
      <c r="E30" s="78" t="n">
        <v>46022</v>
      </c>
      <c r="F30" s="76" t="s">
        <v>200</v>
      </c>
      <c r="G30" s="76" t="s">
        <v>201</v>
      </c>
      <c r="H30" s="76" t="s">
        <v>197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254</v>
      </c>
    </row>
    <row r="31" customFormat="false" ht="15" hidden="false" customHeight="false" outlineLevel="0" collapsed="false">
      <c r="A31" s="76" t="s">
        <v>84</v>
      </c>
      <c r="B31" s="76" t="s">
        <v>205</v>
      </c>
      <c r="C31" s="77" t="n">
        <v>2025</v>
      </c>
      <c r="D31" s="77" t="n">
        <v>4</v>
      </c>
      <c r="E31" s="78" t="n">
        <v>45930</v>
      </c>
      <c r="F31" s="76" t="s">
        <v>200</v>
      </c>
      <c r="G31" s="76" t="s">
        <v>201</v>
      </c>
      <c r="H31" s="76" t="s">
        <v>197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255</v>
      </c>
    </row>
    <row r="32" customFormat="false" ht="15" hidden="false" customHeight="false" outlineLevel="0" collapsed="false">
      <c r="A32" s="76" t="s">
        <v>84</v>
      </c>
      <c r="B32" s="76" t="s">
        <v>207</v>
      </c>
      <c r="C32" s="77" t="n">
        <v>2025</v>
      </c>
      <c r="D32" s="77" t="n">
        <v>3</v>
      </c>
      <c r="E32" s="78" t="n">
        <v>45838</v>
      </c>
      <c r="F32" s="76" t="s">
        <v>200</v>
      </c>
      <c r="G32" s="76" t="s">
        <v>201</v>
      </c>
      <c r="H32" s="76" t="s">
        <v>197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256</v>
      </c>
    </row>
    <row r="33" customFormat="false" ht="15" hidden="false" customHeight="false" outlineLevel="0" collapsed="false">
      <c r="A33" s="76" t="s">
        <v>84</v>
      </c>
      <c r="B33" s="76" t="s">
        <v>209</v>
      </c>
      <c r="C33" s="77" t="n">
        <v>2025</v>
      </c>
      <c r="D33" s="77" t="n">
        <v>2</v>
      </c>
      <c r="E33" s="78" t="n">
        <v>45747</v>
      </c>
      <c r="F33" s="76" t="s">
        <v>200</v>
      </c>
      <c r="G33" s="76" t="s">
        <v>201</v>
      </c>
      <c r="H33" s="76" t="s">
        <v>197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257</v>
      </c>
    </row>
    <row r="34" customFormat="false" ht="15" hidden="false" customHeight="false" outlineLevel="0" collapsed="false">
      <c r="A34" s="76" t="s">
        <v>84</v>
      </c>
      <c r="B34" s="76" t="s">
        <v>211</v>
      </c>
      <c r="C34" s="77" t="n">
        <v>2025</v>
      </c>
      <c r="D34" s="77" t="n">
        <v>1</v>
      </c>
      <c r="E34" s="78" t="n">
        <v>45657</v>
      </c>
      <c r="F34" s="76" t="s">
        <v>200</v>
      </c>
      <c r="G34" s="76" t="s">
        <v>201</v>
      </c>
      <c r="H34" s="76" t="s">
        <v>197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258</v>
      </c>
    </row>
    <row r="35" customFormat="false" ht="15" hidden="false" customHeight="false" outlineLevel="0" collapsed="false">
      <c r="A35" s="76" t="s">
        <v>84</v>
      </c>
      <c r="B35" s="76" t="s">
        <v>213</v>
      </c>
      <c r="C35" s="77" t="n">
        <v>2024</v>
      </c>
      <c r="D35" s="77" t="n">
        <v>4</v>
      </c>
      <c r="E35" s="78" t="n">
        <v>45565</v>
      </c>
      <c r="F35" s="76" t="s">
        <v>200</v>
      </c>
      <c r="G35" s="76" t="s">
        <v>201</v>
      </c>
      <c r="H35" s="76" t="s">
        <v>197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259</v>
      </c>
    </row>
    <row r="36" customFormat="false" ht="15" hidden="false" customHeight="false" outlineLevel="0" collapsed="false">
      <c r="A36" s="76" t="s">
        <v>84</v>
      </c>
      <c r="B36" s="76" t="s">
        <v>215</v>
      </c>
      <c r="C36" s="77" t="n">
        <v>2024</v>
      </c>
      <c r="D36" s="77" t="n">
        <v>3</v>
      </c>
      <c r="E36" s="78" t="n">
        <v>45473</v>
      </c>
      <c r="F36" s="76" t="s">
        <v>200</v>
      </c>
      <c r="G36" s="76" t="s">
        <v>201</v>
      </c>
      <c r="H36" s="76" t="s">
        <v>197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260</v>
      </c>
    </row>
    <row r="37" customFormat="false" ht="15" hidden="false" customHeight="false" outlineLevel="0" collapsed="false">
      <c r="A37" s="76" t="s">
        <v>84</v>
      </c>
      <c r="B37" s="76" t="s">
        <v>217</v>
      </c>
      <c r="C37" s="77" t="n">
        <v>2024</v>
      </c>
      <c r="D37" s="77" t="n">
        <v>2</v>
      </c>
      <c r="E37" s="78" t="n">
        <v>45382</v>
      </c>
      <c r="F37" s="76" t="s">
        <v>200</v>
      </c>
      <c r="G37" s="76" t="s">
        <v>201</v>
      </c>
      <c r="H37" s="76" t="s">
        <v>197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261</v>
      </c>
    </row>
    <row r="38" customFormat="false" ht="15" hidden="false" customHeight="false" outlineLevel="0" collapsed="false">
      <c r="A38" s="76" t="s">
        <v>84</v>
      </c>
      <c r="B38" s="76" t="s">
        <v>219</v>
      </c>
      <c r="C38" s="77" t="n">
        <v>2024</v>
      </c>
      <c r="D38" s="77" t="n">
        <v>1</v>
      </c>
      <c r="E38" s="78" t="n">
        <v>45291</v>
      </c>
      <c r="F38" s="76" t="s">
        <v>200</v>
      </c>
      <c r="G38" s="76" t="s">
        <v>201</v>
      </c>
      <c r="H38" s="76" t="s">
        <v>197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262</v>
      </c>
    </row>
    <row r="39" customFormat="false" ht="15" hidden="false" customHeight="false" outlineLevel="0" collapsed="false">
      <c r="A39" s="76" t="s">
        <v>84</v>
      </c>
      <c r="B39" s="76" t="s">
        <v>221</v>
      </c>
      <c r="C39" s="77" t="n">
        <v>2023</v>
      </c>
      <c r="D39" s="77" t="n">
        <v>4</v>
      </c>
      <c r="E39" s="78" t="n">
        <v>45199</v>
      </c>
      <c r="F39" s="76" t="s">
        <v>200</v>
      </c>
      <c r="G39" s="76" t="s">
        <v>201</v>
      </c>
      <c r="H39" s="76" t="s">
        <v>197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263</v>
      </c>
    </row>
    <row r="40" customFormat="false" ht="15" hidden="false" customHeight="false" outlineLevel="0" collapsed="false">
      <c r="A40" s="76" t="s">
        <v>84</v>
      </c>
      <c r="B40" s="76" t="s">
        <v>223</v>
      </c>
      <c r="C40" s="77" t="n">
        <v>2023</v>
      </c>
      <c r="D40" s="77" t="n">
        <v>3</v>
      </c>
      <c r="E40" s="78" t="n">
        <v>45107</v>
      </c>
      <c r="F40" s="76" t="s">
        <v>200</v>
      </c>
      <c r="G40" s="76" t="s">
        <v>201</v>
      </c>
      <c r="H40" s="76" t="s">
        <v>197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264</v>
      </c>
    </row>
    <row r="41" customFormat="false" ht="15" hidden="false" customHeight="false" outlineLevel="0" collapsed="false">
      <c r="A41" s="76" t="s">
        <v>84</v>
      </c>
      <c r="B41" s="76" t="s">
        <v>225</v>
      </c>
      <c r="C41" s="77" t="n">
        <v>2023</v>
      </c>
      <c r="D41" s="77" t="n">
        <v>2</v>
      </c>
      <c r="E41" s="78" t="n">
        <v>45016</v>
      </c>
      <c r="F41" s="76" t="s">
        <v>200</v>
      </c>
      <c r="G41" s="76" t="s">
        <v>201</v>
      </c>
      <c r="H41" s="76" t="s">
        <v>197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265</v>
      </c>
    </row>
    <row r="42" customFormat="false" ht="15" hidden="false" customHeight="false" outlineLevel="0" collapsed="false">
      <c r="A42" s="76" t="s">
        <v>84</v>
      </c>
      <c r="B42" s="76" t="s">
        <v>227</v>
      </c>
      <c r="C42" s="77" t="n">
        <v>2023</v>
      </c>
      <c r="D42" s="77" t="n">
        <v>1</v>
      </c>
      <c r="E42" s="78" t="n">
        <v>44926</v>
      </c>
      <c r="F42" s="76" t="s">
        <v>200</v>
      </c>
      <c r="G42" s="76" t="s">
        <v>201</v>
      </c>
      <c r="H42" s="76" t="s">
        <v>197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266</v>
      </c>
    </row>
    <row r="43" customFormat="false" ht="15" hidden="false" customHeight="false" outlineLevel="0" collapsed="false">
      <c r="A43" s="76" t="s">
        <v>84</v>
      </c>
      <c r="B43" s="76" t="s">
        <v>229</v>
      </c>
      <c r="C43" s="77" t="n">
        <v>2022</v>
      </c>
      <c r="D43" s="77" t="n">
        <v>4</v>
      </c>
      <c r="E43" s="78" t="n">
        <v>44834</v>
      </c>
      <c r="F43" s="76" t="s">
        <v>200</v>
      </c>
      <c r="G43" s="76" t="s">
        <v>201</v>
      </c>
      <c r="H43" s="76" t="s">
        <v>197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267</v>
      </c>
    </row>
    <row r="44" customFormat="false" ht="15" hidden="false" customHeight="false" outlineLevel="0" collapsed="false">
      <c r="A44" s="76" t="s">
        <v>84</v>
      </c>
      <c r="B44" s="76" t="s">
        <v>231</v>
      </c>
      <c r="C44" s="77" t="n">
        <v>2022</v>
      </c>
      <c r="D44" s="77" t="n">
        <v>3</v>
      </c>
      <c r="E44" s="78" t="n">
        <v>44742</v>
      </c>
      <c r="F44" s="76" t="s">
        <v>200</v>
      </c>
      <c r="G44" s="76" t="s">
        <v>201</v>
      </c>
      <c r="H44" s="76" t="s">
        <v>197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268</v>
      </c>
    </row>
    <row r="45" customFormat="false" ht="15" hidden="false" customHeight="false" outlineLevel="0" collapsed="false">
      <c r="A45" s="76" t="s">
        <v>84</v>
      </c>
      <c r="B45" s="76" t="s">
        <v>233</v>
      </c>
      <c r="C45" s="77" t="n">
        <v>2022</v>
      </c>
      <c r="D45" s="77" t="n">
        <v>2</v>
      </c>
      <c r="E45" s="78" t="n">
        <v>44651</v>
      </c>
      <c r="F45" s="76" t="s">
        <v>200</v>
      </c>
      <c r="G45" s="76" t="s">
        <v>201</v>
      </c>
      <c r="H45" s="76" t="s">
        <v>197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269</v>
      </c>
    </row>
    <row r="46" customFormat="false" ht="15" hidden="false" customHeight="false" outlineLevel="0" collapsed="false">
      <c r="A46" s="76" t="s">
        <v>84</v>
      </c>
      <c r="B46" s="76" t="s">
        <v>235</v>
      </c>
      <c r="C46" s="77" t="n">
        <v>2022</v>
      </c>
      <c r="D46" s="77" t="n">
        <v>1</v>
      </c>
      <c r="E46" s="78" t="n">
        <v>44561</v>
      </c>
      <c r="F46" s="76" t="s">
        <v>200</v>
      </c>
      <c r="G46" s="76" t="s">
        <v>201</v>
      </c>
      <c r="H46" s="76" t="s">
        <v>197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270</v>
      </c>
    </row>
    <row r="47" customFormat="false" ht="15" hidden="false" customHeight="false" outlineLevel="0" collapsed="false">
      <c r="A47" s="76" t="s">
        <v>84</v>
      </c>
      <c r="B47" s="76" t="s">
        <v>237</v>
      </c>
      <c r="C47" s="77" t="n">
        <v>2021</v>
      </c>
      <c r="D47" s="77" t="n">
        <v>4</v>
      </c>
      <c r="E47" s="78" t="n">
        <v>44469</v>
      </c>
      <c r="F47" s="76" t="s">
        <v>200</v>
      </c>
      <c r="G47" s="76" t="s">
        <v>201</v>
      </c>
      <c r="H47" s="76" t="s">
        <v>197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271</v>
      </c>
    </row>
    <row r="48" customFormat="false" ht="15" hidden="false" customHeight="false" outlineLevel="0" collapsed="false">
      <c r="A48" s="76" t="s">
        <v>84</v>
      </c>
      <c r="B48" s="76" t="s">
        <v>239</v>
      </c>
      <c r="C48" s="77" t="n">
        <v>2021</v>
      </c>
      <c r="D48" s="77" t="n">
        <v>3</v>
      </c>
      <c r="E48" s="78" t="n">
        <v>44377</v>
      </c>
      <c r="F48" s="76" t="s">
        <v>200</v>
      </c>
      <c r="G48" s="76" t="s">
        <v>201</v>
      </c>
      <c r="H48" s="76" t="s">
        <v>197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272</v>
      </c>
    </row>
    <row r="49" customFormat="false" ht="15" hidden="false" customHeight="false" outlineLevel="0" collapsed="false">
      <c r="A49" s="76" t="s">
        <v>84</v>
      </c>
      <c r="B49" s="76" t="s">
        <v>241</v>
      </c>
      <c r="C49" s="77" t="n">
        <v>2021</v>
      </c>
      <c r="D49" s="77" t="n">
        <v>2</v>
      </c>
      <c r="E49" s="78" t="n">
        <v>44286</v>
      </c>
      <c r="F49" s="76" t="s">
        <v>200</v>
      </c>
      <c r="G49" s="76" t="s">
        <v>201</v>
      </c>
      <c r="H49" s="76" t="s">
        <v>197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273</v>
      </c>
    </row>
    <row r="50" customFormat="false" ht="15" hidden="false" customHeight="false" outlineLevel="0" collapsed="false">
      <c r="A50" s="76" t="s">
        <v>84</v>
      </c>
      <c r="B50" s="76" t="s">
        <v>243</v>
      </c>
      <c r="C50" s="77" t="n">
        <v>2021</v>
      </c>
      <c r="D50" s="77" t="n">
        <v>1</v>
      </c>
      <c r="E50" s="78" t="n">
        <v>44196</v>
      </c>
      <c r="F50" s="76" t="s">
        <v>200</v>
      </c>
      <c r="G50" s="76" t="s">
        <v>201</v>
      </c>
      <c r="H50" s="76" t="s">
        <v>197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274</v>
      </c>
    </row>
    <row r="51" customFormat="false" ht="15" hidden="false" customHeight="false" outlineLevel="0" collapsed="false">
      <c r="A51" s="76" t="s">
        <v>84</v>
      </c>
      <c r="B51" s="76" t="s">
        <v>245</v>
      </c>
      <c r="C51" s="77" t="n">
        <v>2020</v>
      </c>
      <c r="D51" s="77" t="n">
        <v>4</v>
      </c>
      <c r="E51" s="78" t="n">
        <v>44104</v>
      </c>
      <c r="F51" s="76" t="s">
        <v>200</v>
      </c>
      <c r="G51" s="76" t="s">
        <v>201</v>
      </c>
      <c r="H51" s="76" t="s">
        <v>197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275</v>
      </c>
    </row>
    <row r="52" customFormat="false" ht="15" hidden="false" customHeight="false" outlineLevel="0" collapsed="false">
      <c r="A52" s="76" t="s">
        <v>170</v>
      </c>
      <c r="B52" s="76" t="s">
        <v>194</v>
      </c>
      <c r="C52" s="77" t="n">
        <v>2026</v>
      </c>
      <c r="D52" s="77" t="n">
        <v>3</v>
      </c>
      <c r="E52" s="78" t="n">
        <v>46264</v>
      </c>
      <c r="F52" s="76" t="s">
        <v>195</v>
      </c>
      <c r="G52" s="76" t="s">
        <v>196</v>
      </c>
      <c r="H52" s="76" t="s">
        <v>197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276</v>
      </c>
    </row>
    <row r="53" customFormat="false" ht="15" hidden="false" customHeight="false" outlineLevel="0" collapsed="false">
      <c r="A53" s="76" t="s">
        <v>170</v>
      </c>
      <c r="B53" s="76" t="s">
        <v>199</v>
      </c>
      <c r="C53" s="77" t="n">
        <v>2026</v>
      </c>
      <c r="D53" s="77" t="n">
        <v>2</v>
      </c>
      <c r="E53" s="78" t="n">
        <v>46173</v>
      </c>
      <c r="F53" s="76" t="s">
        <v>200</v>
      </c>
      <c r="G53" s="76" t="s">
        <v>201</v>
      </c>
      <c r="H53" s="76" t="s">
        <v>197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277</v>
      </c>
    </row>
    <row r="54" customFormat="false" ht="15" hidden="false" customHeight="false" outlineLevel="0" collapsed="false">
      <c r="A54" s="76" t="s">
        <v>170</v>
      </c>
      <c r="B54" s="76" t="s">
        <v>203</v>
      </c>
      <c r="C54" s="77" t="n">
        <v>2026</v>
      </c>
      <c r="D54" s="77" t="n">
        <v>1</v>
      </c>
      <c r="E54" s="78" t="n">
        <v>46081</v>
      </c>
      <c r="F54" s="76" t="s">
        <v>200</v>
      </c>
      <c r="G54" s="76" t="s">
        <v>201</v>
      </c>
      <c r="H54" s="76" t="s">
        <v>197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278</v>
      </c>
    </row>
    <row r="55" customFormat="false" ht="15" hidden="false" customHeight="false" outlineLevel="0" collapsed="false">
      <c r="A55" s="76" t="s">
        <v>170</v>
      </c>
      <c r="B55" s="76" t="s">
        <v>205</v>
      </c>
      <c r="C55" s="77" t="n">
        <v>2025</v>
      </c>
      <c r="D55" s="77" t="n">
        <v>4</v>
      </c>
      <c r="E55" s="78" t="n">
        <v>45991</v>
      </c>
      <c r="F55" s="76" t="s">
        <v>200</v>
      </c>
      <c r="G55" s="76" t="s">
        <v>201</v>
      </c>
      <c r="H55" s="76" t="s">
        <v>197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279</v>
      </c>
    </row>
    <row r="56" customFormat="false" ht="15" hidden="false" customHeight="false" outlineLevel="0" collapsed="false">
      <c r="A56" s="76" t="s">
        <v>170</v>
      </c>
      <c r="B56" s="76" t="s">
        <v>207</v>
      </c>
      <c r="C56" s="77" t="n">
        <v>2025</v>
      </c>
      <c r="D56" s="77" t="n">
        <v>3</v>
      </c>
      <c r="E56" s="78" t="n">
        <v>45900</v>
      </c>
      <c r="F56" s="76" t="s">
        <v>200</v>
      </c>
      <c r="G56" s="76" t="s">
        <v>201</v>
      </c>
      <c r="H56" s="76" t="s">
        <v>197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280</v>
      </c>
    </row>
    <row r="57" customFormat="false" ht="15" hidden="false" customHeight="false" outlineLevel="0" collapsed="false">
      <c r="A57" s="76" t="s">
        <v>170</v>
      </c>
      <c r="B57" s="76" t="s">
        <v>209</v>
      </c>
      <c r="C57" s="77" t="n">
        <v>2025</v>
      </c>
      <c r="D57" s="77" t="n">
        <v>2</v>
      </c>
      <c r="E57" s="78" t="n">
        <v>45808</v>
      </c>
      <c r="F57" s="76" t="s">
        <v>200</v>
      </c>
      <c r="G57" s="76" t="s">
        <v>201</v>
      </c>
      <c r="H57" s="76" t="s">
        <v>197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281</v>
      </c>
    </row>
    <row r="58" customFormat="false" ht="15" hidden="false" customHeight="false" outlineLevel="0" collapsed="false">
      <c r="A58" s="76" t="s">
        <v>170</v>
      </c>
      <c r="B58" s="76" t="s">
        <v>211</v>
      </c>
      <c r="C58" s="77" t="n">
        <v>2025</v>
      </c>
      <c r="D58" s="77" t="n">
        <v>1</v>
      </c>
      <c r="E58" s="78" t="n">
        <v>45716</v>
      </c>
      <c r="F58" s="76" t="s">
        <v>200</v>
      </c>
      <c r="G58" s="76" t="s">
        <v>201</v>
      </c>
      <c r="H58" s="76" t="s">
        <v>197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282</v>
      </c>
    </row>
    <row r="59" customFormat="false" ht="15" hidden="false" customHeight="false" outlineLevel="0" collapsed="false">
      <c r="A59" s="76" t="s">
        <v>170</v>
      </c>
      <c r="B59" s="76" t="s">
        <v>213</v>
      </c>
      <c r="C59" s="77" t="n">
        <v>2024</v>
      </c>
      <c r="D59" s="77" t="n">
        <v>4</v>
      </c>
      <c r="E59" s="78" t="n">
        <v>45626</v>
      </c>
      <c r="F59" s="76" t="s">
        <v>200</v>
      </c>
      <c r="G59" s="76" t="s">
        <v>201</v>
      </c>
      <c r="H59" s="76" t="s">
        <v>197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283</v>
      </c>
    </row>
    <row r="60" customFormat="false" ht="15" hidden="false" customHeight="false" outlineLevel="0" collapsed="false">
      <c r="A60" s="76" t="s">
        <v>170</v>
      </c>
      <c r="B60" s="76" t="s">
        <v>215</v>
      </c>
      <c r="C60" s="77" t="n">
        <v>2024</v>
      </c>
      <c r="D60" s="77" t="n">
        <v>3</v>
      </c>
      <c r="E60" s="78" t="n">
        <v>45535</v>
      </c>
      <c r="F60" s="76" t="s">
        <v>200</v>
      </c>
      <c r="G60" s="76" t="s">
        <v>201</v>
      </c>
      <c r="H60" s="76" t="s">
        <v>197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284</v>
      </c>
    </row>
    <row r="61" customFormat="false" ht="15" hidden="false" customHeight="false" outlineLevel="0" collapsed="false">
      <c r="A61" s="76" t="s">
        <v>170</v>
      </c>
      <c r="B61" s="76" t="s">
        <v>217</v>
      </c>
      <c r="C61" s="77" t="n">
        <v>2024</v>
      </c>
      <c r="D61" s="77" t="n">
        <v>2</v>
      </c>
      <c r="E61" s="78" t="n">
        <v>45443</v>
      </c>
      <c r="F61" s="76" t="s">
        <v>200</v>
      </c>
      <c r="G61" s="76" t="s">
        <v>201</v>
      </c>
      <c r="H61" s="76" t="s">
        <v>197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285</v>
      </c>
    </row>
    <row r="62" customFormat="false" ht="15" hidden="false" customHeight="false" outlineLevel="0" collapsed="false">
      <c r="A62" s="76" t="s">
        <v>170</v>
      </c>
      <c r="B62" s="76" t="s">
        <v>219</v>
      </c>
      <c r="C62" s="77" t="n">
        <v>2024</v>
      </c>
      <c r="D62" s="77" t="n">
        <v>1</v>
      </c>
      <c r="E62" s="78" t="n">
        <v>45351</v>
      </c>
      <c r="F62" s="76" t="s">
        <v>200</v>
      </c>
      <c r="G62" s="76" t="s">
        <v>201</v>
      </c>
      <c r="H62" s="76" t="s">
        <v>197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286</v>
      </c>
    </row>
    <row r="63" customFormat="false" ht="15" hidden="false" customHeight="false" outlineLevel="0" collapsed="false">
      <c r="A63" s="76" t="s">
        <v>170</v>
      </c>
      <c r="B63" s="76" t="s">
        <v>221</v>
      </c>
      <c r="C63" s="77" t="n">
        <v>2023</v>
      </c>
      <c r="D63" s="77" t="n">
        <v>4</v>
      </c>
      <c r="E63" s="78" t="n">
        <v>45260</v>
      </c>
      <c r="F63" s="76" t="s">
        <v>200</v>
      </c>
      <c r="G63" s="76" t="s">
        <v>201</v>
      </c>
      <c r="H63" s="76" t="s">
        <v>197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287</v>
      </c>
    </row>
    <row r="64" customFormat="false" ht="15" hidden="false" customHeight="false" outlineLevel="0" collapsed="false">
      <c r="A64" s="76" t="s">
        <v>170</v>
      </c>
      <c r="B64" s="76" t="s">
        <v>223</v>
      </c>
      <c r="C64" s="77" t="n">
        <v>2023</v>
      </c>
      <c r="D64" s="77" t="n">
        <v>3</v>
      </c>
      <c r="E64" s="78" t="n">
        <v>45169</v>
      </c>
      <c r="F64" s="76" t="s">
        <v>200</v>
      </c>
      <c r="G64" s="76" t="s">
        <v>201</v>
      </c>
      <c r="H64" s="76" t="s">
        <v>197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288</v>
      </c>
    </row>
    <row r="65" customFormat="false" ht="15" hidden="false" customHeight="false" outlineLevel="0" collapsed="false">
      <c r="A65" s="76" t="s">
        <v>170</v>
      </c>
      <c r="B65" s="76" t="s">
        <v>225</v>
      </c>
      <c r="C65" s="77" t="n">
        <v>2023</v>
      </c>
      <c r="D65" s="77" t="n">
        <v>2</v>
      </c>
      <c r="E65" s="78" t="n">
        <v>45077</v>
      </c>
      <c r="F65" s="76" t="s">
        <v>200</v>
      </c>
      <c r="G65" s="76" t="s">
        <v>201</v>
      </c>
      <c r="H65" s="76" t="s">
        <v>197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289</v>
      </c>
    </row>
    <row r="66" customFormat="false" ht="15" hidden="false" customHeight="false" outlineLevel="0" collapsed="false">
      <c r="A66" s="76" t="s">
        <v>170</v>
      </c>
      <c r="B66" s="76" t="s">
        <v>227</v>
      </c>
      <c r="C66" s="77" t="n">
        <v>2023</v>
      </c>
      <c r="D66" s="77" t="n">
        <v>1</v>
      </c>
      <c r="E66" s="78" t="n">
        <v>44985</v>
      </c>
      <c r="F66" s="76" t="s">
        <v>200</v>
      </c>
      <c r="G66" s="76" t="s">
        <v>201</v>
      </c>
      <c r="H66" s="76" t="s">
        <v>197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290</v>
      </c>
    </row>
    <row r="67" customFormat="false" ht="15" hidden="false" customHeight="false" outlineLevel="0" collapsed="false">
      <c r="A67" s="76" t="s">
        <v>170</v>
      </c>
      <c r="B67" s="76" t="s">
        <v>229</v>
      </c>
      <c r="C67" s="77" t="n">
        <v>2022</v>
      </c>
      <c r="D67" s="77" t="n">
        <v>4</v>
      </c>
      <c r="E67" s="78" t="n">
        <v>44895</v>
      </c>
      <c r="F67" s="76" t="s">
        <v>200</v>
      </c>
      <c r="G67" s="76" t="s">
        <v>201</v>
      </c>
      <c r="H67" s="76" t="s">
        <v>197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291</v>
      </c>
    </row>
    <row r="68" customFormat="false" ht="15" hidden="false" customHeight="false" outlineLevel="0" collapsed="false">
      <c r="A68" s="76" t="s">
        <v>170</v>
      </c>
      <c r="B68" s="76" t="s">
        <v>231</v>
      </c>
      <c r="C68" s="77" t="n">
        <v>2022</v>
      </c>
      <c r="D68" s="77" t="n">
        <v>3</v>
      </c>
      <c r="E68" s="78" t="n">
        <v>44804</v>
      </c>
      <c r="F68" s="76" t="s">
        <v>200</v>
      </c>
      <c r="G68" s="76" t="s">
        <v>201</v>
      </c>
      <c r="H68" s="76" t="s">
        <v>197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292</v>
      </c>
    </row>
    <row r="69" customFormat="false" ht="15" hidden="false" customHeight="false" outlineLevel="0" collapsed="false">
      <c r="A69" s="76" t="s">
        <v>170</v>
      </c>
      <c r="B69" s="76" t="s">
        <v>233</v>
      </c>
      <c r="C69" s="77" t="n">
        <v>2022</v>
      </c>
      <c r="D69" s="77" t="n">
        <v>2</v>
      </c>
      <c r="E69" s="78" t="n">
        <v>44712</v>
      </c>
      <c r="F69" s="76" t="s">
        <v>200</v>
      </c>
      <c r="G69" s="76" t="s">
        <v>201</v>
      </c>
      <c r="H69" s="76" t="s">
        <v>197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293</v>
      </c>
    </row>
    <row r="70" customFormat="false" ht="15" hidden="false" customHeight="false" outlineLevel="0" collapsed="false">
      <c r="A70" s="76" t="s">
        <v>170</v>
      </c>
      <c r="B70" s="76" t="s">
        <v>235</v>
      </c>
      <c r="C70" s="77" t="n">
        <v>2022</v>
      </c>
      <c r="D70" s="77" t="n">
        <v>1</v>
      </c>
      <c r="E70" s="78" t="n">
        <v>44620</v>
      </c>
      <c r="F70" s="76" t="s">
        <v>200</v>
      </c>
      <c r="G70" s="76" t="s">
        <v>201</v>
      </c>
      <c r="H70" s="76" t="s">
        <v>197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294</v>
      </c>
    </row>
    <row r="71" customFormat="false" ht="15" hidden="false" customHeight="false" outlineLevel="0" collapsed="false">
      <c r="A71" s="76" t="s">
        <v>170</v>
      </c>
      <c r="B71" s="76" t="s">
        <v>237</v>
      </c>
      <c r="C71" s="77" t="n">
        <v>2021</v>
      </c>
      <c r="D71" s="77" t="n">
        <v>4</v>
      </c>
      <c r="E71" s="78" t="n">
        <v>44530</v>
      </c>
      <c r="F71" s="76" t="s">
        <v>200</v>
      </c>
      <c r="G71" s="76" t="s">
        <v>201</v>
      </c>
      <c r="H71" s="76" t="s">
        <v>197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295</v>
      </c>
    </row>
    <row r="72" customFormat="false" ht="15" hidden="false" customHeight="false" outlineLevel="0" collapsed="false">
      <c r="A72" s="76" t="s">
        <v>170</v>
      </c>
      <c r="B72" s="76" t="s">
        <v>239</v>
      </c>
      <c r="C72" s="77" t="n">
        <v>2021</v>
      </c>
      <c r="D72" s="77" t="n">
        <v>3</v>
      </c>
      <c r="E72" s="78" t="n">
        <v>44439</v>
      </c>
      <c r="F72" s="76" t="s">
        <v>200</v>
      </c>
      <c r="G72" s="76" t="s">
        <v>201</v>
      </c>
      <c r="H72" s="76" t="s">
        <v>197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296</v>
      </c>
    </row>
    <row r="73" customFormat="false" ht="15" hidden="false" customHeight="false" outlineLevel="0" collapsed="false">
      <c r="A73" s="76" t="s">
        <v>170</v>
      </c>
      <c r="B73" s="76" t="s">
        <v>241</v>
      </c>
      <c r="C73" s="77" t="n">
        <v>2021</v>
      </c>
      <c r="D73" s="77" t="n">
        <v>2</v>
      </c>
      <c r="E73" s="78" t="n">
        <v>44347</v>
      </c>
      <c r="F73" s="76" t="s">
        <v>200</v>
      </c>
      <c r="G73" s="76" t="s">
        <v>201</v>
      </c>
      <c r="H73" s="76" t="s">
        <v>197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297</v>
      </c>
    </row>
    <row r="74" customFormat="false" ht="15" hidden="false" customHeight="false" outlineLevel="0" collapsed="false">
      <c r="A74" s="76" t="s">
        <v>170</v>
      </c>
      <c r="B74" s="76" t="s">
        <v>243</v>
      </c>
      <c r="C74" s="77" t="n">
        <v>2021</v>
      </c>
      <c r="D74" s="77" t="n">
        <v>1</v>
      </c>
      <c r="E74" s="78" t="n">
        <v>44255</v>
      </c>
      <c r="F74" s="76" t="s">
        <v>200</v>
      </c>
      <c r="G74" s="76" t="s">
        <v>201</v>
      </c>
      <c r="H74" s="76" t="s">
        <v>197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298</v>
      </c>
    </row>
    <row r="75" customFormat="false" ht="15" hidden="false" customHeight="false" outlineLevel="0" collapsed="false">
      <c r="A75" s="76" t="s">
        <v>170</v>
      </c>
      <c r="B75" s="76" t="s">
        <v>245</v>
      </c>
      <c r="C75" s="77" t="n">
        <v>2020</v>
      </c>
      <c r="D75" s="77" t="n">
        <v>4</v>
      </c>
      <c r="E75" s="78" t="n">
        <v>44165</v>
      </c>
      <c r="F75" s="76" t="s">
        <v>200</v>
      </c>
      <c r="G75" s="76" t="s">
        <v>201</v>
      </c>
      <c r="H75" s="76" t="s">
        <v>197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299</v>
      </c>
    </row>
    <row r="76" customFormat="false" ht="15" hidden="false" customHeight="false" outlineLevel="0" collapsed="false">
      <c r="A76" s="76" t="s">
        <v>170</v>
      </c>
      <c r="B76" s="76" t="s">
        <v>247</v>
      </c>
      <c r="C76" s="77" t="n">
        <v>2020</v>
      </c>
      <c r="D76" s="77" t="n">
        <v>3</v>
      </c>
      <c r="E76" s="78" t="n">
        <v>44074</v>
      </c>
      <c r="F76" s="76" t="s">
        <v>200</v>
      </c>
      <c r="G76" s="76" t="s">
        <v>201</v>
      </c>
      <c r="H76" s="76" t="s">
        <v>197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300</v>
      </c>
    </row>
    <row r="77" customFormat="false" ht="15" hidden="false" customHeight="false" outlineLevel="0" collapsed="false">
      <c r="A77" s="76" t="s">
        <v>169</v>
      </c>
      <c r="B77" s="76" t="s">
        <v>249</v>
      </c>
      <c r="C77" s="77" t="n">
        <v>2026</v>
      </c>
      <c r="D77" s="77" t="n">
        <v>4</v>
      </c>
      <c r="E77" s="78" t="n">
        <v>46264</v>
      </c>
      <c r="F77" s="76" t="s">
        <v>195</v>
      </c>
      <c r="G77" s="76" t="s">
        <v>196</v>
      </c>
      <c r="H77" s="76" t="s">
        <v>197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301</v>
      </c>
    </row>
    <row r="78" customFormat="false" ht="15" hidden="false" customHeight="false" outlineLevel="0" collapsed="false">
      <c r="A78" s="76" t="s">
        <v>169</v>
      </c>
      <c r="B78" s="76" t="s">
        <v>251</v>
      </c>
      <c r="C78" s="77" t="n">
        <v>2026</v>
      </c>
      <c r="D78" s="77" t="n">
        <v>3</v>
      </c>
      <c r="E78" s="78" t="n">
        <v>46173</v>
      </c>
      <c r="F78" s="76" t="s">
        <v>200</v>
      </c>
      <c r="G78" s="76" t="s">
        <v>201</v>
      </c>
      <c r="H78" s="76" t="s">
        <v>197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302</v>
      </c>
    </row>
    <row r="79" customFormat="false" ht="15" hidden="false" customHeight="false" outlineLevel="0" collapsed="false">
      <c r="A79" s="76" t="s">
        <v>169</v>
      </c>
      <c r="B79" s="76" t="s">
        <v>199</v>
      </c>
      <c r="C79" s="77" t="n">
        <v>2026</v>
      </c>
      <c r="D79" s="77" t="n">
        <v>2</v>
      </c>
      <c r="E79" s="78" t="n">
        <v>46081</v>
      </c>
      <c r="F79" s="76" t="s">
        <v>200</v>
      </c>
      <c r="G79" s="76" t="s">
        <v>201</v>
      </c>
      <c r="H79" s="76" t="s">
        <v>197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303</v>
      </c>
    </row>
    <row r="80" customFormat="false" ht="15" hidden="false" customHeight="false" outlineLevel="0" collapsed="false">
      <c r="A80" s="76" t="s">
        <v>169</v>
      </c>
      <c r="B80" s="76" t="s">
        <v>203</v>
      </c>
      <c r="C80" s="77" t="n">
        <v>2026</v>
      </c>
      <c r="D80" s="77" t="n">
        <v>1</v>
      </c>
      <c r="E80" s="78" t="n">
        <v>45991</v>
      </c>
      <c r="F80" s="76" t="s">
        <v>200</v>
      </c>
      <c r="G80" s="76" t="s">
        <v>201</v>
      </c>
      <c r="H80" s="76" t="s">
        <v>197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304</v>
      </c>
    </row>
    <row r="81" customFormat="false" ht="15" hidden="false" customHeight="false" outlineLevel="0" collapsed="false">
      <c r="A81" s="76" t="s">
        <v>169</v>
      </c>
      <c r="B81" s="76" t="s">
        <v>205</v>
      </c>
      <c r="C81" s="77" t="n">
        <v>2025</v>
      </c>
      <c r="D81" s="77" t="n">
        <v>4</v>
      </c>
      <c r="E81" s="78" t="n">
        <v>45900</v>
      </c>
      <c r="F81" s="76" t="s">
        <v>200</v>
      </c>
      <c r="G81" s="76" t="s">
        <v>201</v>
      </c>
      <c r="H81" s="76" t="s">
        <v>197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305</v>
      </c>
    </row>
    <row r="82" customFormat="false" ht="15" hidden="false" customHeight="false" outlineLevel="0" collapsed="false">
      <c r="A82" s="76" t="s">
        <v>169</v>
      </c>
      <c r="B82" s="76" t="s">
        <v>207</v>
      </c>
      <c r="C82" s="77" t="n">
        <v>2025</v>
      </c>
      <c r="D82" s="77" t="n">
        <v>3</v>
      </c>
      <c r="E82" s="78" t="n">
        <v>45808</v>
      </c>
      <c r="F82" s="76" t="s">
        <v>200</v>
      </c>
      <c r="G82" s="76" t="s">
        <v>201</v>
      </c>
      <c r="H82" s="76" t="s">
        <v>197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306</v>
      </c>
    </row>
    <row r="83" customFormat="false" ht="15" hidden="false" customHeight="false" outlineLevel="0" collapsed="false">
      <c r="A83" s="76" t="s">
        <v>169</v>
      </c>
      <c r="B83" s="76" t="s">
        <v>209</v>
      </c>
      <c r="C83" s="77" t="n">
        <v>2025</v>
      </c>
      <c r="D83" s="77" t="n">
        <v>2</v>
      </c>
      <c r="E83" s="78" t="n">
        <v>45716</v>
      </c>
      <c r="F83" s="76" t="s">
        <v>200</v>
      </c>
      <c r="G83" s="76" t="s">
        <v>201</v>
      </c>
      <c r="H83" s="76" t="s">
        <v>197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307</v>
      </c>
    </row>
    <row r="84" customFormat="false" ht="15" hidden="false" customHeight="false" outlineLevel="0" collapsed="false">
      <c r="A84" s="76" t="s">
        <v>169</v>
      </c>
      <c r="B84" s="76" t="s">
        <v>211</v>
      </c>
      <c r="C84" s="77" t="n">
        <v>2025</v>
      </c>
      <c r="D84" s="77" t="n">
        <v>1</v>
      </c>
      <c r="E84" s="78" t="n">
        <v>45626</v>
      </c>
      <c r="F84" s="76" t="s">
        <v>200</v>
      </c>
      <c r="G84" s="76" t="s">
        <v>201</v>
      </c>
      <c r="H84" s="76" t="s">
        <v>197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308</v>
      </c>
    </row>
    <row r="85" customFormat="false" ht="15" hidden="false" customHeight="false" outlineLevel="0" collapsed="false">
      <c r="A85" s="76" t="s">
        <v>169</v>
      </c>
      <c r="B85" s="76" t="s">
        <v>213</v>
      </c>
      <c r="C85" s="77" t="n">
        <v>2024</v>
      </c>
      <c r="D85" s="77" t="n">
        <v>4</v>
      </c>
      <c r="E85" s="78" t="n">
        <v>45535</v>
      </c>
      <c r="F85" s="76" t="s">
        <v>200</v>
      </c>
      <c r="G85" s="76" t="s">
        <v>201</v>
      </c>
      <c r="H85" s="76" t="s">
        <v>197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309</v>
      </c>
    </row>
    <row r="86" customFormat="false" ht="15" hidden="false" customHeight="false" outlineLevel="0" collapsed="false">
      <c r="A86" s="76" t="s">
        <v>169</v>
      </c>
      <c r="B86" s="76" t="s">
        <v>215</v>
      </c>
      <c r="C86" s="77" t="n">
        <v>2024</v>
      </c>
      <c r="D86" s="77" t="n">
        <v>3</v>
      </c>
      <c r="E86" s="78" t="n">
        <v>45443</v>
      </c>
      <c r="F86" s="76" t="s">
        <v>200</v>
      </c>
      <c r="G86" s="76" t="s">
        <v>201</v>
      </c>
      <c r="H86" s="76" t="s">
        <v>197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310</v>
      </c>
    </row>
    <row r="87" customFormat="false" ht="15" hidden="false" customHeight="false" outlineLevel="0" collapsed="false">
      <c r="A87" s="76" t="s">
        <v>169</v>
      </c>
      <c r="B87" s="76" t="s">
        <v>217</v>
      </c>
      <c r="C87" s="77" t="n">
        <v>2024</v>
      </c>
      <c r="D87" s="77" t="n">
        <v>2</v>
      </c>
      <c r="E87" s="78" t="n">
        <v>45351</v>
      </c>
      <c r="F87" s="76" t="s">
        <v>200</v>
      </c>
      <c r="G87" s="76" t="s">
        <v>201</v>
      </c>
      <c r="H87" s="76" t="s">
        <v>197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311</v>
      </c>
    </row>
    <row r="88" customFormat="false" ht="15" hidden="false" customHeight="false" outlineLevel="0" collapsed="false">
      <c r="A88" s="76" t="s">
        <v>169</v>
      </c>
      <c r="B88" s="76" t="s">
        <v>219</v>
      </c>
      <c r="C88" s="77" t="n">
        <v>2024</v>
      </c>
      <c r="D88" s="77" t="n">
        <v>1</v>
      </c>
      <c r="E88" s="78" t="n">
        <v>45260</v>
      </c>
      <c r="F88" s="76" t="s">
        <v>200</v>
      </c>
      <c r="G88" s="76" t="s">
        <v>201</v>
      </c>
      <c r="H88" s="76" t="s">
        <v>197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312</v>
      </c>
    </row>
    <row r="89" customFormat="false" ht="15" hidden="false" customHeight="false" outlineLevel="0" collapsed="false">
      <c r="A89" s="76" t="s">
        <v>169</v>
      </c>
      <c r="B89" s="76" t="s">
        <v>221</v>
      </c>
      <c r="C89" s="77" t="n">
        <v>2023</v>
      </c>
      <c r="D89" s="77" t="n">
        <v>4</v>
      </c>
      <c r="E89" s="78" t="n">
        <v>45169</v>
      </c>
      <c r="F89" s="76" t="s">
        <v>200</v>
      </c>
      <c r="G89" s="76" t="s">
        <v>201</v>
      </c>
      <c r="H89" s="76" t="s">
        <v>197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313</v>
      </c>
    </row>
    <row r="90" customFormat="false" ht="15" hidden="false" customHeight="false" outlineLevel="0" collapsed="false">
      <c r="A90" s="76" t="s">
        <v>169</v>
      </c>
      <c r="B90" s="76" t="s">
        <v>223</v>
      </c>
      <c r="C90" s="77" t="n">
        <v>2023</v>
      </c>
      <c r="D90" s="77" t="n">
        <v>3</v>
      </c>
      <c r="E90" s="78" t="n">
        <v>45077</v>
      </c>
      <c r="F90" s="76" t="s">
        <v>200</v>
      </c>
      <c r="G90" s="76" t="s">
        <v>201</v>
      </c>
      <c r="H90" s="76" t="s">
        <v>197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314</v>
      </c>
    </row>
    <row r="91" customFormat="false" ht="15" hidden="false" customHeight="false" outlineLevel="0" collapsed="false">
      <c r="A91" s="76" t="s">
        <v>169</v>
      </c>
      <c r="B91" s="76" t="s">
        <v>225</v>
      </c>
      <c r="C91" s="77" t="n">
        <v>2023</v>
      </c>
      <c r="D91" s="77" t="n">
        <v>2</v>
      </c>
      <c r="E91" s="78" t="n">
        <v>44985</v>
      </c>
      <c r="F91" s="76" t="s">
        <v>200</v>
      </c>
      <c r="G91" s="76" t="s">
        <v>201</v>
      </c>
      <c r="H91" s="76" t="s">
        <v>197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315</v>
      </c>
    </row>
    <row r="92" customFormat="false" ht="15" hidden="false" customHeight="false" outlineLevel="0" collapsed="false">
      <c r="A92" s="76" t="s">
        <v>169</v>
      </c>
      <c r="B92" s="76" t="s">
        <v>227</v>
      </c>
      <c r="C92" s="77" t="n">
        <v>2023</v>
      </c>
      <c r="D92" s="77" t="n">
        <v>1</v>
      </c>
      <c r="E92" s="78" t="n">
        <v>44895</v>
      </c>
      <c r="F92" s="76" t="s">
        <v>200</v>
      </c>
      <c r="G92" s="76" t="s">
        <v>201</v>
      </c>
      <c r="H92" s="76" t="s">
        <v>197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316</v>
      </c>
    </row>
    <row r="93" customFormat="false" ht="15" hidden="false" customHeight="false" outlineLevel="0" collapsed="false">
      <c r="A93" s="76" t="s">
        <v>169</v>
      </c>
      <c r="B93" s="76" t="s">
        <v>229</v>
      </c>
      <c r="C93" s="77" t="n">
        <v>2022</v>
      </c>
      <c r="D93" s="77" t="n">
        <v>4</v>
      </c>
      <c r="E93" s="78" t="n">
        <v>44804</v>
      </c>
      <c r="F93" s="76" t="s">
        <v>200</v>
      </c>
      <c r="G93" s="76" t="s">
        <v>201</v>
      </c>
      <c r="H93" s="76" t="s">
        <v>197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317</v>
      </c>
    </row>
    <row r="94" customFormat="false" ht="15" hidden="false" customHeight="false" outlineLevel="0" collapsed="false">
      <c r="A94" s="76" t="s">
        <v>169</v>
      </c>
      <c r="B94" s="76" t="s">
        <v>231</v>
      </c>
      <c r="C94" s="77" t="n">
        <v>2022</v>
      </c>
      <c r="D94" s="77" t="n">
        <v>3</v>
      </c>
      <c r="E94" s="78" t="n">
        <v>44712</v>
      </c>
      <c r="F94" s="76" t="s">
        <v>200</v>
      </c>
      <c r="G94" s="76" t="s">
        <v>201</v>
      </c>
      <c r="H94" s="76" t="s">
        <v>197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318</v>
      </c>
    </row>
    <row r="95" customFormat="false" ht="15" hidden="false" customHeight="false" outlineLevel="0" collapsed="false">
      <c r="A95" s="76" t="s">
        <v>169</v>
      </c>
      <c r="B95" s="76" t="s">
        <v>233</v>
      </c>
      <c r="C95" s="77" t="n">
        <v>2022</v>
      </c>
      <c r="D95" s="77" t="n">
        <v>2</v>
      </c>
      <c r="E95" s="78" t="n">
        <v>44620</v>
      </c>
      <c r="F95" s="76" t="s">
        <v>200</v>
      </c>
      <c r="G95" s="76" t="s">
        <v>201</v>
      </c>
      <c r="H95" s="76" t="s">
        <v>197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319</v>
      </c>
    </row>
    <row r="96" customFormat="false" ht="15" hidden="false" customHeight="false" outlineLevel="0" collapsed="false">
      <c r="A96" s="76" t="s">
        <v>169</v>
      </c>
      <c r="B96" s="76" t="s">
        <v>235</v>
      </c>
      <c r="C96" s="77" t="n">
        <v>2022</v>
      </c>
      <c r="D96" s="77" t="n">
        <v>1</v>
      </c>
      <c r="E96" s="78" t="n">
        <v>44530</v>
      </c>
      <c r="F96" s="76" t="s">
        <v>200</v>
      </c>
      <c r="G96" s="76" t="s">
        <v>201</v>
      </c>
      <c r="H96" s="76" t="s">
        <v>197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320</v>
      </c>
    </row>
    <row r="97" customFormat="false" ht="15" hidden="false" customHeight="false" outlineLevel="0" collapsed="false">
      <c r="A97" s="76" t="s">
        <v>169</v>
      </c>
      <c r="B97" s="76" t="s">
        <v>237</v>
      </c>
      <c r="C97" s="77" t="n">
        <v>2021</v>
      </c>
      <c r="D97" s="77" t="n">
        <v>4</v>
      </c>
      <c r="E97" s="78" t="n">
        <v>44439</v>
      </c>
      <c r="F97" s="76" t="s">
        <v>200</v>
      </c>
      <c r="G97" s="76" t="s">
        <v>201</v>
      </c>
      <c r="H97" s="76" t="s">
        <v>197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321</v>
      </c>
    </row>
    <row r="98" customFormat="false" ht="15" hidden="false" customHeight="false" outlineLevel="0" collapsed="false">
      <c r="A98" s="76" t="s">
        <v>169</v>
      </c>
      <c r="B98" s="76" t="s">
        <v>239</v>
      </c>
      <c r="C98" s="77" t="n">
        <v>2021</v>
      </c>
      <c r="D98" s="77" t="n">
        <v>3</v>
      </c>
      <c r="E98" s="78" t="n">
        <v>44347</v>
      </c>
      <c r="F98" s="76" t="s">
        <v>200</v>
      </c>
      <c r="G98" s="76" t="s">
        <v>201</v>
      </c>
      <c r="H98" s="76" t="s">
        <v>197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322</v>
      </c>
    </row>
    <row r="99" customFormat="false" ht="15" hidden="false" customHeight="false" outlineLevel="0" collapsed="false">
      <c r="A99" s="76" t="s">
        <v>169</v>
      </c>
      <c r="B99" s="76" t="s">
        <v>241</v>
      </c>
      <c r="C99" s="77" t="n">
        <v>2021</v>
      </c>
      <c r="D99" s="77" t="n">
        <v>2</v>
      </c>
      <c r="E99" s="78" t="n">
        <v>44255</v>
      </c>
      <c r="F99" s="76" t="s">
        <v>200</v>
      </c>
      <c r="G99" s="76" t="s">
        <v>201</v>
      </c>
      <c r="H99" s="76" t="s">
        <v>197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323</v>
      </c>
    </row>
    <row r="100" customFormat="false" ht="15" hidden="false" customHeight="false" outlineLevel="0" collapsed="false">
      <c r="A100" s="76" t="s">
        <v>169</v>
      </c>
      <c r="B100" s="76" t="s">
        <v>243</v>
      </c>
      <c r="C100" s="77" t="n">
        <v>2021</v>
      </c>
      <c r="D100" s="77" t="n">
        <v>1</v>
      </c>
      <c r="E100" s="78" t="n">
        <v>44165</v>
      </c>
      <c r="F100" s="76" t="s">
        <v>200</v>
      </c>
      <c r="G100" s="76" t="s">
        <v>201</v>
      </c>
      <c r="H100" s="76" t="s">
        <v>197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324</v>
      </c>
    </row>
    <row r="101" customFormat="false" ht="15" hidden="false" customHeight="false" outlineLevel="0" collapsed="false">
      <c r="A101" s="76" t="s">
        <v>169</v>
      </c>
      <c r="B101" s="76" t="s">
        <v>245</v>
      </c>
      <c r="C101" s="77" t="n">
        <v>2020</v>
      </c>
      <c r="D101" s="77" t="n">
        <v>4</v>
      </c>
      <c r="E101" s="78" t="n">
        <v>44074</v>
      </c>
      <c r="F101" s="76" t="s">
        <v>200</v>
      </c>
      <c r="G101" s="76" t="s">
        <v>201</v>
      </c>
      <c r="H101" s="76" t="s">
        <v>197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325</v>
      </c>
    </row>
    <row r="102" customFormat="false" ht="15" hidden="false" customHeight="false" outlineLevel="0" collapsed="false">
      <c r="A102" s="76" t="s">
        <v>175</v>
      </c>
      <c r="B102" s="76" t="s">
        <v>326</v>
      </c>
      <c r="C102" s="77" t="n">
        <v>2027</v>
      </c>
      <c r="D102" s="77" t="n">
        <v>3</v>
      </c>
      <c r="E102" s="78" t="n">
        <v>46325</v>
      </c>
      <c r="F102" s="76" t="s">
        <v>195</v>
      </c>
      <c r="G102" s="76" t="s">
        <v>196</v>
      </c>
      <c r="H102" s="76" t="s">
        <v>197</v>
      </c>
      <c r="I102" s="79"/>
      <c r="J102" s="79"/>
      <c r="K102" s="80" t="n">
        <v>1.09842</v>
      </c>
      <c r="L102" s="79"/>
      <c r="M102" s="79"/>
      <c r="N102" s="80"/>
      <c r="O102" s="80"/>
      <c r="P102" s="47" t="n">
        <v>0</v>
      </c>
      <c r="Q102" s="66" t="s">
        <v>327</v>
      </c>
    </row>
    <row r="103" customFormat="false" ht="15" hidden="false" customHeight="false" outlineLevel="0" collapsed="false">
      <c r="A103" s="76" t="s">
        <v>175</v>
      </c>
      <c r="B103" s="76" t="s">
        <v>328</v>
      </c>
      <c r="C103" s="77" t="n">
        <v>2027</v>
      </c>
      <c r="D103" s="77" t="n">
        <v>2</v>
      </c>
      <c r="E103" s="78" t="n">
        <v>46234</v>
      </c>
      <c r="F103" s="76" t="s">
        <v>200</v>
      </c>
      <c r="G103" s="76" t="s">
        <v>201</v>
      </c>
      <c r="H103" s="76" t="s">
        <v>197</v>
      </c>
      <c r="I103" s="79" t="n">
        <v>2739.3</v>
      </c>
      <c r="J103" s="79" t="n">
        <v>1455.6</v>
      </c>
      <c r="K103" s="80" t="n">
        <v>0.94</v>
      </c>
      <c r="L103" s="79" t="n">
        <v>921.2</v>
      </c>
      <c r="M103" s="79" t="n">
        <v>18531.6</v>
      </c>
      <c r="N103" s="80" t="n">
        <v>0.06</v>
      </c>
      <c r="O103" s="80" t="n">
        <v>187.559997558594</v>
      </c>
      <c r="P103" s="47" t="n">
        <v>1</v>
      </c>
      <c r="Q103" s="66" t="s">
        <v>329</v>
      </c>
    </row>
    <row r="104" customFormat="false" ht="15" hidden="false" customHeight="false" outlineLevel="0" collapsed="false">
      <c r="A104" s="76" t="s">
        <v>175</v>
      </c>
      <c r="B104" s="76" t="s">
        <v>330</v>
      </c>
      <c r="C104" s="77" t="n">
        <v>2027</v>
      </c>
      <c r="D104" s="77" t="n">
        <v>1</v>
      </c>
      <c r="E104" s="78" t="n">
        <v>46142</v>
      </c>
      <c r="F104" s="76" t="s">
        <v>200</v>
      </c>
      <c r="G104" s="76" t="s">
        <v>201</v>
      </c>
      <c r="H104" s="76" t="s">
        <v>197</v>
      </c>
      <c r="I104" s="79" t="n">
        <v>2417.8</v>
      </c>
      <c r="J104" s="79" t="n">
        <v>1260.8</v>
      </c>
      <c r="K104" s="80" t="n">
        <v>0.8</v>
      </c>
      <c r="L104" s="79" t="n">
        <v>893.3</v>
      </c>
      <c r="M104" s="79" t="n">
        <v>18215.8</v>
      </c>
      <c r="N104" s="80" t="n">
        <v>0.06</v>
      </c>
      <c r="O104" s="80" t="n">
        <v>165.149993896484</v>
      </c>
      <c r="P104" s="47" t="n">
        <v>2</v>
      </c>
      <c r="Q104" s="66" t="s">
        <v>331</v>
      </c>
    </row>
    <row r="105" customFormat="false" ht="15" hidden="false" customHeight="false" outlineLevel="0" collapsed="false">
      <c r="A105" s="76" t="s">
        <v>175</v>
      </c>
      <c r="B105" s="76" t="s">
        <v>332</v>
      </c>
      <c r="C105" s="77" t="n">
        <v>2026</v>
      </c>
      <c r="D105" s="77" t="n">
        <v>4</v>
      </c>
      <c r="E105" s="78" t="n">
        <v>46053</v>
      </c>
      <c r="F105" s="76" t="s">
        <v>200</v>
      </c>
      <c r="G105" s="76" t="s">
        <v>201</v>
      </c>
      <c r="H105" s="76" t="s">
        <v>197</v>
      </c>
      <c r="I105" s="79" t="n">
        <v>2218.7</v>
      </c>
      <c r="J105" s="79" t="n">
        <v>1147.9</v>
      </c>
      <c r="K105" s="80" t="n">
        <v>0.8</v>
      </c>
      <c r="L105" s="79" t="n">
        <v>856.2</v>
      </c>
      <c r="M105" s="79" t="n">
        <v>14308.4</v>
      </c>
      <c r="N105" s="80" t="n">
        <v>0.06</v>
      </c>
      <c r="O105" s="80" t="n">
        <v>78.9199981689453</v>
      </c>
      <c r="P105" s="47" t="n">
        <v>3</v>
      </c>
      <c r="Q105" s="66" t="s">
        <v>333</v>
      </c>
    </row>
    <row r="106" customFormat="false" ht="15" hidden="false" customHeight="false" outlineLevel="0" collapsed="false">
      <c r="A106" s="76" t="s">
        <v>175</v>
      </c>
      <c r="B106" s="76" t="s">
        <v>251</v>
      </c>
      <c r="C106" s="77" t="n">
        <v>2026</v>
      </c>
      <c r="D106" s="77" t="n">
        <v>3</v>
      </c>
      <c r="E106" s="78" t="n">
        <v>45961</v>
      </c>
      <c r="F106" s="76" t="s">
        <v>200</v>
      </c>
      <c r="G106" s="76" t="s">
        <v>201</v>
      </c>
      <c r="H106" s="76" t="s">
        <v>197</v>
      </c>
      <c r="I106" s="79" t="n">
        <v>2074.5</v>
      </c>
      <c r="J106" s="79" t="n">
        <v>1069.8</v>
      </c>
      <c r="K106" s="80" t="n">
        <v>0.76</v>
      </c>
      <c r="L106" s="79" t="n">
        <v>863.7</v>
      </c>
      <c r="M106" s="79" t="n">
        <v>14056.6</v>
      </c>
      <c r="N106" s="80" t="n">
        <v>0.06</v>
      </c>
      <c r="O106" s="80" t="n">
        <v>93.7399978637695</v>
      </c>
      <c r="P106" s="47" t="n">
        <v>4</v>
      </c>
      <c r="Q106" s="66" t="s">
        <v>334</v>
      </c>
    </row>
    <row r="107" customFormat="false" ht="15" hidden="false" customHeight="false" outlineLevel="0" collapsed="false">
      <c r="A107" s="76" t="s">
        <v>175</v>
      </c>
      <c r="B107" s="76" t="s">
        <v>199</v>
      </c>
      <c r="C107" s="77" t="n">
        <v>2026</v>
      </c>
      <c r="D107" s="77" t="n">
        <v>2</v>
      </c>
      <c r="E107" s="78" t="n">
        <v>45869</v>
      </c>
      <c r="F107" s="76" t="s">
        <v>200</v>
      </c>
      <c r="G107" s="76" t="s">
        <v>201</v>
      </c>
      <c r="H107" s="76" t="s">
        <v>197</v>
      </c>
      <c r="I107" s="79" t="n">
        <v>2006.1</v>
      </c>
      <c r="J107" s="79" t="n">
        <v>1010.6</v>
      </c>
      <c r="K107" s="80" t="n">
        <v>0.67</v>
      </c>
      <c r="L107" s="79" t="n">
        <v>870.4</v>
      </c>
      <c r="M107" s="79" t="n">
        <v>13421.7</v>
      </c>
      <c r="N107" s="80" t="n">
        <v>0.06</v>
      </c>
      <c r="O107" s="80" t="n">
        <v>80.370002746582</v>
      </c>
      <c r="P107" s="47" t="n">
        <v>5</v>
      </c>
      <c r="Q107" s="66" t="s">
        <v>335</v>
      </c>
    </row>
    <row r="108" customFormat="false" ht="15" hidden="false" customHeight="false" outlineLevel="0" collapsed="false">
      <c r="A108" s="76" t="s">
        <v>175</v>
      </c>
      <c r="B108" s="76" t="s">
        <v>203</v>
      </c>
      <c r="C108" s="77" t="n">
        <v>2026</v>
      </c>
      <c r="D108" s="77" t="n">
        <v>1</v>
      </c>
      <c r="E108" s="78" t="n">
        <v>45777</v>
      </c>
      <c r="F108" s="76" t="s">
        <v>200</v>
      </c>
      <c r="G108" s="76" t="s">
        <v>201</v>
      </c>
      <c r="H108" s="76" t="s">
        <v>197</v>
      </c>
      <c r="I108" s="79" t="n">
        <v>1895.3</v>
      </c>
      <c r="J108" s="79" t="n">
        <v>952.4</v>
      </c>
      <c r="K108" s="80" t="n">
        <v>0.62</v>
      </c>
      <c r="L108" s="79" t="n">
        <v>875.6</v>
      </c>
      <c r="M108" s="79" t="n">
        <v>13312.7</v>
      </c>
      <c r="N108" s="80" t="n">
        <v>0.06</v>
      </c>
      <c r="O108" s="80" t="n">
        <v>58.3699989318848</v>
      </c>
      <c r="P108" s="47" t="n">
        <v>6</v>
      </c>
      <c r="Q108" s="66" t="s">
        <v>336</v>
      </c>
    </row>
    <row r="109" customFormat="false" ht="15" hidden="false" customHeight="false" outlineLevel="0" collapsed="false">
      <c r="A109" s="76" t="s">
        <v>175</v>
      </c>
      <c r="B109" s="76" t="s">
        <v>205</v>
      </c>
      <c r="C109" s="77" t="n">
        <v>2025</v>
      </c>
      <c r="D109" s="77" t="n">
        <v>4</v>
      </c>
      <c r="E109" s="78" t="n">
        <v>45688</v>
      </c>
      <c r="F109" s="76" t="s">
        <v>200</v>
      </c>
      <c r="G109" s="76" t="s">
        <v>201</v>
      </c>
      <c r="H109" s="76" t="s">
        <v>197</v>
      </c>
      <c r="I109" s="79" t="n">
        <v>1817.4</v>
      </c>
      <c r="J109" s="79" t="n">
        <v>917.4</v>
      </c>
      <c r="K109" s="80" t="n">
        <v>0.6</v>
      </c>
      <c r="L109" s="79"/>
      <c r="M109" s="79" t="n">
        <v>13427</v>
      </c>
      <c r="N109" s="80" t="n">
        <v>0.06</v>
      </c>
      <c r="O109" s="80" t="n">
        <v>112.860000610352</v>
      </c>
      <c r="P109" s="47" t="n">
        <v>7</v>
      </c>
      <c r="Q109" s="66" t="s">
        <v>337</v>
      </c>
    </row>
    <row r="110" customFormat="false" ht="15" hidden="false" customHeight="false" outlineLevel="0" collapsed="false">
      <c r="A110" s="76" t="s">
        <v>175</v>
      </c>
      <c r="B110" s="76" t="s">
        <v>207</v>
      </c>
      <c r="C110" s="77" t="n">
        <v>2025</v>
      </c>
      <c r="D110" s="77" t="n">
        <v>3</v>
      </c>
      <c r="E110" s="78" t="n">
        <v>45596</v>
      </c>
      <c r="F110" s="76" t="s">
        <v>200</v>
      </c>
      <c r="G110" s="76" t="s">
        <v>201</v>
      </c>
      <c r="H110" s="76" t="s">
        <v>197</v>
      </c>
      <c r="I110" s="79" t="n">
        <v>1516.1</v>
      </c>
      <c r="J110" s="79" t="n">
        <v>349.4</v>
      </c>
      <c r="K110" s="80" t="n">
        <v>0.43</v>
      </c>
      <c r="L110" s="79" t="n">
        <v>865.7</v>
      </c>
      <c r="M110" s="79" t="n">
        <v>13372.9</v>
      </c>
      <c r="N110" s="80" t="n">
        <v>0.06</v>
      </c>
      <c r="O110" s="80" t="n">
        <v>80.1100006103516</v>
      </c>
      <c r="P110" s="47" t="n">
        <v>8</v>
      </c>
      <c r="Q110" s="66" t="s">
        <v>338</v>
      </c>
    </row>
    <row r="111" customFormat="false" ht="15" hidden="false" customHeight="false" outlineLevel="0" collapsed="false">
      <c r="A111" s="76" t="s">
        <v>175</v>
      </c>
      <c r="B111" s="76" t="s">
        <v>209</v>
      </c>
      <c r="C111" s="77" t="n">
        <v>2025</v>
      </c>
      <c r="D111" s="77" t="n">
        <v>2</v>
      </c>
      <c r="E111" s="78" t="n">
        <v>45507</v>
      </c>
      <c r="F111" s="76" t="s">
        <v>200</v>
      </c>
      <c r="G111" s="76" t="s">
        <v>201</v>
      </c>
      <c r="H111" s="76" t="s">
        <v>197</v>
      </c>
      <c r="I111" s="79" t="n">
        <v>1272.9</v>
      </c>
      <c r="J111" s="79" t="n">
        <v>587.6</v>
      </c>
      <c r="K111" s="80"/>
      <c r="L111" s="79" t="n">
        <v>865.7</v>
      </c>
      <c r="M111" s="79" t="n">
        <v>14204.9</v>
      </c>
      <c r="N111" s="80" t="n">
        <v>0.06</v>
      </c>
      <c r="O111" s="80" t="n">
        <v>59.25</v>
      </c>
      <c r="P111" s="47" t="n">
        <v>9</v>
      </c>
      <c r="Q111" s="66" t="s">
        <v>339</v>
      </c>
    </row>
    <row r="112" customFormat="false" ht="15" hidden="false" customHeight="false" outlineLevel="0" collapsed="false">
      <c r="A112" s="76" t="s">
        <v>175</v>
      </c>
      <c r="B112" s="76" t="s">
        <v>211</v>
      </c>
      <c r="C112" s="77" t="n">
        <v>2025</v>
      </c>
      <c r="D112" s="77" t="n">
        <v>1</v>
      </c>
      <c r="E112" s="78" t="n">
        <v>45416</v>
      </c>
      <c r="F112" s="76" t="s">
        <v>200</v>
      </c>
      <c r="G112" s="76" t="s">
        <v>201</v>
      </c>
      <c r="H112" s="76" t="s">
        <v>197</v>
      </c>
      <c r="I112" s="79" t="n">
        <v>1160.9</v>
      </c>
      <c r="J112" s="79" t="n">
        <v>527.8</v>
      </c>
      <c r="K112" s="80"/>
      <c r="L112" s="79" t="n">
        <v>865</v>
      </c>
      <c r="M112" s="79" t="n">
        <v>14478.7</v>
      </c>
      <c r="N112" s="80"/>
      <c r="O112" s="80" t="n">
        <v>68.5100021362305</v>
      </c>
      <c r="P112" s="47" t="n">
        <v>10</v>
      </c>
      <c r="Q112" s="66" t="s">
        <v>340</v>
      </c>
    </row>
    <row r="113" customFormat="false" ht="15" hidden="false" customHeight="false" outlineLevel="0" collapsed="false">
      <c r="A113" s="76" t="s">
        <v>175</v>
      </c>
      <c r="B113" s="76" t="s">
        <v>213</v>
      </c>
      <c r="C113" s="77" t="n">
        <v>2024</v>
      </c>
      <c r="D113" s="77" t="n">
        <v>4</v>
      </c>
      <c r="E113" s="78" t="n">
        <v>45322</v>
      </c>
      <c r="F113" s="76" t="s">
        <v>200</v>
      </c>
      <c r="G113" s="76" t="s">
        <v>201</v>
      </c>
      <c r="H113" s="76" t="s">
        <v>197</v>
      </c>
      <c r="I113" s="79" t="n">
        <v>1426.5</v>
      </c>
      <c r="J113" s="79" t="n">
        <v>664.1</v>
      </c>
      <c r="K113" s="80" t="n">
        <v>0.46</v>
      </c>
      <c r="L113" s="79" t="n">
        <v>861.3</v>
      </c>
      <c r="M113" s="79" t="n">
        <v>14831.4</v>
      </c>
      <c r="N113" s="80" t="n">
        <v>0.06</v>
      </c>
      <c r="O113" s="80" t="n">
        <v>67.6999969482422</v>
      </c>
      <c r="P113" s="47" t="n">
        <v>11</v>
      </c>
      <c r="Q113" s="66" t="s">
        <v>341</v>
      </c>
    </row>
    <row r="114" customFormat="false" ht="15" hidden="false" customHeight="false" outlineLevel="0" collapsed="false">
      <c r="A114" s="76" t="s">
        <v>175</v>
      </c>
      <c r="B114" s="76" t="s">
        <v>215</v>
      </c>
      <c r="C114" s="77" t="n">
        <v>2024</v>
      </c>
      <c r="D114" s="77" t="n">
        <v>3</v>
      </c>
      <c r="E114" s="78" t="n">
        <v>45230</v>
      </c>
      <c r="F114" s="76" t="s">
        <v>200</v>
      </c>
      <c r="G114" s="76" t="s">
        <v>201</v>
      </c>
      <c r="H114" s="76" t="s">
        <v>197</v>
      </c>
      <c r="I114" s="79" t="n">
        <v>1418.6</v>
      </c>
      <c r="J114" s="79" t="n">
        <v>551.2</v>
      </c>
      <c r="K114" s="80" t="n">
        <v>0.41</v>
      </c>
      <c r="L114" s="79" t="n">
        <v>858.6</v>
      </c>
      <c r="M114" s="79" t="n">
        <v>15233.4</v>
      </c>
      <c r="N114" s="80" t="n">
        <v>0.06</v>
      </c>
      <c r="O114" s="80" t="n">
        <v>47.2200012207031</v>
      </c>
      <c r="P114" s="47" t="n">
        <v>12</v>
      </c>
      <c r="Q114" s="66" t="s">
        <v>342</v>
      </c>
    </row>
    <row r="115" customFormat="false" ht="15" hidden="false" customHeight="false" outlineLevel="0" collapsed="false">
      <c r="A115" s="76" t="s">
        <v>175</v>
      </c>
      <c r="B115" s="76" t="s">
        <v>217</v>
      </c>
      <c r="C115" s="77" t="n">
        <v>2024</v>
      </c>
      <c r="D115" s="77" t="n">
        <v>2</v>
      </c>
      <c r="E115" s="78" t="n">
        <v>45138</v>
      </c>
      <c r="F115" s="76" t="s">
        <v>200</v>
      </c>
      <c r="G115" s="76" t="s">
        <v>201</v>
      </c>
      <c r="H115" s="76" t="s">
        <v>197</v>
      </c>
      <c r="I115" s="79" t="n">
        <v>1340.9</v>
      </c>
      <c r="J115" s="79" t="n">
        <v>521.1</v>
      </c>
      <c r="K115" s="80" t="n">
        <v>0.33</v>
      </c>
      <c r="L115" s="79" t="n">
        <v>860.9</v>
      </c>
      <c r="M115" s="79" t="n">
        <v>15389.5</v>
      </c>
      <c r="N115" s="80" t="n">
        <v>0.06</v>
      </c>
      <c r="O115" s="80" t="n">
        <v>65.129997253418</v>
      </c>
      <c r="P115" s="47" t="n">
        <v>13</v>
      </c>
      <c r="Q115" s="66" t="s">
        <v>343</v>
      </c>
    </row>
    <row r="116" customFormat="false" ht="15" hidden="false" customHeight="false" outlineLevel="0" collapsed="false">
      <c r="A116" s="76" t="s">
        <v>175</v>
      </c>
      <c r="B116" s="76" t="s">
        <v>219</v>
      </c>
      <c r="C116" s="77" t="n">
        <v>2024</v>
      </c>
      <c r="D116" s="77" t="n">
        <v>1</v>
      </c>
      <c r="E116" s="78" t="n">
        <v>45046</v>
      </c>
      <c r="F116" s="76" t="s">
        <v>200</v>
      </c>
      <c r="G116" s="76" t="s">
        <v>201</v>
      </c>
      <c r="H116" s="76" t="s">
        <v>197</v>
      </c>
      <c r="I116" s="79" t="n">
        <v>1321.7</v>
      </c>
      <c r="J116" s="79" t="n">
        <v>557.2</v>
      </c>
      <c r="K116" s="80" t="n">
        <v>0.31</v>
      </c>
      <c r="L116" s="79" t="n">
        <v>856.7</v>
      </c>
      <c r="M116" s="79" t="n">
        <v>15493.9</v>
      </c>
      <c r="N116" s="80" t="n">
        <v>0.06</v>
      </c>
      <c r="O116" s="80" t="n">
        <v>39.4799995422363</v>
      </c>
      <c r="P116" s="47" t="n">
        <v>14</v>
      </c>
      <c r="Q116" s="66" t="s">
        <v>344</v>
      </c>
    </row>
    <row r="117" customFormat="false" ht="15" hidden="false" customHeight="false" outlineLevel="0" collapsed="false">
      <c r="A117" s="76" t="s">
        <v>175</v>
      </c>
      <c r="B117" s="76" t="s">
        <v>221</v>
      </c>
      <c r="C117" s="77" t="n">
        <v>2023</v>
      </c>
      <c r="D117" s="77" t="n">
        <v>4</v>
      </c>
      <c r="E117" s="78" t="n">
        <v>44957</v>
      </c>
      <c r="F117" s="76" t="s">
        <v>200</v>
      </c>
      <c r="G117" s="76" t="s">
        <v>201</v>
      </c>
      <c r="H117" s="76" t="s">
        <v>197</v>
      </c>
      <c r="I117" s="79" t="n">
        <v>1418.5</v>
      </c>
      <c r="J117" s="79" t="n">
        <v>673.3</v>
      </c>
      <c r="K117" s="80" t="n">
        <v>0.46</v>
      </c>
      <c r="L117" s="79"/>
      <c r="M117" s="79" t="n">
        <v>15637.2</v>
      </c>
      <c r="N117" s="80" t="n">
        <v>0.06</v>
      </c>
      <c r="O117" s="80" t="n">
        <v>43.1500015258789</v>
      </c>
      <c r="P117" s="47" t="n">
        <v>15</v>
      </c>
      <c r="Q117" s="66" t="s">
        <v>345</v>
      </c>
    </row>
    <row r="118" customFormat="false" ht="15" hidden="false" customHeight="false" outlineLevel="0" collapsed="false">
      <c r="A118" s="76" t="s">
        <v>175</v>
      </c>
      <c r="B118" s="76" t="s">
        <v>223</v>
      </c>
      <c r="C118" s="77" t="n">
        <v>2023</v>
      </c>
      <c r="D118" s="77" t="n">
        <v>3</v>
      </c>
      <c r="E118" s="78" t="n">
        <v>44865</v>
      </c>
      <c r="F118" s="76" t="s">
        <v>200</v>
      </c>
      <c r="G118" s="76" t="s">
        <v>201</v>
      </c>
      <c r="H118" s="76" t="s">
        <v>197</v>
      </c>
      <c r="I118" s="79" t="n">
        <v>1537.3</v>
      </c>
      <c r="J118" s="79" t="n">
        <v>777.3</v>
      </c>
      <c r="K118" s="80" t="n">
        <v>0.57</v>
      </c>
      <c r="L118" s="79" t="n">
        <v>858.4</v>
      </c>
      <c r="M118" s="79" t="n">
        <v>15559</v>
      </c>
      <c r="N118" s="80" t="n">
        <v>0.06</v>
      </c>
      <c r="O118" s="80" t="n">
        <v>39.6800003051758</v>
      </c>
      <c r="P118" s="47" t="n">
        <v>16</v>
      </c>
      <c r="Q118" s="66" t="s">
        <v>346</v>
      </c>
    </row>
    <row r="119" customFormat="false" ht="15" hidden="false" customHeight="false" outlineLevel="0" collapsed="false">
      <c r="A119" s="76" t="s">
        <v>175</v>
      </c>
      <c r="B119" s="76" t="s">
        <v>225</v>
      </c>
      <c r="C119" s="77" t="n">
        <v>2023</v>
      </c>
      <c r="D119" s="77" t="n">
        <v>2</v>
      </c>
      <c r="E119" s="78" t="n">
        <v>44773</v>
      </c>
      <c r="F119" s="76" t="s">
        <v>200</v>
      </c>
      <c r="G119" s="76" t="s">
        <v>201</v>
      </c>
      <c r="H119" s="76" t="s">
        <v>197</v>
      </c>
      <c r="I119" s="79" t="n">
        <v>1516.9</v>
      </c>
      <c r="J119" s="79" t="n">
        <v>786</v>
      </c>
      <c r="K119" s="80" t="n">
        <v>0.57</v>
      </c>
      <c r="L119" s="79" t="n">
        <v>857.9</v>
      </c>
      <c r="M119" s="79" t="n">
        <v>15530.2</v>
      </c>
      <c r="N119" s="80" t="n">
        <v>0.06</v>
      </c>
      <c r="O119" s="80" t="n">
        <v>55.6800003051758</v>
      </c>
      <c r="P119" s="47" t="n">
        <v>17</v>
      </c>
      <c r="Q119" s="66" t="s">
        <v>347</v>
      </c>
    </row>
    <row r="120" customFormat="false" ht="15" hidden="false" customHeight="false" outlineLevel="0" collapsed="false">
      <c r="A120" s="76" t="s">
        <v>175</v>
      </c>
      <c r="B120" s="76" t="s">
        <v>227</v>
      </c>
      <c r="C120" s="77" t="n">
        <v>2023</v>
      </c>
      <c r="D120" s="77" t="n">
        <v>1</v>
      </c>
      <c r="E120" s="78" t="n">
        <v>44681</v>
      </c>
      <c r="F120" s="76" t="s">
        <v>200</v>
      </c>
      <c r="G120" s="76" t="s">
        <v>201</v>
      </c>
      <c r="H120" s="76" t="s">
        <v>197</v>
      </c>
      <c r="I120" s="79" t="n">
        <v>1446.9</v>
      </c>
      <c r="J120" s="79" t="n">
        <v>750.9</v>
      </c>
      <c r="K120" s="80" t="n">
        <v>0.52</v>
      </c>
      <c r="L120" s="79" t="n">
        <v>848</v>
      </c>
      <c r="M120" s="79" t="n">
        <v>15465</v>
      </c>
      <c r="N120" s="80" t="n">
        <v>0.06</v>
      </c>
      <c r="O120" s="80" t="n">
        <v>58.0800018310547</v>
      </c>
      <c r="P120" s="47" t="n">
        <v>18</v>
      </c>
      <c r="Q120" s="66" t="s">
        <v>348</v>
      </c>
    </row>
    <row r="121" customFormat="false" ht="15" hidden="false" customHeight="false" outlineLevel="0" collapsed="false">
      <c r="A121" s="76" t="s">
        <v>175</v>
      </c>
      <c r="B121" s="76" t="s">
        <v>229</v>
      </c>
      <c r="C121" s="77" t="n">
        <v>2022</v>
      </c>
      <c r="D121" s="77" t="n">
        <v>4</v>
      </c>
      <c r="E121" s="78" t="n">
        <v>44592</v>
      </c>
      <c r="F121" s="76" t="s">
        <v>200</v>
      </c>
      <c r="G121" s="76" t="s">
        <v>201</v>
      </c>
      <c r="H121" s="76" t="s">
        <v>197</v>
      </c>
      <c r="I121" s="79" t="n">
        <v>1342.978</v>
      </c>
      <c r="J121" s="79" t="n">
        <v>686.434</v>
      </c>
      <c r="K121" s="80" t="n">
        <v>0.5</v>
      </c>
      <c r="L121" s="79"/>
      <c r="M121" s="79" t="n">
        <v>15702.1</v>
      </c>
      <c r="N121" s="80" t="n">
        <v>0.06</v>
      </c>
      <c r="O121" s="80" t="n">
        <v>71.4000015258789</v>
      </c>
      <c r="P121" s="47" t="n">
        <v>19</v>
      </c>
      <c r="Q121" s="66" t="s">
        <v>349</v>
      </c>
    </row>
    <row r="122" customFormat="false" ht="15" hidden="false" customHeight="false" outlineLevel="0" collapsed="false">
      <c r="A122" s="76" t="s">
        <v>175</v>
      </c>
      <c r="B122" s="76" t="s">
        <v>231</v>
      </c>
      <c r="C122" s="77" t="n">
        <v>2022</v>
      </c>
      <c r="D122" s="77" t="n">
        <v>3</v>
      </c>
      <c r="E122" s="78" t="n">
        <v>44500</v>
      </c>
      <c r="F122" s="76" t="s">
        <v>200</v>
      </c>
      <c r="G122" s="76" t="s">
        <v>201</v>
      </c>
      <c r="H122" s="76" t="s">
        <v>197</v>
      </c>
      <c r="I122" s="79" t="n">
        <v>1211.2</v>
      </c>
      <c r="J122" s="79" t="n">
        <v>587.8</v>
      </c>
      <c r="K122" s="80" t="n">
        <v>0.43</v>
      </c>
      <c r="L122" s="79" t="n">
        <v>828.6</v>
      </c>
      <c r="M122" s="79" t="n">
        <v>15686.344</v>
      </c>
      <c r="N122" s="80" t="n">
        <v>0.06</v>
      </c>
      <c r="O122" s="80" t="n">
        <v>68.5</v>
      </c>
      <c r="P122" s="47" t="n">
        <v>20</v>
      </c>
      <c r="Q122" s="66" t="s">
        <v>350</v>
      </c>
    </row>
    <row r="123" customFormat="false" ht="15" hidden="false" customHeight="false" outlineLevel="0" collapsed="false">
      <c r="A123" s="76" t="s">
        <v>175</v>
      </c>
      <c r="B123" s="76" t="s">
        <v>233</v>
      </c>
      <c r="C123" s="77" t="n">
        <v>2022</v>
      </c>
      <c r="D123" s="77" t="n">
        <v>2</v>
      </c>
      <c r="E123" s="78" t="n">
        <v>44408</v>
      </c>
      <c r="F123" s="76" t="s">
        <v>200</v>
      </c>
      <c r="G123" s="76" t="s">
        <v>201</v>
      </c>
      <c r="H123" s="76" t="s">
        <v>197</v>
      </c>
      <c r="I123" s="79" t="n">
        <v>1075.9</v>
      </c>
      <c r="J123" s="79" t="n">
        <v>371.8</v>
      </c>
      <c r="K123" s="80" t="n">
        <v>0.34</v>
      </c>
      <c r="L123" s="79" t="n">
        <v>821.1</v>
      </c>
      <c r="M123" s="79" t="n">
        <v>14741.197</v>
      </c>
      <c r="N123" s="80" t="n">
        <v>0.06</v>
      </c>
      <c r="O123" s="80" t="n">
        <v>60.5099983215332</v>
      </c>
      <c r="P123" s="47" t="n">
        <v>21</v>
      </c>
      <c r="Q123" s="66" t="s">
        <v>351</v>
      </c>
    </row>
    <row r="124" customFormat="false" ht="15" hidden="false" customHeight="false" outlineLevel="0" collapsed="false">
      <c r="A124" s="76" t="s">
        <v>175</v>
      </c>
      <c r="B124" s="76" t="s">
        <v>235</v>
      </c>
      <c r="C124" s="77" t="n">
        <v>2022</v>
      </c>
      <c r="D124" s="77" t="n">
        <v>1</v>
      </c>
      <c r="E124" s="78" t="n">
        <v>44316</v>
      </c>
      <c r="F124" s="76" t="s">
        <v>200</v>
      </c>
      <c r="G124" s="76" t="s">
        <v>201</v>
      </c>
      <c r="H124" s="76" t="s">
        <v>197</v>
      </c>
      <c r="I124" s="79" t="n">
        <v>832.3</v>
      </c>
      <c r="J124" s="79" t="n">
        <v>418.2</v>
      </c>
      <c r="K124" s="80" t="n">
        <v>0.29</v>
      </c>
      <c r="L124" s="79" t="n">
        <v>693.4</v>
      </c>
      <c r="M124" s="79" t="n">
        <v>14855.37</v>
      </c>
      <c r="N124" s="80" t="n">
        <v>0.06</v>
      </c>
      <c r="O124" s="80" t="n">
        <v>45.2099990844727</v>
      </c>
      <c r="P124" s="47" t="n">
        <v>22</v>
      </c>
      <c r="Q124" s="66" t="s">
        <v>352</v>
      </c>
    </row>
    <row r="125" customFormat="false" ht="15" hidden="false" customHeight="false" outlineLevel="0" collapsed="false">
      <c r="A125" s="76" t="s">
        <v>175</v>
      </c>
      <c r="B125" s="76" t="s">
        <v>237</v>
      </c>
      <c r="C125" s="77" t="n">
        <v>2021</v>
      </c>
      <c r="D125" s="77" t="n">
        <v>4</v>
      </c>
      <c r="E125" s="78" t="n">
        <v>44227</v>
      </c>
      <c r="F125" s="76" t="s">
        <v>200</v>
      </c>
      <c r="G125" s="76" t="s">
        <v>201</v>
      </c>
      <c r="H125" s="76" t="s">
        <v>197</v>
      </c>
      <c r="I125" s="79" t="n">
        <v>797.819</v>
      </c>
      <c r="J125" s="79" t="n">
        <v>421.132</v>
      </c>
      <c r="K125" s="80" t="n">
        <v>0.29</v>
      </c>
      <c r="L125" s="79"/>
      <c r="M125" s="79" t="n">
        <v>8435.804</v>
      </c>
      <c r="N125" s="80" t="n">
        <v>0.06</v>
      </c>
      <c r="O125" s="80" t="n">
        <v>51.4599990844727</v>
      </c>
      <c r="P125" s="47" t="n">
        <v>23</v>
      </c>
      <c r="Q125" s="66" t="s">
        <v>353</v>
      </c>
    </row>
    <row r="126" customFormat="false" ht="15" hidden="false" customHeight="false" outlineLevel="0" collapsed="false">
      <c r="A126" s="76" t="s">
        <v>175</v>
      </c>
      <c r="B126" s="76" t="s">
        <v>239</v>
      </c>
      <c r="C126" s="77" t="n">
        <v>2021</v>
      </c>
      <c r="D126" s="77" t="n">
        <v>3</v>
      </c>
      <c r="E126" s="78" t="n">
        <v>44135</v>
      </c>
      <c r="F126" s="76" t="s">
        <v>200</v>
      </c>
      <c r="G126" s="76" t="s">
        <v>201</v>
      </c>
      <c r="H126" s="76" t="s">
        <v>197</v>
      </c>
      <c r="I126" s="79" t="n">
        <v>750.143</v>
      </c>
      <c r="J126" s="79" t="n">
        <v>381.06</v>
      </c>
      <c r="K126" s="80" t="n">
        <v>0.25</v>
      </c>
      <c r="L126" s="79" t="n">
        <v>670.487</v>
      </c>
      <c r="M126" s="79" t="n">
        <v>8389.617</v>
      </c>
      <c r="N126" s="80"/>
      <c r="O126" s="80" t="n">
        <v>37.5099983215332</v>
      </c>
      <c r="P126" s="47" t="n">
        <v>24</v>
      </c>
      <c r="Q126" s="66" t="s">
        <v>354</v>
      </c>
    </row>
    <row r="127" customFormat="false" ht="15" hidden="false" customHeight="false" outlineLevel="0" collapsed="false">
      <c r="A127" s="76" t="s">
        <v>167</v>
      </c>
      <c r="B127" s="76" t="s">
        <v>355</v>
      </c>
      <c r="C127" s="77" t="n">
        <v>2027</v>
      </c>
      <c r="D127" s="77" t="n">
        <v>1</v>
      </c>
      <c r="E127" s="78" t="n">
        <v>46294</v>
      </c>
      <c r="F127" s="76" t="s">
        <v>195</v>
      </c>
      <c r="G127" s="76" t="s">
        <v>196</v>
      </c>
      <c r="H127" s="76" t="s">
        <v>197</v>
      </c>
      <c r="I127" s="79"/>
      <c r="J127" s="79"/>
      <c r="K127" s="80" t="n">
        <v>4.72092</v>
      </c>
      <c r="L127" s="79"/>
      <c r="M127" s="79"/>
      <c r="N127" s="80"/>
      <c r="O127" s="80"/>
      <c r="P127" s="47" t="n">
        <v>0</v>
      </c>
      <c r="Q127" s="66" t="s">
        <v>356</v>
      </c>
    </row>
    <row r="128" customFormat="false" ht="15" hidden="false" customHeight="false" outlineLevel="0" collapsed="false">
      <c r="A128" s="76" t="s">
        <v>167</v>
      </c>
      <c r="B128" s="76" t="s">
        <v>332</v>
      </c>
      <c r="C128" s="77" t="n">
        <v>2026</v>
      </c>
      <c r="D128" s="77" t="n">
        <v>4</v>
      </c>
      <c r="E128" s="78" t="n">
        <v>46203</v>
      </c>
      <c r="F128" s="76" t="s">
        <v>200</v>
      </c>
      <c r="G128" s="76" t="s">
        <v>201</v>
      </c>
      <c r="H128" s="76" t="s">
        <v>197</v>
      </c>
      <c r="I128" s="79" t="n">
        <v>90007</v>
      </c>
      <c r="J128" s="79" t="n">
        <v>60482</v>
      </c>
      <c r="K128" s="80" t="n">
        <v>4.74</v>
      </c>
      <c r="L128" s="79" t="n">
        <v>7443</v>
      </c>
      <c r="M128" s="79" t="n">
        <v>442387</v>
      </c>
      <c r="N128" s="80" t="n">
        <v>0.91</v>
      </c>
      <c r="O128" s="80" t="n">
        <v>373.019989013672</v>
      </c>
      <c r="P128" s="47" t="n">
        <v>1</v>
      </c>
      <c r="Q128" s="66" t="s">
        <v>357</v>
      </c>
    </row>
    <row r="129" customFormat="false" ht="15" hidden="false" customHeight="false" outlineLevel="0" collapsed="false">
      <c r="A129" s="76" t="s">
        <v>167</v>
      </c>
      <c r="B129" s="76" t="s">
        <v>251</v>
      </c>
      <c r="C129" s="77" t="n">
        <v>2026</v>
      </c>
      <c r="D129" s="77" t="n">
        <v>3</v>
      </c>
      <c r="E129" s="78" t="n">
        <v>46112</v>
      </c>
      <c r="F129" s="76" t="s">
        <v>200</v>
      </c>
      <c r="G129" s="76" t="s">
        <v>201</v>
      </c>
      <c r="H129" s="76" t="s">
        <v>197</v>
      </c>
      <c r="I129" s="79" t="n">
        <v>82886</v>
      </c>
      <c r="J129" s="79" t="n">
        <v>56058</v>
      </c>
      <c r="K129" s="80" t="n">
        <v>4.27</v>
      </c>
      <c r="L129" s="79" t="n">
        <v>7445</v>
      </c>
      <c r="M129" s="79" t="n">
        <v>414367</v>
      </c>
      <c r="N129" s="80" t="n">
        <v>0.91</v>
      </c>
      <c r="O129" s="80" t="n">
        <v>370.170013427734</v>
      </c>
      <c r="P129" s="47" t="n">
        <v>2</v>
      </c>
      <c r="Q129" s="66" t="s">
        <v>358</v>
      </c>
    </row>
    <row r="130" customFormat="false" ht="15" hidden="false" customHeight="false" outlineLevel="0" collapsed="false">
      <c r="A130" s="76" t="s">
        <v>167</v>
      </c>
      <c r="B130" s="76" t="s">
        <v>199</v>
      </c>
      <c r="C130" s="77" t="n">
        <v>2026</v>
      </c>
      <c r="D130" s="77" t="n">
        <v>2</v>
      </c>
      <c r="E130" s="78" t="n">
        <v>46022</v>
      </c>
      <c r="F130" s="76" t="s">
        <v>200</v>
      </c>
      <c r="G130" s="76" t="s">
        <v>201</v>
      </c>
      <c r="H130" s="76" t="s">
        <v>197</v>
      </c>
      <c r="I130" s="79" t="n">
        <v>81273</v>
      </c>
      <c r="J130" s="79" t="n">
        <v>55295</v>
      </c>
      <c r="K130" s="80" t="n">
        <v>4.14</v>
      </c>
      <c r="L130" s="79" t="n">
        <v>7460</v>
      </c>
      <c r="M130" s="79" t="n">
        <v>390875</v>
      </c>
      <c r="N130" s="80" t="n">
        <v>0.91</v>
      </c>
      <c r="O130" s="80" t="n">
        <v>483.619995117188</v>
      </c>
      <c r="P130" s="47" t="n">
        <v>3</v>
      </c>
      <c r="Q130" s="66" t="s">
        <v>359</v>
      </c>
    </row>
    <row r="131" customFormat="false" ht="15" hidden="false" customHeight="false" outlineLevel="0" collapsed="false">
      <c r="A131" s="76" t="s">
        <v>167</v>
      </c>
      <c r="B131" s="76" t="s">
        <v>203</v>
      </c>
      <c r="C131" s="77" t="n">
        <v>2026</v>
      </c>
      <c r="D131" s="77" t="n">
        <v>1</v>
      </c>
      <c r="E131" s="78" t="n">
        <v>45930</v>
      </c>
      <c r="F131" s="76" t="s">
        <v>200</v>
      </c>
      <c r="G131" s="76" t="s">
        <v>201</v>
      </c>
      <c r="H131" s="76" t="s">
        <v>197</v>
      </c>
      <c r="I131" s="79" t="n">
        <v>77673</v>
      </c>
      <c r="J131" s="79" t="n">
        <v>53630</v>
      </c>
      <c r="K131" s="80" t="n">
        <v>4.13</v>
      </c>
      <c r="L131" s="79" t="n">
        <v>7466</v>
      </c>
      <c r="M131" s="79" t="n">
        <v>363076</v>
      </c>
      <c r="N131" s="80" t="n">
        <v>0.83</v>
      </c>
      <c r="O131" s="80" t="n">
        <v>517.950012207031</v>
      </c>
      <c r="P131" s="47" t="n">
        <v>4</v>
      </c>
      <c r="Q131" s="66" t="s">
        <v>360</v>
      </c>
    </row>
    <row r="132" customFormat="false" ht="15" hidden="false" customHeight="false" outlineLevel="0" collapsed="false">
      <c r="A132" s="76" t="s">
        <v>167</v>
      </c>
      <c r="B132" s="76" t="s">
        <v>205</v>
      </c>
      <c r="C132" s="77" t="n">
        <v>2025</v>
      </c>
      <c r="D132" s="77" t="n">
        <v>4</v>
      </c>
      <c r="E132" s="78" t="n">
        <v>45838</v>
      </c>
      <c r="F132" s="76" t="s">
        <v>200</v>
      </c>
      <c r="G132" s="76" t="s">
        <v>201</v>
      </c>
      <c r="H132" s="76" t="s">
        <v>197</v>
      </c>
      <c r="I132" s="79" t="n">
        <v>76441</v>
      </c>
      <c r="J132" s="79" t="n">
        <v>52427</v>
      </c>
      <c r="K132" s="80" t="n">
        <v>3.65</v>
      </c>
      <c r="L132" s="79" t="n">
        <v>7461</v>
      </c>
      <c r="M132" s="79" t="n">
        <v>343479</v>
      </c>
      <c r="N132" s="80" t="n">
        <v>0.83</v>
      </c>
      <c r="O132" s="80" t="n">
        <v>497.410003662109</v>
      </c>
      <c r="P132" s="47" t="n">
        <v>5</v>
      </c>
      <c r="Q132" s="66" t="s">
        <v>361</v>
      </c>
    </row>
    <row r="133" customFormat="false" ht="15" hidden="false" customHeight="false" outlineLevel="0" collapsed="false">
      <c r="A133" s="76" t="s">
        <v>167</v>
      </c>
      <c r="B133" s="76" t="s">
        <v>207</v>
      </c>
      <c r="C133" s="77" t="n">
        <v>2025</v>
      </c>
      <c r="D133" s="77" t="n">
        <v>3</v>
      </c>
      <c r="E133" s="78" t="n">
        <v>45747</v>
      </c>
      <c r="F133" s="76" t="s">
        <v>200</v>
      </c>
      <c r="G133" s="76" t="s">
        <v>201</v>
      </c>
      <c r="H133" s="76" t="s">
        <v>197</v>
      </c>
      <c r="I133" s="79" t="n">
        <v>70066</v>
      </c>
      <c r="J133" s="79" t="n">
        <v>48147</v>
      </c>
      <c r="K133" s="80" t="n">
        <v>3.46</v>
      </c>
      <c r="L133" s="79" t="n">
        <v>7468.25</v>
      </c>
      <c r="M133" s="79" t="n">
        <v>321891</v>
      </c>
      <c r="N133" s="80" t="n">
        <v>0.83</v>
      </c>
      <c r="O133" s="80" t="n">
        <v>375.390014648438</v>
      </c>
      <c r="P133" s="47" t="n">
        <v>6</v>
      </c>
      <c r="Q133" s="66" t="s">
        <v>362</v>
      </c>
    </row>
    <row r="134" customFormat="false" ht="15" hidden="false" customHeight="false" outlineLevel="0" collapsed="false">
      <c r="A134" s="76" t="s">
        <v>167</v>
      </c>
      <c r="B134" s="76" t="s">
        <v>209</v>
      </c>
      <c r="C134" s="77" t="n">
        <v>2025</v>
      </c>
      <c r="D134" s="77" t="n">
        <v>2</v>
      </c>
      <c r="E134" s="78" t="n">
        <v>45657</v>
      </c>
      <c r="F134" s="76" t="s">
        <v>200</v>
      </c>
      <c r="G134" s="76" t="s">
        <v>201</v>
      </c>
      <c r="H134" s="76" t="s">
        <v>197</v>
      </c>
      <c r="I134" s="79" t="n">
        <v>69632</v>
      </c>
      <c r="J134" s="79" t="n">
        <v>47833</v>
      </c>
      <c r="K134" s="80" t="n">
        <v>3.23</v>
      </c>
      <c r="L134" s="79" t="n">
        <v>7471</v>
      </c>
      <c r="M134" s="79" t="n">
        <v>302695</v>
      </c>
      <c r="N134" s="80" t="n">
        <v>0.83</v>
      </c>
      <c r="O134" s="80" t="n">
        <v>421.5</v>
      </c>
      <c r="P134" s="47" t="n">
        <v>7</v>
      </c>
      <c r="Q134" s="66" t="s">
        <v>363</v>
      </c>
    </row>
    <row r="135" customFormat="false" ht="15" hidden="false" customHeight="false" outlineLevel="0" collapsed="false">
      <c r="A135" s="76" t="s">
        <v>167</v>
      </c>
      <c r="B135" s="76" t="s">
        <v>211</v>
      </c>
      <c r="C135" s="77" t="n">
        <v>2025</v>
      </c>
      <c r="D135" s="77" t="n">
        <v>1</v>
      </c>
      <c r="E135" s="78" t="n">
        <v>45565</v>
      </c>
      <c r="F135" s="76" t="s">
        <v>200</v>
      </c>
      <c r="G135" s="76" t="s">
        <v>201</v>
      </c>
      <c r="H135" s="76" t="s">
        <v>197</v>
      </c>
      <c r="I135" s="79" t="n">
        <v>65585</v>
      </c>
      <c r="J135" s="79" t="n">
        <v>45486</v>
      </c>
      <c r="K135" s="80" t="n">
        <v>3.3</v>
      </c>
      <c r="L135" s="79" t="n">
        <v>7471</v>
      </c>
      <c r="M135" s="79" t="n">
        <v>287723</v>
      </c>
      <c r="N135" s="80" t="n">
        <v>0.75</v>
      </c>
      <c r="O135" s="80" t="n">
        <v>430.299987792969</v>
      </c>
      <c r="P135" s="47" t="n">
        <v>8</v>
      </c>
      <c r="Q135" s="66" t="s">
        <v>364</v>
      </c>
    </row>
    <row r="136" customFormat="false" ht="15" hidden="false" customHeight="false" outlineLevel="0" collapsed="false">
      <c r="A136" s="76" t="s">
        <v>167</v>
      </c>
      <c r="B136" s="76" t="s">
        <v>213</v>
      </c>
      <c r="C136" s="77" t="n">
        <v>2024</v>
      </c>
      <c r="D136" s="77" t="n">
        <v>4</v>
      </c>
      <c r="E136" s="78" t="n">
        <v>45473</v>
      </c>
      <c r="F136" s="76" t="s">
        <v>200</v>
      </c>
      <c r="G136" s="76" t="s">
        <v>201</v>
      </c>
      <c r="H136" s="76" t="s">
        <v>197</v>
      </c>
      <c r="I136" s="79" t="n">
        <v>64727</v>
      </c>
      <c r="J136" s="79" t="n">
        <v>45043</v>
      </c>
      <c r="K136" s="80" t="n">
        <v>2.95</v>
      </c>
      <c r="L136" s="79"/>
      <c r="M136" s="79" t="n">
        <v>268477</v>
      </c>
      <c r="N136" s="80" t="n">
        <v>0.75</v>
      </c>
      <c r="O136" s="80" t="n">
        <v>446.950012207031</v>
      </c>
      <c r="P136" s="47" t="n">
        <v>9</v>
      </c>
      <c r="Q136" s="66" t="s">
        <v>365</v>
      </c>
    </row>
    <row r="137" customFormat="false" ht="15" hidden="false" customHeight="false" outlineLevel="0" collapsed="false">
      <c r="A137" s="76" t="s">
        <v>167</v>
      </c>
      <c r="B137" s="76" t="s">
        <v>215</v>
      </c>
      <c r="C137" s="77" t="n">
        <v>2024</v>
      </c>
      <c r="D137" s="77" t="n">
        <v>3</v>
      </c>
      <c r="E137" s="78" t="n">
        <v>45382</v>
      </c>
      <c r="F137" s="76" t="s">
        <v>200</v>
      </c>
      <c r="G137" s="76" t="s">
        <v>201</v>
      </c>
      <c r="H137" s="76" t="s">
        <v>197</v>
      </c>
      <c r="I137" s="79" t="n">
        <v>61858</v>
      </c>
      <c r="J137" s="79" t="n">
        <v>43353</v>
      </c>
      <c r="K137" s="80" t="n">
        <v>2.94</v>
      </c>
      <c r="L137" s="79" t="n">
        <v>7466.75</v>
      </c>
      <c r="M137" s="79" t="n">
        <v>253152</v>
      </c>
      <c r="N137" s="80" t="n">
        <v>0.75</v>
      </c>
      <c r="O137" s="80" t="n">
        <v>420.720001220703</v>
      </c>
      <c r="P137" s="47" t="n">
        <v>10</v>
      </c>
      <c r="Q137" s="66" t="s">
        <v>366</v>
      </c>
    </row>
    <row r="138" customFormat="false" ht="15" hidden="false" customHeight="false" outlineLevel="0" collapsed="false">
      <c r="A138" s="76" t="s">
        <v>167</v>
      </c>
      <c r="B138" s="76" t="s">
        <v>217</v>
      </c>
      <c r="C138" s="77" t="n">
        <v>2024</v>
      </c>
      <c r="D138" s="77" t="n">
        <v>2</v>
      </c>
      <c r="E138" s="78" t="n">
        <v>45291</v>
      </c>
      <c r="F138" s="76" t="s">
        <v>200</v>
      </c>
      <c r="G138" s="76" t="s">
        <v>201</v>
      </c>
      <c r="H138" s="76" t="s">
        <v>197</v>
      </c>
      <c r="I138" s="79" t="n">
        <v>62020</v>
      </c>
      <c r="J138" s="79" t="n">
        <v>42397</v>
      </c>
      <c r="K138" s="80" t="n">
        <v>2.93</v>
      </c>
      <c r="L138" s="79" t="n">
        <v>7465</v>
      </c>
      <c r="M138" s="79" t="n">
        <v>238268</v>
      </c>
      <c r="N138" s="80" t="n">
        <v>0.75</v>
      </c>
      <c r="O138" s="80" t="n">
        <v>376.040008544922</v>
      </c>
      <c r="P138" s="47" t="n">
        <v>11</v>
      </c>
      <c r="Q138" s="66" t="s">
        <v>367</v>
      </c>
    </row>
    <row r="139" customFormat="false" ht="15" hidden="false" customHeight="false" outlineLevel="0" collapsed="false">
      <c r="A139" s="76" t="s">
        <v>167</v>
      </c>
      <c r="B139" s="76" t="s">
        <v>219</v>
      </c>
      <c r="C139" s="77" t="n">
        <v>2024</v>
      </c>
      <c r="D139" s="77" t="n">
        <v>1</v>
      </c>
      <c r="E139" s="78" t="n">
        <v>45199</v>
      </c>
      <c r="F139" s="76" t="s">
        <v>200</v>
      </c>
      <c r="G139" s="76" t="s">
        <v>201</v>
      </c>
      <c r="H139" s="76" t="s">
        <v>197</v>
      </c>
      <c r="I139" s="79" t="n">
        <v>56517</v>
      </c>
      <c r="J139" s="79" t="n">
        <v>40215</v>
      </c>
      <c r="K139" s="80" t="n">
        <v>2.99</v>
      </c>
      <c r="L139" s="79" t="n">
        <v>7466.25</v>
      </c>
      <c r="M139" s="79" t="n">
        <v>220714</v>
      </c>
      <c r="N139" s="80" t="n">
        <v>0.68</v>
      </c>
      <c r="O139" s="80" t="n">
        <v>315.75</v>
      </c>
      <c r="P139" s="47" t="n">
        <v>12</v>
      </c>
      <c r="Q139" s="66" t="s">
        <v>368</v>
      </c>
    </row>
    <row r="140" customFormat="false" ht="15" hidden="false" customHeight="false" outlineLevel="0" collapsed="false">
      <c r="A140" s="76" t="s">
        <v>167</v>
      </c>
      <c r="B140" s="76" t="s">
        <v>221</v>
      </c>
      <c r="C140" s="77" t="n">
        <v>2023</v>
      </c>
      <c r="D140" s="77" t="n">
        <v>4</v>
      </c>
      <c r="E140" s="78" t="n">
        <v>45107</v>
      </c>
      <c r="F140" s="76" t="s">
        <v>200</v>
      </c>
      <c r="G140" s="76" t="s">
        <v>201</v>
      </c>
      <c r="H140" s="76" t="s">
        <v>197</v>
      </c>
      <c r="I140" s="79" t="n">
        <v>56189</v>
      </c>
      <c r="J140" s="79" t="n">
        <v>39394</v>
      </c>
      <c r="K140" s="80" t="n">
        <v>2.69</v>
      </c>
      <c r="L140" s="79"/>
      <c r="M140" s="79" t="n">
        <v>206223</v>
      </c>
      <c r="N140" s="80" t="n">
        <v>0.68</v>
      </c>
      <c r="O140" s="80" t="n">
        <v>340.540008544922</v>
      </c>
      <c r="P140" s="47" t="n">
        <v>13</v>
      </c>
      <c r="Q140" s="66" t="s">
        <v>369</v>
      </c>
    </row>
    <row r="141" customFormat="false" ht="15" hidden="false" customHeight="false" outlineLevel="0" collapsed="false">
      <c r="A141" s="76" t="s">
        <v>167</v>
      </c>
      <c r="B141" s="76" t="s">
        <v>223</v>
      </c>
      <c r="C141" s="77" t="n">
        <v>2023</v>
      </c>
      <c r="D141" s="77" t="n">
        <v>3</v>
      </c>
      <c r="E141" s="78" t="n">
        <v>45016</v>
      </c>
      <c r="F141" s="76" t="s">
        <v>200</v>
      </c>
      <c r="G141" s="76" t="s">
        <v>201</v>
      </c>
      <c r="H141" s="76" t="s">
        <v>197</v>
      </c>
      <c r="I141" s="79" t="n">
        <v>52857</v>
      </c>
      <c r="J141" s="79" t="n">
        <v>36729</v>
      </c>
      <c r="K141" s="80" t="n">
        <v>2.45</v>
      </c>
      <c r="L141" s="79" t="n">
        <v>7464</v>
      </c>
      <c r="M141" s="79" t="n">
        <v>194683</v>
      </c>
      <c r="N141" s="80" t="n">
        <v>0.68</v>
      </c>
      <c r="O141" s="80" t="n">
        <v>288.299987792969</v>
      </c>
      <c r="P141" s="47" t="n">
        <v>14</v>
      </c>
      <c r="Q141" s="66" t="s">
        <v>370</v>
      </c>
    </row>
    <row r="142" customFormat="false" ht="15" hidden="false" customHeight="false" outlineLevel="0" collapsed="false">
      <c r="A142" s="76" t="s">
        <v>167</v>
      </c>
      <c r="B142" s="76" t="s">
        <v>225</v>
      </c>
      <c r="C142" s="77" t="n">
        <v>2023</v>
      </c>
      <c r="D142" s="77" t="n">
        <v>2</v>
      </c>
      <c r="E142" s="78" t="n">
        <v>44926</v>
      </c>
      <c r="F142" s="76" t="s">
        <v>200</v>
      </c>
      <c r="G142" s="76" t="s">
        <v>201</v>
      </c>
      <c r="H142" s="76" t="s">
        <v>197</v>
      </c>
      <c r="I142" s="79" t="n">
        <v>52747</v>
      </c>
      <c r="J142" s="79" t="n">
        <v>35259</v>
      </c>
      <c r="K142" s="80" t="n">
        <v>2.32</v>
      </c>
      <c r="L142" s="79" t="n">
        <v>7473</v>
      </c>
      <c r="M142" s="79" t="n">
        <v>183136</v>
      </c>
      <c r="N142" s="80" t="n">
        <v>0.68</v>
      </c>
      <c r="O142" s="80" t="n">
        <v>239.820007324219</v>
      </c>
      <c r="P142" s="47" t="n">
        <v>15</v>
      </c>
      <c r="Q142" s="66" t="s">
        <v>371</v>
      </c>
    </row>
    <row r="143" customFormat="false" ht="15" hidden="false" customHeight="false" outlineLevel="0" collapsed="false">
      <c r="A143" s="76" t="s">
        <v>167</v>
      </c>
      <c r="B143" s="76" t="s">
        <v>227</v>
      </c>
      <c r="C143" s="77" t="n">
        <v>2023</v>
      </c>
      <c r="D143" s="77" t="n">
        <v>1</v>
      </c>
      <c r="E143" s="78" t="n">
        <v>44834</v>
      </c>
      <c r="F143" s="76" t="s">
        <v>200</v>
      </c>
      <c r="G143" s="76" t="s">
        <v>201</v>
      </c>
      <c r="H143" s="76" t="s">
        <v>197</v>
      </c>
      <c r="I143" s="79" t="n">
        <v>50122</v>
      </c>
      <c r="J143" s="79" t="n">
        <v>34670</v>
      </c>
      <c r="K143" s="80" t="n">
        <v>2.35</v>
      </c>
      <c r="L143" s="79" t="n">
        <v>7485</v>
      </c>
      <c r="M143" s="79" t="n">
        <v>173566</v>
      </c>
      <c r="N143" s="80" t="n">
        <v>0.62</v>
      </c>
      <c r="O143" s="80" t="n">
        <v>232.899993896484</v>
      </c>
      <c r="P143" s="47" t="n">
        <v>16</v>
      </c>
      <c r="Q143" s="66" t="s">
        <v>372</v>
      </c>
    </row>
    <row r="144" customFormat="false" ht="15" hidden="false" customHeight="false" outlineLevel="0" collapsed="false">
      <c r="A144" s="76" t="s">
        <v>167</v>
      </c>
      <c r="B144" s="76" t="s">
        <v>229</v>
      </c>
      <c r="C144" s="77" t="n">
        <v>2022</v>
      </c>
      <c r="D144" s="77" t="n">
        <v>4</v>
      </c>
      <c r="E144" s="78" t="n">
        <v>44742</v>
      </c>
      <c r="F144" s="76" t="s">
        <v>200</v>
      </c>
      <c r="G144" s="76" t="s">
        <v>201</v>
      </c>
      <c r="H144" s="76" t="s">
        <v>197</v>
      </c>
      <c r="I144" s="79" t="n">
        <v>51865</v>
      </c>
      <c r="J144" s="79" t="n">
        <v>35436</v>
      </c>
      <c r="K144" s="80" t="n">
        <v>2.23</v>
      </c>
      <c r="L144" s="79"/>
      <c r="M144" s="79" t="n">
        <v>166542</v>
      </c>
      <c r="N144" s="80" t="n">
        <v>0.62</v>
      </c>
      <c r="O144" s="80" t="n">
        <v>256.829986572266</v>
      </c>
      <c r="P144" s="47" t="n">
        <v>17</v>
      </c>
      <c r="Q144" s="66" t="s">
        <v>373</v>
      </c>
    </row>
    <row r="145" customFormat="false" ht="15" hidden="false" customHeight="false" outlineLevel="0" collapsed="false">
      <c r="A145" s="76" t="s">
        <v>167</v>
      </c>
      <c r="B145" s="76" t="s">
        <v>231</v>
      </c>
      <c r="C145" s="77" t="n">
        <v>2022</v>
      </c>
      <c r="D145" s="77" t="n">
        <v>3</v>
      </c>
      <c r="E145" s="78" t="n">
        <v>44651</v>
      </c>
      <c r="F145" s="76" t="s">
        <v>200</v>
      </c>
      <c r="G145" s="76" t="s">
        <v>201</v>
      </c>
      <c r="H145" s="76" t="s">
        <v>197</v>
      </c>
      <c r="I145" s="79" t="n">
        <v>49360</v>
      </c>
      <c r="J145" s="79" t="n">
        <v>33745</v>
      </c>
      <c r="K145" s="80" t="n">
        <v>2.22</v>
      </c>
      <c r="L145" s="79" t="n">
        <v>7534</v>
      </c>
      <c r="M145" s="79" t="n">
        <v>162924</v>
      </c>
      <c r="N145" s="80" t="n">
        <v>0.62</v>
      </c>
      <c r="O145" s="80" t="n">
        <v>308.309997558594</v>
      </c>
      <c r="P145" s="47" t="n">
        <v>18</v>
      </c>
      <c r="Q145" s="66" t="s">
        <v>374</v>
      </c>
    </row>
    <row r="146" customFormat="false" ht="15" hidden="false" customHeight="false" outlineLevel="0" collapsed="false">
      <c r="A146" s="76" t="s">
        <v>167</v>
      </c>
      <c r="B146" s="76" t="s">
        <v>233</v>
      </c>
      <c r="C146" s="77" t="n">
        <v>2022</v>
      </c>
      <c r="D146" s="77" t="n">
        <v>2</v>
      </c>
      <c r="E146" s="78" t="n">
        <v>44561</v>
      </c>
      <c r="F146" s="76" t="s">
        <v>200</v>
      </c>
      <c r="G146" s="76" t="s">
        <v>201</v>
      </c>
      <c r="H146" s="76" t="s">
        <v>197</v>
      </c>
      <c r="I146" s="79" t="n">
        <v>51728</v>
      </c>
      <c r="J146" s="79" t="n">
        <v>34768</v>
      </c>
      <c r="K146" s="80" t="n">
        <v>2.48</v>
      </c>
      <c r="L146" s="79" t="n">
        <v>7555</v>
      </c>
      <c r="M146" s="79" t="n">
        <v>160010</v>
      </c>
      <c r="N146" s="80" t="n">
        <v>0.62</v>
      </c>
      <c r="O146" s="80" t="n">
        <v>336.320007324219</v>
      </c>
      <c r="P146" s="47" t="n">
        <v>19</v>
      </c>
      <c r="Q146" s="66" t="s">
        <v>375</v>
      </c>
    </row>
    <row r="147" customFormat="false" ht="15" hidden="false" customHeight="false" outlineLevel="0" collapsed="false">
      <c r="A147" s="76" t="s">
        <v>167</v>
      </c>
      <c r="B147" s="76" t="s">
        <v>235</v>
      </c>
      <c r="C147" s="77" t="n">
        <v>2022</v>
      </c>
      <c r="D147" s="77" t="n">
        <v>1</v>
      </c>
      <c r="E147" s="78" t="n">
        <v>44469</v>
      </c>
      <c r="F147" s="76" t="s">
        <v>200</v>
      </c>
      <c r="G147" s="76" t="s">
        <v>201</v>
      </c>
      <c r="H147" s="76" t="s">
        <v>197</v>
      </c>
      <c r="I147" s="79" t="n">
        <v>45317</v>
      </c>
      <c r="J147" s="79" t="n">
        <v>31671</v>
      </c>
      <c r="K147" s="80" t="n">
        <v>2.27</v>
      </c>
      <c r="L147" s="79" t="n">
        <v>7567</v>
      </c>
      <c r="M147" s="79" t="n">
        <v>151978</v>
      </c>
      <c r="N147" s="80" t="n">
        <v>0.56</v>
      </c>
      <c r="O147" s="80" t="n">
        <v>281.920013427734</v>
      </c>
      <c r="P147" s="47" t="n">
        <v>20</v>
      </c>
      <c r="Q147" s="66" t="s">
        <v>376</v>
      </c>
    </row>
    <row r="148" customFormat="false" ht="15" hidden="false" customHeight="false" outlineLevel="0" collapsed="false">
      <c r="A148" s="76" t="s">
        <v>167</v>
      </c>
      <c r="B148" s="76" t="s">
        <v>237</v>
      </c>
      <c r="C148" s="77" t="n">
        <v>2021</v>
      </c>
      <c r="D148" s="77" t="n">
        <v>4</v>
      </c>
      <c r="E148" s="78" t="n">
        <v>44377</v>
      </c>
      <c r="F148" s="76" t="s">
        <v>200</v>
      </c>
      <c r="G148" s="76" t="s">
        <v>201</v>
      </c>
      <c r="H148" s="76" t="s">
        <v>197</v>
      </c>
      <c r="I148" s="79" t="n">
        <v>46152</v>
      </c>
      <c r="J148" s="79" t="n">
        <v>32161</v>
      </c>
      <c r="K148" s="80" t="n">
        <v>2.17</v>
      </c>
      <c r="L148" s="79"/>
      <c r="M148" s="79" t="n">
        <v>141988</v>
      </c>
      <c r="N148" s="80" t="n">
        <v>0.56</v>
      </c>
      <c r="O148" s="80" t="n">
        <v>270.899993896484</v>
      </c>
      <c r="P148" s="47" t="n">
        <v>21</v>
      </c>
      <c r="Q148" s="66" t="s">
        <v>377</v>
      </c>
    </row>
    <row r="149" customFormat="false" ht="15" hidden="false" customHeight="false" outlineLevel="0" collapsed="false">
      <c r="A149" s="76" t="s">
        <v>167</v>
      </c>
      <c r="B149" s="76" t="s">
        <v>239</v>
      </c>
      <c r="C149" s="77" t="n">
        <v>2021</v>
      </c>
      <c r="D149" s="77" t="n">
        <v>3</v>
      </c>
      <c r="E149" s="78" t="n">
        <v>44286</v>
      </c>
      <c r="F149" s="76" t="s">
        <v>200</v>
      </c>
      <c r="G149" s="76" t="s">
        <v>201</v>
      </c>
      <c r="H149" s="76" t="s">
        <v>197</v>
      </c>
      <c r="I149" s="79" t="n">
        <v>41706</v>
      </c>
      <c r="J149" s="79" t="n">
        <v>28661</v>
      </c>
      <c r="K149" s="80" t="n">
        <v>1.95</v>
      </c>
      <c r="L149" s="79" t="n">
        <v>7597</v>
      </c>
      <c r="M149" s="79" t="n">
        <v>134505</v>
      </c>
      <c r="N149" s="80" t="n">
        <v>0.56</v>
      </c>
      <c r="O149" s="80" t="n">
        <v>235.770004272461</v>
      </c>
      <c r="P149" s="47" t="n">
        <v>22</v>
      </c>
      <c r="Q149" s="66" t="s">
        <v>378</v>
      </c>
    </row>
    <row r="150" customFormat="false" ht="15" hidden="false" customHeight="false" outlineLevel="0" collapsed="false">
      <c r="A150" s="76" t="s">
        <v>167</v>
      </c>
      <c r="B150" s="76" t="s">
        <v>241</v>
      </c>
      <c r="C150" s="77" t="n">
        <v>2021</v>
      </c>
      <c r="D150" s="77" t="n">
        <v>2</v>
      </c>
      <c r="E150" s="78" t="n">
        <v>44196</v>
      </c>
      <c r="F150" s="76" t="s">
        <v>200</v>
      </c>
      <c r="G150" s="76" t="s">
        <v>201</v>
      </c>
      <c r="H150" s="76" t="s">
        <v>197</v>
      </c>
      <c r="I150" s="79" t="n">
        <v>43076</v>
      </c>
      <c r="J150" s="79" t="n">
        <v>28882</v>
      </c>
      <c r="K150" s="80" t="n">
        <v>2.03</v>
      </c>
      <c r="L150" s="79" t="n">
        <v>7616</v>
      </c>
      <c r="M150" s="79" t="n">
        <v>130236</v>
      </c>
      <c r="N150" s="80" t="n">
        <v>0.56</v>
      </c>
      <c r="O150" s="80" t="n">
        <v>222.419998168945</v>
      </c>
      <c r="P150" s="47" t="n">
        <v>23</v>
      </c>
      <c r="Q150" s="66" t="s">
        <v>379</v>
      </c>
    </row>
    <row r="151" customFormat="false" ht="15" hidden="false" customHeight="false" outlineLevel="0" collapsed="false">
      <c r="A151" s="76" t="s">
        <v>167</v>
      </c>
      <c r="B151" s="76" t="s">
        <v>243</v>
      </c>
      <c r="C151" s="77" t="n">
        <v>2021</v>
      </c>
      <c r="D151" s="77" t="n">
        <v>1</v>
      </c>
      <c r="E151" s="78" t="n">
        <v>44104</v>
      </c>
      <c r="F151" s="76" t="s">
        <v>200</v>
      </c>
      <c r="G151" s="76" t="s">
        <v>201</v>
      </c>
      <c r="H151" s="76" t="s">
        <v>197</v>
      </c>
      <c r="I151" s="79" t="n">
        <v>37154</v>
      </c>
      <c r="J151" s="79" t="n">
        <v>26152</v>
      </c>
      <c r="K151" s="80" t="n">
        <v>1.82</v>
      </c>
      <c r="L151" s="79" t="n">
        <v>7637</v>
      </c>
      <c r="M151" s="79" t="n">
        <v>123392</v>
      </c>
      <c r="N151" s="80"/>
      <c r="O151" s="80" t="n">
        <v>210.330001831055</v>
      </c>
      <c r="P151" s="47" t="n">
        <v>24</v>
      </c>
      <c r="Q151" s="66" t="s">
        <v>380</v>
      </c>
    </row>
    <row r="152" customFormat="false" ht="15" hidden="false" customHeight="false" outlineLevel="0" collapsed="false">
      <c r="A152" s="76" t="s">
        <v>168</v>
      </c>
      <c r="B152" s="76" t="s">
        <v>326</v>
      </c>
      <c r="C152" s="77" t="n">
        <v>2027</v>
      </c>
      <c r="D152" s="77" t="n">
        <v>3</v>
      </c>
      <c r="E152" s="78" t="n">
        <v>46325</v>
      </c>
      <c r="F152" s="76" t="s">
        <v>195</v>
      </c>
      <c r="G152" s="76" t="s">
        <v>196</v>
      </c>
      <c r="H152" s="76" t="s">
        <v>197</v>
      </c>
      <c r="I152" s="79"/>
      <c r="J152" s="79"/>
      <c r="K152" s="80" t="n">
        <v>2.34</v>
      </c>
      <c r="L152" s="79"/>
      <c r="M152" s="79"/>
      <c r="N152" s="80"/>
      <c r="O152" s="80"/>
      <c r="P152" s="47" t="n">
        <v>0</v>
      </c>
      <c r="Q152" s="66" t="s">
        <v>381</v>
      </c>
    </row>
    <row r="153" customFormat="false" ht="15" hidden="false" customHeight="false" outlineLevel="0" collapsed="false">
      <c r="A153" s="76" t="s">
        <v>168</v>
      </c>
      <c r="B153" s="76" t="s">
        <v>328</v>
      </c>
      <c r="C153" s="77" t="n">
        <v>2027</v>
      </c>
      <c r="D153" s="77" t="n">
        <v>2</v>
      </c>
      <c r="E153" s="78" t="n">
        <v>46234</v>
      </c>
      <c r="F153" s="76" t="s">
        <v>200</v>
      </c>
      <c r="G153" s="76" t="s">
        <v>201</v>
      </c>
      <c r="H153" s="76" t="s">
        <v>197</v>
      </c>
      <c r="I153" s="79" t="n">
        <v>302970</v>
      </c>
      <c r="J153" s="79" t="n">
        <v>226241</v>
      </c>
      <c r="K153" s="80" t="n">
        <v>2.22</v>
      </c>
      <c r="L153" s="79" t="n">
        <v>24397.5</v>
      </c>
      <c r="M153" s="79" t="n">
        <v>228984</v>
      </c>
      <c r="N153" s="80" t="n">
        <v>0.25</v>
      </c>
      <c r="O153" s="80" t="n">
        <v>200.75</v>
      </c>
      <c r="P153" s="47" t="n">
        <v>1</v>
      </c>
      <c r="Q153" s="66" t="s">
        <v>382</v>
      </c>
    </row>
    <row r="154" customFormat="false" ht="15" hidden="false" customHeight="false" outlineLevel="0" collapsed="false">
      <c r="A154" s="76" t="s">
        <v>168</v>
      </c>
      <c r="B154" s="76" t="s">
        <v>330</v>
      </c>
      <c r="C154" s="77" t="n">
        <v>2027</v>
      </c>
      <c r="D154" s="77" t="n">
        <v>1</v>
      </c>
      <c r="E154" s="78" t="n">
        <v>46142</v>
      </c>
      <c r="F154" s="76" t="s">
        <v>200</v>
      </c>
      <c r="G154" s="76" t="s">
        <v>201</v>
      </c>
      <c r="H154" s="76" t="s">
        <v>197</v>
      </c>
      <c r="I154" s="79" t="n">
        <v>81615</v>
      </c>
      <c r="J154" s="79" t="n">
        <v>61157</v>
      </c>
      <c r="K154" s="80" t="n">
        <v>1.87</v>
      </c>
      <c r="L154" s="79" t="n">
        <v>24391</v>
      </c>
      <c r="M154" s="79" t="n">
        <v>195474</v>
      </c>
      <c r="N154" s="80" t="n">
        <v>0.01</v>
      </c>
      <c r="O154" s="80" t="n">
        <v>199.570007324219</v>
      </c>
      <c r="P154" s="47" t="n">
        <v>2</v>
      </c>
      <c r="Q154" s="66" t="s">
        <v>383</v>
      </c>
    </row>
    <row r="155" customFormat="false" ht="15" hidden="false" customHeight="false" outlineLevel="0" collapsed="false">
      <c r="A155" s="76" t="s">
        <v>168</v>
      </c>
      <c r="B155" s="76" t="s">
        <v>332</v>
      </c>
      <c r="C155" s="77" t="n">
        <v>2026</v>
      </c>
      <c r="D155" s="77" t="n">
        <v>4</v>
      </c>
      <c r="E155" s="78" t="n">
        <v>46053</v>
      </c>
      <c r="F155" s="76" t="s">
        <v>200</v>
      </c>
      <c r="G155" s="76" t="s">
        <v>201</v>
      </c>
      <c r="H155" s="76" t="s">
        <v>197</v>
      </c>
      <c r="I155" s="79" t="n">
        <v>68127</v>
      </c>
      <c r="J155" s="79" t="n">
        <v>51093</v>
      </c>
      <c r="K155" s="80" t="n">
        <v>1.62</v>
      </c>
      <c r="L155" s="79" t="n">
        <v>24432</v>
      </c>
      <c r="M155" s="79" t="n">
        <v>157293</v>
      </c>
      <c r="N155" s="80" t="n">
        <v>0.01</v>
      </c>
      <c r="O155" s="80" t="n">
        <v>191.130004882813</v>
      </c>
      <c r="P155" s="47" t="n">
        <v>3</v>
      </c>
      <c r="Q155" s="66" t="s">
        <v>384</v>
      </c>
    </row>
    <row r="156" customFormat="false" ht="15" hidden="false" customHeight="false" outlineLevel="0" collapsed="false">
      <c r="A156" s="76" t="s">
        <v>168</v>
      </c>
      <c r="B156" s="76" t="s">
        <v>251</v>
      </c>
      <c r="C156" s="77" t="n">
        <v>2026</v>
      </c>
      <c r="D156" s="77" t="n">
        <v>3</v>
      </c>
      <c r="E156" s="78" t="n">
        <v>45961</v>
      </c>
      <c r="F156" s="76" t="s">
        <v>200</v>
      </c>
      <c r="G156" s="76" t="s">
        <v>201</v>
      </c>
      <c r="H156" s="76" t="s">
        <v>197</v>
      </c>
      <c r="I156" s="79" t="n">
        <v>57006</v>
      </c>
      <c r="J156" s="79" t="n">
        <v>41849</v>
      </c>
      <c r="K156" s="80" t="n">
        <v>1.3</v>
      </c>
      <c r="L156" s="79" t="n">
        <v>24483</v>
      </c>
      <c r="M156" s="79" t="n">
        <v>118897</v>
      </c>
      <c r="N156" s="80" t="n">
        <v>0.01</v>
      </c>
      <c r="O156" s="80" t="n">
        <v>202.490005493164</v>
      </c>
      <c r="P156" s="47" t="n">
        <v>4</v>
      </c>
      <c r="Q156" s="66" t="s">
        <v>385</v>
      </c>
    </row>
    <row r="157" customFormat="false" ht="15" hidden="false" customHeight="false" outlineLevel="0" collapsed="false">
      <c r="A157" s="76" t="s">
        <v>168</v>
      </c>
      <c r="B157" s="76" t="s">
        <v>199</v>
      </c>
      <c r="C157" s="77" t="n">
        <v>2026</v>
      </c>
      <c r="D157" s="77" t="n">
        <v>2</v>
      </c>
      <c r="E157" s="78" t="n">
        <v>45869</v>
      </c>
      <c r="F157" s="76" t="s">
        <v>200</v>
      </c>
      <c r="G157" s="76" t="s">
        <v>201</v>
      </c>
      <c r="H157" s="76" t="s">
        <v>197</v>
      </c>
      <c r="I157" s="79" t="n">
        <v>46743</v>
      </c>
      <c r="J157" s="79" t="n">
        <v>33853</v>
      </c>
      <c r="K157" s="80" t="n">
        <v>1.05</v>
      </c>
      <c r="L157" s="79" t="n">
        <v>24532</v>
      </c>
      <c r="M157" s="79" t="n">
        <v>100131</v>
      </c>
      <c r="N157" s="80" t="n">
        <v>0.01</v>
      </c>
      <c r="O157" s="80" t="n">
        <v>177.869995117188</v>
      </c>
      <c r="P157" s="47" t="n">
        <v>5</v>
      </c>
      <c r="Q157" s="66" t="s">
        <v>386</v>
      </c>
    </row>
    <row r="158" customFormat="false" ht="15" hidden="false" customHeight="false" outlineLevel="0" collapsed="false">
      <c r="A158" s="76" t="s">
        <v>168</v>
      </c>
      <c r="B158" s="76" t="s">
        <v>203</v>
      </c>
      <c r="C158" s="77" t="n">
        <v>2026</v>
      </c>
      <c r="D158" s="77" t="n">
        <v>1</v>
      </c>
      <c r="E158" s="78" t="n">
        <v>45777</v>
      </c>
      <c r="F158" s="76" t="s">
        <v>200</v>
      </c>
      <c r="G158" s="76" t="s">
        <v>201</v>
      </c>
      <c r="H158" s="76" t="s">
        <v>197</v>
      </c>
      <c r="I158" s="79" t="n">
        <v>44062</v>
      </c>
      <c r="J158" s="79" t="n">
        <v>26668</v>
      </c>
      <c r="K158" s="80" t="n">
        <v>0.81</v>
      </c>
      <c r="L158" s="79" t="n">
        <v>24611</v>
      </c>
      <c r="M158" s="79" t="n">
        <v>83843</v>
      </c>
      <c r="N158" s="80" t="n">
        <v>0.01</v>
      </c>
      <c r="O158" s="80" t="n">
        <v>108.919998168945</v>
      </c>
      <c r="P158" s="47" t="n">
        <v>6</v>
      </c>
      <c r="Q158" s="66" t="s">
        <v>387</v>
      </c>
    </row>
    <row r="159" customFormat="false" ht="15" hidden="false" customHeight="false" outlineLevel="0" collapsed="false">
      <c r="A159" s="76" t="s">
        <v>168</v>
      </c>
      <c r="B159" s="76" t="s">
        <v>205</v>
      </c>
      <c r="C159" s="77" t="n">
        <v>2025</v>
      </c>
      <c r="D159" s="77" t="n">
        <v>4</v>
      </c>
      <c r="E159" s="78" t="n">
        <v>45688</v>
      </c>
      <c r="F159" s="76" t="s">
        <v>200</v>
      </c>
      <c r="G159" s="76" t="s">
        <v>201</v>
      </c>
      <c r="H159" s="76" t="s">
        <v>197</v>
      </c>
      <c r="I159" s="79" t="n">
        <v>39331</v>
      </c>
      <c r="J159" s="79" t="n">
        <v>28723</v>
      </c>
      <c r="K159" s="80" t="n">
        <v>0.89</v>
      </c>
      <c r="L159" s="79"/>
      <c r="M159" s="79" t="n">
        <v>79327</v>
      </c>
      <c r="N159" s="80" t="n">
        <v>0.01</v>
      </c>
      <c r="O159" s="80" t="n">
        <v>120.069999694824</v>
      </c>
      <c r="P159" s="47" t="n">
        <v>7</v>
      </c>
      <c r="Q159" s="66" t="s">
        <v>388</v>
      </c>
    </row>
    <row r="160" customFormat="false" ht="15" hidden="false" customHeight="false" outlineLevel="0" collapsed="false">
      <c r="A160" s="76" t="s">
        <v>168</v>
      </c>
      <c r="B160" s="76" t="s">
        <v>207</v>
      </c>
      <c r="C160" s="77" t="n">
        <v>2025</v>
      </c>
      <c r="D160" s="77" t="n">
        <v>3</v>
      </c>
      <c r="E160" s="78" t="n">
        <v>45596</v>
      </c>
      <c r="F160" s="76" t="s">
        <v>200</v>
      </c>
      <c r="G160" s="76" t="s">
        <v>201</v>
      </c>
      <c r="H160" s="76" t="s">
        <v>197</v>
      </c>
      <c r="I160" s="79" t="n">
        <v>35082</v>
      </c>
      <c r="J160" s="79" t="n">
        <v>26156</v>
      </c>
      <c r="K160" s="80" t="n">
        <v>0.81</v>
      </c>
      <c r="L160" s="79" t="n">
        <v>24774</v>
      </c>
      <c r="M160" s="79" t="n">
        <v>65899</v>
      </c>
      <c r="N160" s="80" t="n">
        <v>0.01</v>
      </c>
      <c r="O160" s="80" t="n">
        <v>132.759994506836</v>
      </c>
      <c r="P160" s="47" t="n">
        <v>8</v>
      </c>
      <c r="Q160" s="66" t="s">
        <v>389</v>
      </c>
    </row>
    <row r="161" customFormat="false" ht="15" hidden="false" customHeight="false" outlineLevel="0" collapsed="false">
      <c r="A161" s="76" t="s">
        <v>168</v>
      </c>
      <c r="B161" s="76" t="s">
        <v>209</v>
      </c>
      <c r="C161" s="77" t="n">
        <v>2025</v>
      </c>
      <c r="D161" s="77" t="n">
        <v>2</v>
      </c>
      <c r="E161" s="78" t="n">
        <v>45501</v>
      </c>
      <c r="F161" s="76" t="s">
        <v>200</v>
      </c>
      <c r="G161" s="76" t="s">
        <v>201</v>
      </c>
      <c r="H161" s="76" t="s">
        <v>197</v>
      </c>
      <c r="I161" s="79" t="n">
        <v>30040</v>
      </c>
      <c r="J161" s="79" t="n">
        <v>22574</v>
      </c>
      <c r="K161" s="80"/>
      <c r="L161" s="79" t="n">
        <v>24848</v>
      </c>
      <c r="M161" s="79" t="n">
        <v>58157</v>
      </c>
      <c r="N161" s="80" t="n">
        <v>0.01</v>
      </c>
      <c r="O161" s="80" t="n">
        <v>113.059997558594</v>
      </c>
      <c r="P161" s="47" t="n">
        <v>9</v>
      </c>
      <c r="Q161" s="66" t="s">
        <v>390</v>
      </c>
    </row>
    <row r="162" customFormat="false" ht="15" hidden="false" customHeight="false" outlineLevel="0" collapsed="false">
      <c r="A162" s="76" t="s">
        <v>168</v>
      </c>
      <c r="B162" s="76" t="s">
        <v>211</v>
      </c>
      <c r="C162" s="77" t="n">
        <v>2025</v>
      </c>
      <c r="D162" s="77" t="n">
        <v>1</v>
      </c>
      <c r="E162" s="78" t="n">
        <v>45410</v>
      </c>
      <c r="F162" s="76" t="s">
        <v>200</v>
      </c>
      <c r="G162" s="76" t="s">
        <v>201</v>
      </c>
      <c r="H162" s="76" t="s">
        <v>197</v>
      </c>
      <c r="I162" s="79" t="n">
        <v>26044</v>
      </c>
      <c r="J162" s="79" t="n">
        <v>20406</v>
      </c>
      <c r="K162" s="80"/>
      <c r="L162" s="79" t="n">
        <v>24890</v>
      </c>
      <c r="M162" s="79" t="n">
        <v>49142</v>
      </c>
      <c r="N162" s="80"/>
      <c r="O162" s="80" t="n">
        <v>87.7350006103516</v>
      </c>
      <c r="P162" s="47" t="n">
        <v>10</v>
      </c>
      <c r="Q162" s="66" t="s">
        <v>391</v>
      </c>
    </row>
    <row r="163" customFormat="false" ht="15" hidden="false" customHeight="false" outlineLevel="0" collapsed="false">
      <c r="A163" s="76" t="s">
        <v>168</v>
      </c>
      <c r="B163" s="76" t="s">
        <v>213</v>
      </c>
      <c r="C163" s="77" t="n">
        <v>2024</v>
      </c>
      <c r="D163" s="77" t="n">
        <v>4</v>
      </c>
      <c r="E163" s="78" t="n">
        <v>45322</v>
      </c>
      <c r="F163" s="76" t="s">
        <v>200</v>
      </c>
      <c r="G163" s="76" t="s">
        <v>201</v>
      </c>
      <c r="H163" s="76" t="s">
        <v>197</v>
      </c>
      <c r="I163" s="79" t="n">
        <v>22103</v>
      </c>
      <c r="J163" s="79" t="n">
        <v>16791</v>
      </c>
      <c r="K163" s="80" t="n">
        <v>0.52</v>
      </c>
      <c r="L163" s="79" t="n">
        <v>24940</v>
      </c>
      <c r="M163" s="79" t="n">
        <v>42978</v>
      </c>
      <c r="N163" s="80" t="n">
        <v>0.004</v>
      </c>
      <c r="O163" s="80" t="n">
        <v>61.5270004272461</v>
      </c>
      <c r="P163" s="47" t="n">
        <v>11</v>
      </c>
      <c r="Q163" s="66" t="s">
        <v>392</v>
      </c>
    </row>
    <row r="164" customFormat="false" ht="15" hidden="false" customHeight="false" outlineLevel="0" collapsed="false">
      <c r="A164" s="76" t="s">
        <v>168</v>
      </c>
      <c r="B164" s="76" t="s">
        <v>215</v>
      </c>
      <c r="C164" s="77" t="n">
        <v>2024</v>
      </c>
      <c r="D164" s="77" t="n">
        <v>3</v>
      </c>
      <c r="E164" s="78" t="n">
        <v>45230</v>
      </c>
      <c r="F164" s="76" t="s">
        <v>200</v>
      </c>
      <c r="G164" s="76" t="s">
        <v>201</v>
      </c>
      <c r="H164" s="76" t="s">
        <v>197</v>
      </c>
      <c r="I164" s="79" t="n">
        <v>18120</v>
      </c>
      <c r="J164" s="79" t="n">
        <v>13400</v>
      </c>
      <c r="K164" s="80" t="n">
        <v>0.4</v>
      </c>
      <c r="L164" s="79" t="n">
        <v>24897.5</v>
      </c>
      <c r="M164" s="79" t="n">
        <v>33265</v>
      </c>
      <c r="N164" s="80" t="n">
        <v>0.004</v>
      </c>
      <c r="O164" s="80" t="n">
        <v>40.7799987792969</v>
      </c>
      <c r="P164" s="47" t="n">
        <v>12</v>
      </c>
      <c r="Q164" s="66" t="s">
        <v>393</v>
      </c>
    </row>
    <row r="165" customFormat="false" ht="15" hidden="false" customHeight="false" outlineLevel="0" collapsed="false">
      <c r="A165" s="76" t="s">
        <v>168</v>
      </c>
      <c r="B165" s="76" t="s">
        <v>217</v>
      </c>
      <c r="C165" s="77" t="n">
        <v>2024</v>
      </c>
      <c r="D165" s="77" t="n">
        <v>2</v>
      </c>
      <c r="E165" s="78" t="n">
        <v>45138</v>
      </c>
      <c r="F165" s="76" t="s">
        <v>200</v>
      </c>
      <c r="G165" s="76" t="s">
        <v>201</v>
      </c>
      <c r="H165" s="76" t="s">
        <v>197</v>
      </c>
      <c r="I165" s="79" t="n">
        <v>13507</v>
      </c>
      <c r="J165" s="79" t="n">
        <v>9462</v>
      </c>
      <c r="K165" s="80" t="n">
        <v>0.27</v>
      </c>
      <c r="L165" s="79" t="n">
        <v>24994</v>
      </c>
      <c r="M165" s="79" t="n">
        <v>27501</v>
      </c>
      <c r="N165" s="80" t="n">
        <v>0.004</v>
      </c>
      <c r="O165" s="80" t="n">
        <v>46.7290000915527</v>
      </c>
      <c r="P165" s="47" t="n">
        <v>13</v>
      </c>
      <c r="Q165" s="66" t="s">
        <v>394</v>
      </c>
    </row>
    <row r="166" customFormat="false" ht="15" hidden="false" customHeight="false" outlineLevel="0" collapsed="false">
      <c r="A166" s="76" t="s">
        <v>168</v>
      </c>
      <c r="B166" s="76" t="s">
        <v>219</v>
      </c>
      <c r="C166" s="77" t="n">
        <v>2024</v>
      </c>
      <c r="D166" s="77" t="n">
        <v>1</v>
      </c>
      <c r="E166" s="78" t="n">
        <v>45046</v>
      </c>
      <c r="F166" s="76" t="s">
        <v>200</v>
      </c>
      <c r="G166" s="76" t="s">
        <v>201</v>
      </c>
      <c r="H166" s="76" t="s">
        <v>197</v>
      </c>
      <c r="I166" s="79" t="n">
        <v>7192</v>
      </c>
      <c r="J166" s="79" t="n">
        <v>4648</v>
      </c>
      <c r="K166" s="80" t="n">
        <v>0.11</v>
      </c>
      <c r="L166" s="79" t="n">
        <v>24900</v>
      </c>
      <c r="M166" s="79" t="n">
        <v>24520</v>
      </c>
      <c r="N166" s="80" t="n">
        <v>0.004</v>
      </c>
      <c r="O166" s="80" t="n">
        <v>27.7490005493164</v>
      </c>
      <c r="P166" s="47" t="n">
        <v>14</v>
      </c>
      <c r="Q166" s="66" t="s">
        <v>395</v>
      </c>
    </row>
    <row r="167" customFormat="false" ht="15" hidden="false" customHeight="false" outlineLevel="0" collapsed="false">
      <c r="A167" s="76" t="s">
        <v>168</v>
      </c>
      <c r="B167" s="76" t="s">
        <v>221</v>
      </c>
      <c r="C167" s="77" t="n">
        <v>2023</v>
      </c>
      <c r="D167" s="77" t="n">
        <v>4</v>
      </c>
      <c r="E167" s="78" t="n">
        <v>44957</v>
      </c>
      <c r="F167" s="76" t="s">
        <v>200</v>
      </c>
      <c r="G167" s="76" t="s">
        <v>201</v>
      </c>
      <c r="H167" s="76" t="s">
        <v>197</v>
      </c>
      <c r="I167" s="79" t="n">
        <v>6051</v>
      </c>
      <c r="J167" s="79" t="n">
        <v>3833</v>
      </c>
      <c r="K167" s="80" t="n">
        <v>0.09</v>
      </c>
      <c r="L167" s="79"/>
      <c r="M167" s="79" t="n">
        <v>22101</v>
      </c>
      <c r="N167" s="80" t="n">
        <v>0.004</v>
      </c>
      <c r="O167" s="80" t="n">
        <v>19.5370006561279</v>
      </c>
      <c r="P167" s="47" t="n">
        <v>15</v>
      </c>
      <c r="Q167" s="66" t="s">
        <v>396</v>
      </c>
    </row>
    <row r="168" customFormat="false" ht="15" hidden="false" customHeight="false" outlineLevel="0" collapsed="false">
      <c r="A168" s="76" t="s">
        <v>168</v>
      </c>
      <c r="B168" s="76" t="s">
        <v>223</v>
      </c>
      <c r="C168" s="77" t="n">
        <v>2023</v>
      </c>
      <c r="D168" s="77" t="n">
        <v>3</v>
      </c>
      <c r="E168" s="78" t="n">
        <v>44865</v>
      </c>
      <c r="F168" s="76" t="s">
        <v>200</v>
      </c>
      <c r="G168" s="76" t="s">
        <v>201</v>
      </c>
      <c r="H168" s="76" t="s">
        <v>197</v>
      </c>
      <c r="I168" s="79" t="n">
        <v>5931</v>
      </c>
      <c r="J168" s="79" t="n">
        <v>3177</v>
      </c>
      <c r="K168" s="80" t="n">
        <v>0.06</v>
      </c>
      <c r="L168" s="79" t="n">
        <v>24990</v>
      </c>
      <c r="M168" s="79" t="n">
        <v>21349</v>
      </c>
      <c r="N168" s="80" t="n">
        <v>0.004</v>
      </c>
      <c r="O168" s="80" t="n">
        <v>13.4969997406006</v>
      </c>
      <c r="P168" s="47" t="n">
        <v>16</v>
      </c>
      <c r="Q168" s="66" t="s">
        <v>397</v>
      </c>
    </row>
    <row r="169" customFormat="false" ht="15" hidden="false" customHeight="false" outlineLevel="0" collapsed="false">
      <c r="A169" s="76" t="s">
        <v>168</v>
      </c>
      <c r="B169" s="76" t="s">
        <v>225</v>
      </c>
      <c r="C169" s="77" t="n">
        <v>2023</v>
      </c>
      <c r="D169" s="77" t="n">
        <v>2</v>
      </c>
      <c r="E169" s="78" t="n">
        <v>44773</v>
      </c>
      <c r="F169" s="76" t="s">
        <v>200</v>
      </c>
      <c r="G169" s="76" t="s">
        <v>201</v>
      </c>
      <c r="H169" s="76" t="s">
        <v>197</v>
      </c>
      <c r="I169" s="79" t="n">
        <v>6704</v>
      </c>
      <c r="J169" s="79" t="n">
        <v>2915</v>
      </c>
      <c r="K169" s="80" t="n">
        <v>0.05</v>
      </c>
      <c r="L169" s="79" t="n">
        <v>25160</v>
      </c>
      <c r="M169" s="79" t="n">
        <v>23851</v>
      </c>
      <c r="N169" s="80" t="n">
        <v>0.004</v>
      </c>
      <c r="O169" s="80" t="n">
        <v>18.1630001068115</v>
      </c>
      <c r="P169" s="47" t="n">
        <v>17</v>
      </c>
      <c r="Q169" s="66" t="s">
        <v>398</v>
      </c>
    </row>
    <row r="170" customFormat="false" ht="15" hidden="false" customHeight="false" outlineLevel="0" collapsed="false">
      <c r="A170" s="76" t="s">
        <v>168</v>
      </c>
      <c r="B170" s="76" t="s">
        <v>227</v>
      </c>
      <c r="C170" s="77" t="n">
        <v>2023</v>
      </c>
      <c r="D170" s="77" t="n">
        <v>1</v>
      </c>
      <c r="E170" s="78" t="n">
        <v>44681</v>
      </c>
      <c r="F170" s="76" t="s">
        <v>200</v>
      </c>
      <c r="G170" s="76" t="s">
        <v>201</v>
      </c>
      <c r="H170" s="76" t="s">
        <v>197</v>
      </c>
      <c r="I170" s="79" t="n">
        <v>8288</v>
      </c>
      <c r="J170" s="79" t="n">
        <v>5431</v>
      </c>
      <c r="K170" s="80" t="n">
        <v>0.14</v>
      </c>
      <c r="L170" s="79" t="n">
        <v>25370</v>
      </c>
      <c r="M170" s="79" t="n">
        <v>26320</v>
      </c>
      <c r="N170" s="80" t="n">
        <v>0.004</v>
      </c>
      <c r="O170" s="80" t="n">
        <v>18.5470008850098</v>
      </c>
      <c r="P170" s="47" t="n">
        <v>18</v>
      </c>
      <c r="Q170" s="66" t="s">
        <v>399</v>
      </c>
    </row>
    <row r="171" customFormat="false" ht="15" hidden="false" customHeight="false" outlineLevel="0" collapsed="false">
      <c r="A171" s="76" t="s">
        <v>168</v>
      </c>
      <c r="B171" s="76" t="s">
        <v>229</v>
      </c>
      <c r="C171" s="77" t="n">
        <v>2022</v>
      </c>
      <c r="D171" s="77" t="n">
        <v>4</v>
      </c>
      <c r="E171" s="78" t="n">
        <v>44592</v>
      </c>
      <c r="F171" s="76" t="s">
        <v>200</v>
      </c>
      <c r="G171" s="76" t="s">
        <v>201</v>
      </c>
      <c r="H171" s="76" t="s">
        <v>197</v>
      </c>
      <c r="I171" s="79" t="n">
        <v>7643</v>
      </c>
      <c r="J171" s="79" t="n">
        <v>4999</v>
      </c>
      <c r="K171" s="80" t="n">
        <v>0.13</v>
      </c>
      <c r="L171" s="79"/>
      <c r="M171" s="79" t="n">
        <v>26612</v>
      </c>
      <c r="N171" s="80" t="n">
        <v>0.004</v>
      </c>
      <c r="O171" s="80" t="n">
        <v>24.4860000610352</v>
      </c>
      <c r="P171" s="47" t="n">
        <v>19</v>
      </c>
      <c r="Q171" s="66" t="s">
        <v>400</v>
      </c>
    </row>
    <row r="172" customFormat="false" ht="15" hidden="false" customHeight="false" outlineLevel="0" collapsed="false">
      <c r="A172" s="76" t="s">
        <v>168</v>
      </c>
      <c r="B172" s="76" t="s">
        <v>231</v>
      </c>
      <c r="C172" s="77" t="n">
        <v>2022</v>
      </c>
      <c r="D172" s="77" t="n">
        <v>3</v>
      </c>
      <c r="E172" s="78" t="n">
        <v>44500</v>
      </c>
      <c r="F172" s="76" t="s">
        <v>200</v>
      </c>
      <c r="G172" s="76" t="s">
        <v>201</v>
      </c>
      <c r="H172" s="76" t="s">
        <v>197</v>
      </c>
      <c r="I172" s="79" t="n">
        <v>7103</v>
      </c>
      <c r="J172" s="79" t="n">
        <v>4631</v>
      </c>
      <c r="K172" s="80" t="n">
        <v>0.12</v>
      </c>
      <c r="L172" s="79" t="n">
        <v>25380</v>
      </c>
      <c r="M172" s="79" t="n">
        <v>23798</v>
      </c>
      <c r="N172" s="80" t="n">
        <v>0.004</v>
      </c>
      <c r="O172" s="80" t="n">
        <v>25.5669994354248</v>
      </c>
      <c r="P172" s="47" t="n">
        <v>20</v>
      </c>
      <c r="Q172" s="66" t="s">
        <v>401</v>
      </c>
    </row>
    <row r="173" customFormat="false" ht="15" hidden="false" customHeight="false" outlineLevel="0" collapsed="false">
      <c r="A173" s="76" t="s">
        <v>168</v>
      </c>
      <c r="B173" s="76" t="s">
        <v>233</v>
      </c>
      <c r="C173" s="77" t="n">
        <v>2022</v>
      </c>
      <c r="D173" s="77" t="n">
        <v>2</v>
      </c>
      <c r="E173" s="78" t="n">
        <v>44408</v>
      </c>
      <c r="F173" s="76" t="s">
        <v>200</v>
      </c>
      <c r="G173" s="76" t="s">
        <v>201</v>
      </c>
      <c r="H173" s="76" t="s">
        <v>197</v>
      </c>
      <c r="I173" s="79" t="n">
        <v>6507</v>
      </c>
      <c r="J173" s="79" t="n">
        <v>4215</v>
      </c>
      <c r="K173" s="80" t="n">
        <v>0.1</v>
      </c>
      <c r="L173" s="79" t="n">
        <v>25320</v>
      </c>
      <c r="M173" s="79" t="n">
        <v>21147</v>
      </c>
      <c r="N173" s="80" t="n">
        <v>0.004</v>
      </c>
      <c r="O173" s="80" t="n">
        <v>19.4990005493164</v>
      </c>
      <c r="P173" s="47" t="n">
        <v>21</v>
      </c>
      <c r="Q173" s="66" t="s">
        <v>402</v>
      </c>
    </row>
    <row r="174" customFormat="false" ht="15" hidden="false" customHeight="false" outlineLevel="0" collapsed="false">
      <c r="A174" s="76" t="s">
        <v>168</v>
      </c>
      <c r="B174" s="76" t="s">
        <v>235</v>
      </c>
      <c r="C174" s="77" t="n">
        <v>2022</v>
      </c>
      <c r="D174" s="77" t="n">
        <v>1</v>
      </c>
      <c r="E174" s="78" t="n">
        <v>44316</v>
      </c>
      <c r="F174" s="76" t="s">
        <v>200</v>
      </c>
      <c r="G174" s="76" t="s">
        <v>201</v>
      </c>
      <c r="H174" s="76" t="s">
        <v>197</v>
      </c>
      <c r="I174" s="79" t="n">
        <v>5661</v>
      </c>
      <c r="J174" s="79" t="n">
        <v>3629</v>
      </c>
      <c r="K174" s="80" t="n">
        <v>0.09</v>
      </c>
      <c r="L174" s="79" t="n">
        <v>25280</v>
      </c>
      <c r="M174" s="79" t="n">
        <v>18774</v>
      </c>
      <c r="N174" s="80" t="n">
        <v>0.004</v>
      </c>
      <c r="O174" s="80" t="n">
        <v>15.0094995498657</v>
      </c>
      <c r="P174" s="47" t="n">
        <v>22</v>
      </c>
      <c r="Q174" s="66" t="s">
        <v>403</v>
      </c>
    </row>
    <row r="175" customFormat="false" ht="15" hidden="false" customHeight="false" outlineLevel="0" collapsed="false">
      <c r="A175" s="76" t="s">
        <v>168</v>
      </c>
      <c r="B175" s="76" t="s">
        <v>237</v>
      </c>
      <c r="C175" s="77" t="n">
        <v>2021</v>
      </c>
      <c r="D175" s="77" t="n">
        <v>4</v>
      </c>
      <c r="E175" s="78" t="n">
        <v>44227</v>
      </c>
      <c r="F175" s="76" t="s">
        <v>200</v>
      </c>
      <c r="G175" s="76" t="s">
        <v>201</v>
      </c>
      <c r="H175" s="76" t="s">
        <v>197</v>
      </c>
      <c r="I175" s="79" t="n">
        <v>5003</v>
      </c>
      <c r="J175" s="79" t="n">
        <v>3156</v>
      </c>
      <c r="K175" s="80" t="n">
        <v>0.08</v>
      </c>
      <c r="L175" s="79"/>
      <c r="M175" s="79" t="n">
        <v>16893</v>
      </c>
      <c r="N175" s="80" t="n">
        <v>0.004</v>
      </c>
      <c r="O175" s="80" t="n">
        <v>12.9897499084473</v>
      </c>
      <c r="P175" s="47" t="n">
        <v>23</v>
      </c>
      <c r="Q175" s="66" t="s">
        <v>404</v>
      </c>
    </row>
    <row r="176" customFormat="false" ht="15" hidden="false" customHeight="false" outlineLevel="0" collapsed="false">
      <c r="A176" s="76" t="s">
        <v>168</v>
      </c>
      <c r="B176" s="76" t="s">
        <v>239</v>
      </c>
      <c r="C176" s="77" t="n">
        <v>2021</v>
      </c>
      <c r="D176" s="77" t="n">
        <v>3</v>
      </c>
      <c r="E176" s="78" t="n">
        <v>44135</v>
      </c>
      <c r="F176" s="76" t="s">
        <v>200</v>
      </c>
      <c r="G176" s="76" t="s">
        <v>201</v>
      </c>
      <c r="H176" s="76" t="s">
        <v>197</v>
      </c>
      <c r="I176" s="79" t="n">
        <v>4726</v>
      </c>
      <c r="J176" s="79" t="n">
        <v>2960</v>
      </c>
      <c r="K176" s="80" t="n">
        <v>0.07</v>
      </c>
      <c r="L176" s="79" t="n">
        <v>25200</v>
      </c>
      <c r="M176" s="79" t="n">
        <v>15334</v>
      </c>
      <c r="N176" s="80" t="n">
        <v>0.004</v>
      </c>
      <c r="O176" s="80" t="n">
        <v>12.5340003967285</v>
      </c>
      <c r="P176" s="47" t="n">
        <v>24</v>
      </c>
      <c r="Q176" s="66" t="s">
        <v>405</v>
      </c>
    </row>
    <row r="177" customFormat="false" ht="15" hidden="false" customHeight="false" outlineLevel="0" collapsed="false">
      <c r="A177" s="76" t="s">
        <v>168</v>
      </c>
      <c r="B177" s="76" t="s">
        <v>241</v>
      </c>
      <c r="C177" s="77" t="n">
        <v>2021</v>
      </c>
      <c r="D177" s="77" t="n">
        <v>2</v>
      </c>
      <c r="E177" s="78" t="n">
        <v>44043</v>
      </c>
      <c r="F177" s="76" t="s">
        <v>200</v>
      </c>
      <c r="G177" s="76" t="s">
        <v>201</v>
      </c>
      <c r="H177" s="76" t="s">
        <v>197</v>
      </c>
      <c r="I177" s="79" t="n">
        <v>3866</v>
      </c>
      <c r="J177" s="79" t="n">
        <v>2275</v>
      </c>
      <c r="K177" s="80" t="n">
        <v>0.05</v>
      </c>
      <c r="L177" s="79" t="n">
        <v>25040</v>
      </c>
      <c r="M177" s="79" t="n">
        <v>13914</v>
      </c>
      <c r="N177" s="80"/>
      <c r="O177" s="80" t="n">
        <v>10.6147499084473</v>
      </c>
      <c r="P177" s="47" t="n">
        <v>25</v>
      </c>
      <c r="Q177" s="66" t="s">
        <v>406</v>
      </c>
    </row>
    <row r="179" customFormat="false" ht="15" hidden="false" customHeight="false" outlineLevel="0" collapsed="false">
      <c r="A179" s="81" t="s">
        <v>407</v>
      </c>
    </row>
    <row r="180" customFormat="false" ht="15" hidden="false" customHeight="false" outlineLevel="0" collapsed="false">
      <c r="A180" s="41" t="s">
        <v>408</v>
      </c>
    </row>
    <row r="181" customFormat="false" ht="15" hidden="false" customHeight="false" outlineLevel="0" collapsed="false">
      <c r="A181" s="82" t="s">
        <v>409</v>
      </c>
      <c r="C181" s="24" t="s">
        <v>410</v>
      </c>
    </row>
    <row r="182" customFormat="false" ht="15" hidden="false" customHeight="false" outlineLevel="0" collapsed="false">
      <c r="A182" s="82" t="s">
        <v>411</v>
      </c>
      <c r="C182" s="24" t="s">
        <v>410</v>
      </c>
    </row>
    <row r="183" customFormat="false" ht="15" hidden="false" customHeight="false" outlineLevel="0" collapsed="false">
      <c r="A183" s="82" t="s">
        <v>412</v>
      </c>
      <c r="C183" s="24" t="s">
        <v>410</v>
      </c>
    </row>
    <row r="184" customFormat="false" ht="15" hidden="false" customHeight="false" outlineLevel="0" collapsed="false">
      <c r="A184" s="82" t="s">
        <v>413</v>
      </c>
      <c r="C184" s="24" t="s">
        <v>410</v>
      </c>
    </row>
    <row r="185" customFormat="false" ht="15" hidden="false" customHeight="false" outlineLevel="0" collapsed="false">
      <c r="A185" s="82" t="s">
        <v>414</v>
      </c>
      <c r="C185" s="24" t="s">
        <v>410</v>
      </c>
    </row>
    <row r="186" customFormat="false" ht="15" hidden="false" customHeight="false" outlineLevel="0" collapsed="false">
      <c r="A186" s="82" t="s">
        <v>415</v>
      </c>
      <c r="C186" s="24" t="s">
        <v>416</v>
      </c>
    </row>
    <row r="187" customFormat="false" ht="15" hidden="false" customHeight="false" outlineLevel="0" collapsed="false">
      <c r="A187" s="82" t="s">
        <v>417</v>
      </c>
      <c r="C187" s="24" t="s">
        <v>416</v>
      </c>
    </row>
    <row r="188" customFormat="false" ht="15" hidden="false" customHeight="false" outlineLevel="0" collapsed="false">
      <c r="A188" s="82" t="s">
        <v>418</v>
      </c>
      <c r="C188" s="25" t="s">
        <v>419</v>
      </c>
    </row>
    <row r="189" customFormat="false" ht="15" hidden="false" customHeight="false" outlineLevel="0" collapsed="false">
      <c r="A189" s="82" t="s">
        <v>420</v>
      </c>
      <c r="C189" s="24" t="s">
        <v>421</v>
      </c>
    </row>
    <row r="190" customFormat="false" ht="15" hidden="false" customHeight="false" outlineLevel="0" collapsed="false">
      <c r="A190" s="82" t="s">
        <v>422</v>
      </c>
      <c r="C190" s="24" t="s">
        <v>423</v>
      </c>
    </row>
    <row r="191" customFormat="false" ht="15" hidden="false" customHeight="false" outlineLevel="0" collapsed="false">
      <c r="A191" s="82" t="s">
        <v>424</v>
      </c>
      <c r="C191" s="25" t="s">
        <v>425</v>
      </c>
    </row>
    <row r="192" customFormat="false" ht="15" hidden="false" customHeight="false" outlineLevel="0" collapsed="false">
      <c r="A192" s="82" t="s">
        <v>426</v>
      </c>
      <c r="C192" s="24" t="s">
        <v>427</v>
      </c>
    </row>
    <row r="193" customFormat="false" ht="15" hidden="false" customHeight="false" outlineLevel="0" collapsed="false">
      <c r="A193" s="82" t="s">
        <v>428</v>
      </c>
      <c r="C193" s="25" t="s">
        <v>429</v>
      </c>
    </row>
    <row r="194" customFormat="false" ht="15" hidden="false" customHeight="false" outlineLevel="0" collapsed="false">
      <c r="A194" s="82" t="s">
        <v>430</v>
      </c>
      <c r="C194" s="24" t="s">
        <v>47</v>
      </c>
    </row>
    <row r="195" customFormat="false" ht="15" hidden="false" customHeight="false" outlineLevel="0" collapsed="false">
      <c r="A195" s="82" t="s">
        <v>431</v>
      </c>
      <c r="C195" s="24" t="s">
        <v>432</v>
      </c>
    </row>
    <row r="197" customFormat="false" ht="15" hidden="false" customHeight="false" outlineLevel="0" collapsed="false">
      <c r="A197" s="24" t="s">
        <v>433</v>
      </c>
    </row>
  </sheetData>
  <autoFilter ref="A1:Q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434</v>
      </c>
      <c r="C1" s="14" t="s">
        <v>435</v>
      </c>
      <c r="D1" s="14" t="s">
        <v>436</v>
      </c>
      <c r="E1" s="14" t="s">
        <v>437</v>
      </c>
      <c r="F1" s="14" t="s">
        <v>438</v>
      </c>
    </row>
    <row r="2" customFormat="false" ht="15" hidden="false" customHeight="false" outlineLevel="0" collapsed="false">
      <c r="A2" s="76" t="s">
        <v>171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46264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46264</v>
      </c>
    </row>
    <row r="4" customFormat="false" ht="15" hidden="false" customHeight="false" outlineLevel="0" collapsed="false">
      <c r="A4" s="76" t="s">
        <v>170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46264</v>
      </c>
    </row>
    <row r="5" customFormat="false" ht="15" hidden="false" customHeight="false" outlineLevel="0" collapsed="false">
      <c r="A5" s="76" t="s">
        <v>169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46264</v>
      </c>
    </row>
    <row r="6" customFormat="false" ht="15" hidden="false" customHeight="false" outlineLevel="0" collapsed="false">
      <c r="A6" s="76" t="s">
        <v>175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46264</v>
      </c>
    </row>
    <row r="7" customFormat="false" ht="15" hidden="false" customHeight="false" outlineLevel="0" collapsed="false">
      <c r="A7" s="76" t="s">
        <v>167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46264</v>
      </c>
    </row>
    <row r="8" customFormat="false" ht="15" hidden="false" customHeight="false" outlineLevel="0" collapsed="false">
      <c r="A8" s="76" t="s">
        <v>168</v>
      </c>
      <c r="B8" s="80" t="n">
        <v>9.28846</v>
      </c>
      <c r="C8" s="80" t="n">
        <v>15.30598</v>
      </c>
      <c r="D8" s="78" t="n">
        <v>46418</v>
      </c>
      <c r="E8" s="77" t="n">
        <v>42</v>
      </c>
      <c r="F8" s="78" t="n">
        <v>46264</v>
      </c>
    </row>
    <row r="10" customFormat="false" ht="15" hidden="false" customHeight="false" outlineLevel="0" collapsed="false">
      <c r="A10" s="25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440</v>
      </c>
      <c r="C1" s="14" t="s">
        <v>441</v>
      </c>
      <c r="D1" s="14" t="s">
        <v>442</v>
      </c>
      <c r="E1" s="14" t="s">
        <v>438</v>
      </c>
    </row>
    <row r="2" customFormat="false" ht="15" hidden="false" customHeight="false" outlineLevel="0" collapsed="false">
      <c r="A2" s="76" t="s">
        <v>171</v>
      </c>
      <c r="B2" s="80" t="n">
        <v>106.230003356934</v>
      </c>
      <c r="C2" s="78" t="n">
        <v>46264</v>
      </c>
      <c r="D2" s="78" t="n">
        <v>46331</v>
      </c>
      <c r="E2" s="78" t="n">
        <v>46264</v>
      </c>
    </row>
    <row r="3" customFormat="false" ht="15" hidden="false" customHeight="false" outlineLevel="0" collapsed="false">
      <c r="A3" s="76" t="s">
        <v>84</v>
      </c>
      <c r="B3" s="80" t="n">
        <v>319.700012207031</v>
      </c>
      <c r="C3" s="78" t="n">
        <v>46264</v>
      </c>
      <c r="D3" s="78" t="n">
        <v>46324</v>
      </c>
      <c r="E3" s="78" t="n">
        <v>46264</v>
      </c>
    </row>
    <row r="4" customFormat="false" ht="15" hidden="false" customHeight="false" outlineLevel="0" collapsed="false">
      <c r="A4" s="76" t="s">
        <v>170</v>
      </c>
      <c r="B4" s="80" t="n">
        <v>291.519989013672</v>
      </c>
      <c r="C4" s="78" t="n">
        <v>46264</v>
      </c>
      <c r="D4" s="78" t="n">
        <v>46275</v>
      </c>
      <c r="E4" s="78" t="n">
        <v>46264</v>
      </c>
    </row>
    <row r="5" customFormat="false" ht="15" hidden="false" customHeight="false" outlineLevel="0" collapsed="false">
      <c r="A5" s="76" t="s">
        <v>169</v>
      </c>
      <c r="B5" s="80" t="n">
        <v>945.469970703125</v>
      </c>
      <c r="C5" s="78" t="n">
        <v>46264</v>
      </c>
      <c r="D5" s="78" t="n">
        <v>46289</v>
      </c>
      <c r="E5" s="78" t="n">
        <v>46264</v>
      </c>
    </row>
    <row r="6" customFormat="false" ht="15" hidden="false" customHeight="false" outlineLevel="0" collapsed="false">
      <c r="A6" s="76" t="s">
        <v>175</v>
      </c>
      <c r="B6" s="80" t="n">
        <v>216.619995117188</v>
      </c>
      <c r="C6" s="78" t="n">
        <v>46264</v>
      </c>
      <c r="D6" s="78" t="n">
        <v>46261</v>
      </c>
      <c r="E6" s="78" t="n">
        <v>46264</v>
      </c>
    </row>
    <row r="7" customFormat="false" ht="15" hidden="false" customHeight="false" outlineLevel="0" collapsed="false">
      <c r="A7" s="76" t="s">
        <v>167</v>
      </c>
      <c r="B7" s="80" t="n">
        <v>513.530029296875</v>
      </c>
      <c r="C7" s="78" t="n">
        <v>46264</v>
      </c>
      <c r="D7" s="78" t="n">
        <v>46323</v>
      </c>
      <c r="E7" s="78" t="n">
        <v>46264</v>
      </c>
    </row>
    <row r="8" customFormat="false" ht="15" hidden="false" customHeight="false" outlineLevel="0" collapsed="false">
      <c r="A8" s="76" t="s">
        <v>168</v>
      </c>
      <c r="B8" s="80" t="n">
        <v>217.550003051758</v>
      </c>
      <c r="C8" s="78" t="n">
        <v>46264</v>
      </c>
      <c r="D8" s="78" t="n">
        <v>46343</v>
      </c>
      <c r="E8" s="78" t="n">
        <v>46264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443</v>
      </c>
      <c r="F1" s="14" t="s">
        <v>444</v>
      </c>
      <c r="G1" s="14" t="s">
        <v>445</v>
      </c>
      <c r="H1" s="14" t="s">
        <v>446</v>
      </c>
      <c r="I1" s="14" t="s">
        <v>68</v>
      </c>
      <c r="J1" s="14" t="s">
        <v>56</v>
      </c>
      <c r="K1" s="14" t="s">
        <v>447</v>
      </c>
      <c r="L1" s="14" t="s">
        <v>448</v>
      </c>
      <c r="M1" s="14" t="s">
        <v>449</v>
      </c>
      <c r="N1" s="14" t="s">
        <v>58</v>
      </c>
      <c r="O1" s="14" t="s">
        <v>59</v>
      </c>
      <c r="P1" s="14" t="s">
        <v>450</v>
      </c>
      <c r="Q1" s="15" t="s">
        <v>47</v>
      </c>
      <c r="R1" s="15" t="s">
        <v>60</v>
      </c>
      <c r="S1" s="15" t="s">
        <v>451</v>
      </c>
      <c r="T1" s="15" t="s">
        <v>452</v>
      </c>
      <c r="U1" s="15" t="s">
        <v>453</v>
      </c>
      <c r="V1" s="15" t="s">
        <v>454</v>
      </c>
      <c r="W1" s="15" t="s">
        <v>64</v>
      </c>
      <c r="X1" s="15" t="s">
        <v>65</v>
      </c>
      <c r="Y1" s="14" t="s">
        <v>455</v>
      </c>
      <c r="Z1" s="15" t="s">
        <v>456</v>
      </c>
      <c r="AA1" s="15" t="s">
        <v>457</v>
      </c>
      <c r="AB1" s="14" t="s">
        <v>458</v>
      </c>
      <c r="AC1" s="14" t="s">
        <v>71</v>
      </c>
      <c r="AD1" s="15" t="s">
        <v>106</v>
      </c>
      <c r="AE1" s="15" t="s">
        <v>459</v>
      </c>
      <c r="AF1" s="14" t="s">
        <v>72</v>
      </c>
      <c r="AG1" s="14" t="s">
        <v>73</v>
      </c>
      <c r="AH1" s="14" t="s">
        <v>460</v>
      </c>
      <c r="AI1" s="15" t="s">
        <v>75</v>
      </c>
      <c r="AJ1" s="15" t="s">
        <v>76</v>
      </c>
      <c r="AK1" s="15" t="s">
        <v>461</v>
      </c>
      <c r="AL1" s="15" t="s">
        <v>86</v>
      </c>
      <c r="AM1" s="15" t="s">
        <v>87</v>
      </c>
      <c r="AN1" s="15" t="s">
        <v>88</v>
      </c>
      <c r="AO1" s="14" t="s">
        <v>462</v>
      </c>
      <c r="AP1" s="14" t="s">
        <v>463</v>
      </c>
      <c r="AQ1" s="14" t="s">
        <v>464</v>
      </c>
      <c r="AR1" s="14" t="s">
        <v>465</v>
      </c>
      <c r="AS1" s="14" t="s">
        <v>466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9.47022293150685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33.7584462920518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4.13890161613072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20.3915077260274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25.1835242492351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1.302154497664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12.7670811506849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17.0399169930933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0.263022951969695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22.6996854520548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41.6512366526004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4.05491481722672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26.7144367945205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10.9124512433467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0.865332418145239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n">
        <f aca="false">IF($A7="","",IFERROR(INDEX(Tickers!$B$2:$B$100,MATCH($A7,Tickers!$A$2:$A$100,0)),""))</f>
        <v>0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3.2803397260274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32.3838419887021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0.0561474057937721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n">
        <f aca="false">IF($A8="","",IFERROR(INDEX(Tickers!$B$2:$B$100,MATCH($A8,Tickers!$A$2:$A$100,0)),""))</f>
        <v>0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216.619995117188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5.6134022739726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65.6424227627841</v>
      </c>
      <c r="K8" s="52" t="n">
        <f aca="false">IF($A8="","",IFERROR(IF(G8&lt;=0,"N/M",D8/G8),"N/M"))</f>
        <v>59.5368305795338</v>
      </c>
      <c r="L8" s="52" t="n">
        <f aca="false">IF($A8="","",IFERROR(IF(H8&lt;=0,"N/M",D8/H8),"N/M"))</f>
        <v>38.5897864689975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1.55398388581285</v>
      </c>
      <c r="O8" s="51" t="n">
        <f aca="false">IF($A8="","",IFERROR(IF(OR(NOT(ISNUMBER(L8)),M8&lt;Config!$B$6),"N/M",L8/(M8*100)),"N/M"))</f>
        <v>0.663441797289183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0.00110793096394525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468</v>
      </c>
    </row>
    <row r="3" customFormat="false" ht="31.5" hidden="false" customHeight="true" outlineLevel="0" collapsed="false">
      <c r="A3" s="15" t="s">
        <v>469</v>
      </c>
      <c r="B3" s="15" t="s">
        <v>470</v>
      </c>
      <c r="C3" s="15" t="s">
        <v>471</v>
      </c>
    </row>
    <row r="4" customFormat="false" ht="15" hidden="false" customHeight="false" outlineLevel="0" collapsed="false">
      <c r="A4" s="5" t="s">
        <v>472</v>
      </c>
      <c r="B4" s="83" t="n">
        <v>24</v>
      </c>
      <c r="C4" s="25" t="s">
        <v>473</v>
      </c>
    </row>
    <row r="5" customFormat="false" ht="15" hidden="false" customHeight="false" outlineLevel="0" collapsed="false">
      <c r="A5" s="5" t="s">
        <v>474</v>
      </c>
      <c r="B5" s="83" t="n">
        <v>20</v>
      </c>
      <c r="C5" s="25" t="s">
        <v>475</v>
      </c>
    </row>
    <row r="6" customFormat="false" ht="15" hidden="false" customHeight="false" outlineLevel="0" collapsed="false">
      <c r="A6" s="2" t="s">
        <v>476</v>
      </c>
      <c r="B6" s="84" t="n">
        <v>0.05</v>
      </c>
      <c r="C6" s="24" t="s">
        <v>477</v>
      </c>
    </row>
    <row r="7" customFormat="false" ht="15" hidden="false" customHeight="false" outlineLevel="0" collapsed="false">
      <c r="A7" s="5" t="s">
        <v>478</v>
      </c>
      <c r="B7" s="83" t="n">
        <v>5</v>
      </c>
      <c r="C7" s="24" t="s">
        <v>479</v>
      </c>
    </row>
    <row r="8" customFormat="false" ht="15" hidden="false" customHeight="false" outlineLevel="0" collapsed="false">
      <c r="A8" s="2" t="s">
        <v>480</v>
      </c>
      <c r="B8" s="83" t="n">
        <v>365</v>
      </c>
      <c r="C8" s="25" t="s">
        <v>481</v>
      </c>
    </row>
    <row r="11" customFormat="false" ht="15" hidden="false" customHeight="false" outlineLevel="0" collapsed="false">
      <c r="A11" s="24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2026-08-30T01:53:20Z</dcterms:created>
  <dc:creator>openpyxl</dc:creator>
  <dc:description/>
  <dc:language>en-US</dc:language>
  <cp:lastModifiedBy/>
  <dcterms:modified xsi:type="dcterms:W3CDTF">2026-08-30T01:53:20Z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