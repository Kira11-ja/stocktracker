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<sst xmlns="http://schemas.openxmlformats.org/spreadsheetml/2006/main" count="1738" uniqueCount="548">
  <si>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</si>
  <si>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</si>
  <si>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</si>
  <si>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</si>
  <si>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</si>
  <si>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</si>
  <si>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</si>
  <si>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</si>
  <si>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</si>
  <si>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</si>
  <si>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</si>
  <si>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</si>
  <si>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</si>
  <si>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</si>
  <si>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</si>
  <si>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</si>
  <si>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</si>
  <si>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</si>
  <si>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</si>
  <si>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</si>
  <si>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</si>
  <si>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</si>
  <si>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</si>
  <si>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</si>
  <si>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</si>
  <si>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</si>
  <si>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</si>
  <si>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</si>
  <si>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</si>
  <si>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</si>
  <si>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</si>
  <si>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</si>
  <si>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</si>
  <si>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</si>
  <si>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</si>
  <si>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</si>
  <si>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</si>
  <si>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</si>
  <si>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</si>
  <si>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</si>
  <si>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</si>
  <si>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</si>
  <si>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</si>
  <si>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</si>
  <si>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</si>
  <si>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</si>
  <si>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</si>
  <si>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</si>
  <si>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</si>
  <si>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</si>
  <si>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</si>
  <si>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</si>
  <si>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</si>
  <si>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</si>
  <si>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</si>
  <si>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</si>
  <si>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</si>
  <si>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</si>
  <si>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</si>
  <si>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</si>
  <si>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</si>
  <si>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</si>
  <si>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</si>
  <si>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</si>
  <si>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</si>
  <si>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</si>
  <si>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</si>
  <si>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</si>
  <si>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</si>
  <si>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</si>
  <si>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</si>
  <si>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</si>
  <si>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</si>
  <si>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</si>
  <si>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</si>
  <si>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</si>
  <si>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</si>
  <si>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</si>
  <si>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</si>
  <si>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</si>
  <si>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</si>
  <si>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</si>
  <si>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</si>
  <si>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</si>
  <si>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</si>
  <si>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</si>
  <si>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</si>
  <si>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</si>
  <si>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</si>
  <si>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</si>
  <si>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</si>
  <si>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</si>
  <si>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</si>
  <si>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</si>
  <si>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</si>
  <si>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</si>
  <si>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</si>
  <si>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</si>
  <si>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</si>
  <si>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</si>
  <si>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</si>
  <si>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</si>
  <si>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</si>
  <si>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</si>
  <si>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</si>
  <si>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</si>
  <si>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</si>
  <si>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</si>
  <si>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</si>
  <si>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</si>
  <si>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</si>
  <si>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</si>
  <si>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</si>
  <si>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</si>
  <si>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</si>
  <si>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</si>
  <si>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</si>
  <si>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</si>
  <si>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</si>
  <si>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</si>
  <si>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</si>
  <si>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</si>
  <si>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</si>
  <si>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</si>
  <si>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</si>
  <si>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</si>
  <si>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</si>
  <si>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</si>
  <si>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</si>
  <si>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</si>
  <si>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</si>
  <si>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</si>
  <si>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</si>
  <si>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</si>
  <si>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</si>
  <si>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</si>
  <si>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</si>
  <si>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</si>
  <si>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</si>
  <si>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</si>
  <si>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</si>
  <si>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</si>
  <si>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</si>
  <si>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</si>
  <si>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</si>
  <si>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</si>
  <si>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</si>
  <si>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</si>
  <si>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</si>
  <si>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</si>
  <si>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</si>
  <si>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</si>
  <si>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</si>
  <si>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</si>
  <si>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</si>
  <si>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</si>
  <si>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</si>
  <si>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</si>
  <si>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</si>
  <si>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</si>
  <si>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</si>
  <si>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</si>
  <si>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</si>
  <si>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</si>
  <si>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</si>
  <si>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</si>
  <si>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</si>
  <si>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</si>
  <si>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</si>
  <si>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</si>
  <si>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</si>
  <si>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</si>
  <si>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</si>
  <si>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</si>
  <si>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</si>
  <si>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</si>
  <si>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</si>
  <si>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</si>
  <si>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</si>
  <si>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</si>
  <si>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</si>
  <si>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</si>
  <si>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</si>
  <si>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</si>
  <si>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</si>
  <si>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</si>
  <si>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</si>
  <si>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</si>
  <si>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</si>
  <si>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</si>
  <si>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</si>
  <si>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</si>
  <si>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</si>
  <si>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</si>
  <si>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</si>
  <si>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</si>
  <si>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</si>
  <si>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</si>
  <si>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</si>
  <si>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</si>
  <si>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</si>
  <si>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</si>
  <si>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</si>
  <si>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</si>
  <si>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</si>
  <si>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</si>
  <si>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</si>
  <si>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</si>
  <si>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</si>
  <si>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</si>
  <si>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</si>
  <si>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</si>
  <si>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</si>
  <si>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</si>
  <si>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</si>
  <si>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</si>
  <si>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</si>
  <si>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</si>
  <si>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</si>
  <si>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</si>
  <si>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</si>
  <si>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</si>
  <si>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</si>
  <si>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</si>
  <si>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</si>
  <si>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</si>
  <si>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</si>
  <si>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</si>
  <si>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</si>
  <si>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</si>
  <si>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</si>
  <si>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</si>
  <si>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</si>
  <si>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</si>
  <si>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</si>
  <si>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</si>
  <si>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</si>
  <si>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</si>
  <si>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</si>
  <si>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</si>
  <si>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</si>
  <si>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</si>
  <si>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</si>
  <si>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</si>
  <si>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</si>
  <si>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</si>
  <si>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</si>
  <si>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</si>
  <si>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</si>
  <si>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</si>
  <si>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</si>
  <si>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</si>
  <si>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</si>
  <si>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</si>
  <si>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</si>
  <si>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</si>
  <si>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</si>
  <si>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</si>
  <si>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</si>
  <si>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</si>
  <si>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</si>
  <si>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</si>
  <si>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</si>
  <si>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</si>
  <si>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</si>
  <si>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</si>
  <si>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</si>
  <si>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</si>
  <si>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</si>
  <si>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</si>
  <si>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</si>
  <si>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</si>
  <si>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</si>
  <si>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</si>
  <si>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</si>
  <si>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</si>
  <si>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</si>
  <si>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</si>
  <si>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</si>
  <si>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</si>
  <si>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</si>
  <si>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</si>
  <si>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</si>
  <si>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</si>
  <si>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</si>
  <si>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</si>
  <si>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</si>
  <si>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</si>
  <si>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</si>
  <si>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</si>
  <si>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</si>
  <si>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</si>
  <si>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</si>
  <si>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</si>
  <si>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</si>
  <si>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</si>
  <si>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</si>
  <si>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</si>
  <si>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</si>
  <si>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</si>
  <si>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</si>
  <si>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</si>
  <si>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</si>
  <si>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</si>
  <si>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</si>
  <si>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</si>
  <si>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</si>
  <si>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</si>
  <si>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</si>
  <si>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</si>
  <si>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</si>
  <si>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</si>
  <si>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</si>
  <si>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</si>
  <si>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</si>
  <si>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</si>
  <si>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</si>
  <si>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</si>
  <si>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</si>
  <si>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</si>
  <si>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</si>
  <si>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</si>
  <si>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</si>
  <si>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</si>
  <si>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</si>
  <si>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</si>
  <si>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</si>
  <si>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</si>
  <si>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</si>
  <si>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</si>
  <si>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</si>
  <si>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</si>
  <si>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</si>
  <si>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</si>
  <si>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</si>
  <si>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</si>
  <si>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</si>
  <si>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</si>
  <si>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</si>
  <si>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</si>
  <si>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</si>
  <si>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</si>
  <si>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</si>
  <si>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</si>
  <si>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</si>
  <si>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</si>
  <si>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</si>
  <si>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</si>
  <si>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</si>
  <si>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</si>
  <si>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</si>
  <si>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</si>
  <si>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</si>
  <si>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</si>
  <si>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</si>
  <si>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</si>
  <si>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</si>
  <si>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</si>
  <si>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</si>
  <si>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</si>
  <si>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</si>
  <si>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</si>
  <si>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</si>
  <si>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</si>
  <si>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</si>
  <si>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</si>
  <si>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</si>
  <si>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</si>
  <si>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</si>
  <si>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</si>
  <si>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</si>
  <si>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</si>
  <si>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</si>
  <si>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</si>
  <si>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</si>
  <si>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</si>
  <si>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</si>
  <si>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</si>
  <si>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</si>
  <si>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</si>
  <si>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</si>
  <si>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</si>
  <si>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</si>
  <si>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</si>
  <si>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</si>
  <si>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</si>
  <si>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</si>
  <si>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</si>
  <si>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</si>
  <si>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</si>
  <si>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</si>
  <si>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</si>
  <si>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</si>
  <si>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</si>
  <si>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</si>
  <si>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</si>
  <si>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</si>
  <si>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</si>
  <si>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</si>
  <si>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</si>
  <si>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</si>
  <si>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</si>
  <si>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</si>
  <si>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</si>
  <si>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</si>
  <si>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</si>
  <si>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</si>
  <si>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</si>
  <si>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</si>
  <si>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</si>
  <si>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</si>
  <si>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</si>
  <si>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</si>
  <si>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</si>
  <si>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</si>
  <si>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</si>
  <si>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</si>
  <si>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</si>
  <si>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</si>
  <si>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</si>
  <si>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</si>
  <si>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</si>
  <si>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</si>
  <si>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</si>
  <si>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</si>
  <si>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</si>
  <si>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</si>
  <si>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</si>
  <si>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</si>
  <si>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</si>
  <si>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</si>
  <si>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</si>
  <si>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</si>
  <si>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</si>
  <si>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</si>
  <si>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</si>
  <si>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</si>
  <si>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</si>
  <si>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</si>
  <si>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</si>
  <si>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</si>
  <si>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</si>
  <si>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</si>
  <si>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</si>
  <si>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</si>
  <si>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</si>
  <si>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</si>
  <si>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</si>
  <si>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</si>
  <si>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</si>
  <si>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</si>
  <si>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</si>
  <si>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</si>
  <si>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</si>
  <si>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</si>
  <si>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</si>
  <si>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</si>
  <si>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</si>
  <si>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</si>
  <si>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</si>
  <si>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</si>
  <si>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</si>
  <si>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</si>
  <si>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</si>
  <si>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COST|0</t>
  </si>
  <si>
    <t xml:space="preserve">FY2027Q3E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</si>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</sst>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314.940002441406</v>
      </c>
      <c r="E3" s="18" t="n">
        <f aca="false">IF(Calc!$A$2="","",Calc!J$2)</f>
        <v>36.116972757042</v>
      </c>
      <c r="F3" s="18" t="n">
        <f aca="false">IF(Calc!$A$2="","",Calc!L$2)</f>
        <v>33.2489033230011</v>
      </c>
      <c r="G3" s="17" t="n">
        <f aca="false">IF(Calc!$A$2="","",Calc!N$2)</f>
        <v>1.11742183318736</v>
      </c>
      <c r="H3" s="17" t="n">
        <f aca="false">IF(Calc!$A$2="","",Calc!O$2)</f>
        <v>4.0764298957249</v>
      </c>
      <c r="I3" s="19" t="n">
        <f aca="false">IF(Calc!$A$2="","",Calc!Q$2)</f>
        <v>0.00333396834908373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509.140014648438</v>
      </c>
      <c r="E4" s="18" t="n">
        <f aca="false">IF(Calc!$A$3="","",Calc!J$3)</f>
        <v>29.4641212180809</v>
      </c>
      <c r="F4" s="18" t="n">
        <f aca="false">IF(Calc!$A$3="","",Calc!L$3)</f>
        <v>24.9554289500274</v>
      </c>
      <c r="G4" s="17" t="n">
        <f aca="false">IF(Calc!$A$3="","",Calc!N$3)</f>
        <v>1.10409509179842</v>
      </c>
      <c r="H4" s="17" t="n">
        <f aca="false">IF(Calc!$A$3="","",Calc!O$3)</f>
        <v>1.29036046451678</v>
      </c>
      <c r="I4" s="19" t="n">
        <f aca="false">IF(Calc!$A$3="","",Calc!Q$3)</f>
        <v>0.00699218269547757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220.389999389648</v>
      </c>
      <c r="E5" s="18" t="n">
        <f aca="false">IF(Calc!$A$4="","",Calc!J$4)</f>
        <v>31.4393722381809</v>
      </c>
      <c r="F5" s="18" t="n">
        <f aca="false">IF(Calc!$A$4="","",Calc!L$4)</f>
        <v>17.2401013466363</v>
      </c>
      <c r="G5" s="17" t="n">
        <f aca="false">IF(Calc!$A$4="","",Calc!N$4)</f>
        <v>0.324417870051954</v>
      </c>
      <c r="H5" s="17" t="n">
        <f aca="false">IF(Calc!$A$4="","",Calc!O$4)</f>
        <v>0.266112936482433</v>
      </c>
      <c r="I5" s="19" t="n">
        <f aca="false">IF(Calc!$A$4="","",Calc!Q$4)</f>
        <v>0.00127047507044529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945.525024414062</v>
      </c>
      <c r="E6" s="18" t="n">
        <f aca="false">IF(Calc!$A$5="","",Calc!J$5)</f>
        <v>47.5616209463814</v>
      </c>
      <c r="F6" s="18" t="n">
        <f aca="false">IF(Calc!$A$5="","",Calc!L$5)</f>
        <v>41.6430317444979</v>
      </c>
      <c r="G6" s="17" t="n">
        <f aca="false">IF(Calc!$A$5="","",Calc!N$5)</f>
        <v>3.48055544080423</v>
      </c>
      <c r="H6" s="17" t="n">
        <f aca="false">IF(Calc!$A$5="","",Calc!O$5)</f>
        <v>4.05411603653946</v>
      </c>
      <c r="I6" s="19" t="n">
        <f aca="false">IF(Calc!$A$5="","",Calc!Q$5)</f>
        <v>0.00567938432230048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290.799987792969</v>
      </c>
      <c r="E7" s="18" t="n">
        <f aca="false">IF(Calc!$A$6="","",Calc!J$6)</f>
        <v>12.7376253961003</v>
      </c>
      <c r="F7" s="18" t="n">
        <f aca="false">IF(Calc!$A$6="","",Calc!L$6)</f>
        <v>10.8820637964993</v>
      </c>
      <c r="G7" s="17" t="n">
        <f aca="false">IF(Calc!$A$6="","",Calc!N$6)</f>
        <v>0.772933305769552</v>
      </c>
      <c r="H7" s="17" t="n">
        <f aca="false">IF(Calc!$A$6="","",Calc!O$6)</f>
        <v>0.862922763130496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105.368400573731</v>
      </c>
      <c r="E8" s="18" t="str">
        <f aca="false">IF(Calc!$A$7="","",Calc!J$7)</f>
        <v>N/M</v>
      </c>
      <c r="F8" s="18" t="n">
        <f aca="false">IF(Calc!$A$7="","",Calc!L$7)</f>
        <v>32.0163115709951</v>
      </c>
      <c r="G8" s="17" t="str">
        <f aca="false">IF(Calc!$A$7="","",Calc!N$7)</f>
        <v>N/M</v>
      </c>
      <c r="H8" s="17" t="n">
        <f aca="false">IF(Calc!$A$7="","",Calc!O$7)</f>
        <v>0.0555101781445097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211.634994506836</v>
      </c>
      <c r="E9" s="18" t="n">
        <f aca="false">IF(Calc!$A$8="","",Calc!J$8)</f>
        <v>64.131816517223</v>
      </c>
      <c r="F9" s="18" t="n">
        <f aca="false">IF(Calc!$A$8="","",Calc!L$8)</f>
        <v>37.6568241273998</v>
      </c>
      <c r="G9" s="17" t="n">
        <f aca="false">IF(Calc!$A$8="","",Calc!N$8)</f>
        <v>1.51822259510161</v>
      </c>
      <c r="H9" s="17" t="n">
        <f aca="false">IF(Calc!$A$8="","",Calc!O$8)</f>
        <v>0.647402159101241</v>
      </c>
      <c r="I9" s="19" t="n">
        <f aca="false">IF(Calc!$A$8="","",Calc!Q$8)</f>
        <v>0.00113402795487231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942.932495117188</v>
      </c>
      <c r="E10" s="18" t="n">
        <f aca="false">IF(Calc!$A$9="","",Calc!J$9)</f>
        <v>20.8983265761788</v>
      </c>
      <c r="F10" s="18" t="n">
        <f aca="false">IF(Calc!$A$9="","",Calc!L$9)</f>
        <v>6.0824449948743</v>
      </c>
      <c r="G10" s="17" t="n">
        <f aca="false">IF(Calc!$A$9="","",Calc!N$9)</f>
        <v>0.0347945251164921</v>
      </c>
      <c r="H10" s="17" t="n">
        <f aca="false">IF(Calc!$A$9="","",Calc!O$9)</f>
        <v>0.0546958937601773</v>
      </c>
      <c r="I10" s="19" t="n">
        <f aca="false">IF(Calc!$A$9="","",Calc!Q$9)</f>
        <v>0.000524958045844503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>TER</v>
      </c>
      <c r="B11" s="16" t="str">
        <f aca="false">IF(Calc!$A$10="","",Calc!B$10)</f>
        <v>Teradyne, Inc.</v>
      </c>
      <c r="C11" s="16" t="str">
        <f aca="false">IF(Calc!$A$10="","",Calc!C$10)</f>
        <v>池子</v>
      </c>
      <c r="D11" s="17" t="n">
        <f aca="false">IF(Calc!$A$10="","",Calc!D$10)</f>
        <v>355.410003662109</v>
      </c>
      <c r="E11" s="18" t="n">
        <f aca="false">IF(Calc!$A$10="","",Calc!J$10)</f>
        <v>46.2773442268372</v>
      </c>
      <c r="F11" s="18" t="n">
        <f aca="false">IF(Calc!$A$10="","",Calc!L$10)</f>
        <v>32.9192934922989</v>
      </c>
      <c r="G11" s="17" t="n">
        <f aca="false">IF(Calc!$A$10="","",Calc!N$10)</f>
        <v>0.32527534633941</v>
      </c>
      <c r="H11" s="17" t="n">
        <f aca="false">IF(Calc!$A$10="","",Calc!O$10)</f>
        <v>1.16851936893776</v>
      </c>
      <c r="I11" s="19" t="n">
        <f aca="false">IF(Calc!$A$10="","",Calc!Q$10)</f>
        <v>0.00140682590486494</v>
      </c>
      <c r="J11" s="19" t="n">
        <f aca="false">IF(Calc!$A$10="","",Calc!R$10)</f>
        <v>0.0416666666666667</v>
      </c>
      <c r="K11" s="19" t="n">
        <f aca="false">IF(Calc!$A$10="","",Calc!T$10)</f>
        <v>0.0362543606441825</v>
      </c>
      <c r="L11" s="19" t="n">
        <f aca="false">IF(Calc!$A$10="","",Calc!U$10)</f>
        <v>0.183836608553017</v>
      </c>
      <c r="M11" s="20" t="n">
        <f aca="false">IF(Calc!$A$10="","",Calc!V$10)</f>
        <v>-14.7582247908835</v>
      </c>
      <c r="N11" s="21" t="str">
        <f aca="false">IF(Calc!$A$10="","",Calc!W$10)</f>
        <v>成長但減速</v>
      </c>
      <c r="O11" s="20" t="n">
        <f aca="false">IF(Calc!$A$10="","",Calc!X$10)</f>
        <v>8.56695397364704</v>
      </c>
      <c r="P11" s="19" t="n">
        <f aca="false">IF(Calc!$A$10="","",Calc!S$10)</f>
        <v>1.03896305137949</v>
      </c>
      <c r="Q11" s="19" t="n">
        <f aca="false">IF(Calc!$A$10="","",Calc!Y$10)</f>
        <v>3.33333333333333</v>
      </c>
      <c r="R11" s="19" t="n">
        <f aca="false">IF(Calc!$A$10="","",Calc!I$10)</f>
        <v>1.42271293375394</v>
      </c>
      <c r="S11" s="19" t="n">
        <f aca="false">IF(Calc!$A$10="","",Calc!Z$10)</f>
        <v>0.592415912882325</v>
      </c>
      <c r="T11" s="19" t="n">
        <f aca="false">IF(Calc!$A$10="","",Calc!AA$10)</f>
        <v>0.588385499583535</v>
      </c>
      <c r="U11" s="22" t="n">
        <f aca="false">IF(Calc!$A$10="","",Calc!AB$10)</f>
        <v>40.3041329879061</v>
      </c>
      <c r="V11" s="22" t="n">
        <f aca="false">IF(Calc!$A$10="","",Calc!AC$10)</f>
        <v>256.287212686569</v>
      </c>
      <c r="W11" s="19" t="n">
        <f aca="false">IF(Calc!$A$10="","",Calc!AF$10)</f>
        <v>0.386345132643224</v>
      </c>
      <c r="X11" s="19" t="n">
        <f aca="false">IF(Calc!$A$10="","",Calc!AG$10)</f>
        <v>0.226272609179427</v>
      </c>
      <c r="Y11" s="19" t="n">
        <f aca="false">IF(Calc!$A$10="","",Calc!AH$10)</f>
        <v>0.417097824882854</v>
      </c>
      <c r="Z11" s="17" t="n">
        <f aca="false">IF(Calc!$A$10="","",Calc!AI$10)</f>
        <v>2.05052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46316</v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1">
      <formula>"N/M"</formula>
    </cfRule>
  </conditionalFormatting>
  <conditionalFormatting sqref="G3:G22">
    <cfRule type="cellIs" priority="11" operator="lessThan" aboveAverage="0" equalAverage="0" bottom="0" percent="0" rank="0" text="" dxfId="52">
      <formula>1.5</formula>
    </cfRule>
  </conditionalFormatting>
  <conditionalFormatting sqref="H3:H22">
    <cfRule type="cellIs" priority="12" operator="lessThan" aboveAverage="0" equalAverage="0" bottom="0" percent="0" rank="0" text="" dxfId="52">
      <formula>1.5</formula>
    </cfRule>
  </conditionalFormatting>
  <conditionalFormatting sqref="N3:N22">
    <cfRule type="cellIs" priority="13" operator="equal" aboveAverage="0" equalAverage="0" bottom="0" percent="0" rank="0" text="" dxfId="52">
      <formula>"成長且加速"</formula>
    </cfRule>
    <cfRule type="cellIs" priority="14" operator="equal" aboveAverage="0" equalAverage="0" bottom="0" percent="0" rank="0" text="" dxfId="53">
      <formula>"成長但減速"</formula>
    </cfRule>
    <cfRule type="cellIs" priority="15" operator="equal" aboveAverage="0" equalAverage="0" bottom="0" percent="0" rank="0" text="" dxfId="53">
      <formula>"衰退但收斂"</formula>
    </cfRule>
    <cfRule type="cellIs" priority="16" operator="equal" aboveAverage="0" equalAverage="0" bottom="0" percent="0" rank="0" text="" dxfId="54">
      <formula>"衰退且惡化"</formula>
    </cfRule>
  </conditionalFormatting>
  <conditionalFormatting sqref="A3:AC22">
    <cfRule type="expression" priority="17" aboveAverage="0" equalAverage="0" bottom="0" percent="0" rank="0" text="" dxfId="5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314.940002441406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36.116972757042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33.2489033230011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1.11742183318736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4.0764298957249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9.47219219178082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0.00333396834908373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314.940002441406</v>
      </c>
      <c r="L12" s="55" t="n">
        <f aca="false">IF(Stock_Card!$B$2="","",IFERROR(INDEX(Calc!$Q$2:$Q$100,MATCH(Stock_Card!$B$2,Calc!$A$2:$A$100,0)),""))</f>
        <v>0.00333396834908373</v>
      </c>
      <c r="M12" s="58" t="n">
        <f aca="false">IF(Stock_Card!$B$2="","",IFERROR(INDEX(Calc!$J$2:$J$100,MATCH(Stock_Card!$B$2,Calc!$A$2:$A$100,0)),""))</f>
        <v>36.116972757042</v>
      </c>
      <c r="N12" s="57" t="n">
        <f aca="false">IF(Stock_Card!$B$2="","",IFERROR(INDEX(Calc!$N$2:$N$100,MATCH(Stock_Card!$B$2,Calc!$A$2:$A$100,0)),""))</f>
        <v>1.11742183318736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9.47219219178082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33.2489033230011</v>
      </c>
      <c r="N13" s="57" t="n">
        <f aca="false">IF(Stock_Card!$B$2="","",IFERROR(INDEX(Calc!$O$2:$O$100,MATCH(Stock_Card!$B$2,Calc!$A$2:$A$100,0)),""))</f>
        <v>4.0764298957249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{2A891AF3-123D-47A1-A929-7E8669248BB2}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2">
      <formula>"成長且加速"</formula>
    </cfRule>
    <cfRule type="cellIs" priority="5" operator="equal" aboveAverage="0" equalAverage="0" bottom="0" percent="0" rank="0" text="" dxfId="53">
      <formula>"成長但減速"</formula>
    </cfRule>
    <cfRule type="cellIs" priority="6" operator="equal" aboveAverage="0" equalAverage="0" bottom="0" percent="0" rank="0" text="" dxfId="53">
      <formula>"衰退但收斂"</formula>
    </cfRule>
    <cfRule type="cellIs" priority="7" operator="equal" aboveAverage="0" equalAverage="0" bottom="0" percent="0" rank="0" text="" dxfId="5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6">
      <formula>$O5="預估"</formula>
    </cfRule>
  </conditionalFormatting>
  <conditionalFormatting sqref="B24:B28">
    <cfRule type="expression" priority="12" aboveAverage="0" equalAverage="0" bottom="0" percent="0" rank="0" text="" dxfId="5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891AF3-123D-47A1-A929-7E8669248BB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59</v>
      </c>
      <c r="I4" s="67" t="n">
        <f aca="false">IF($A4="","",IFERROR(INDEX(Raw_Price!$E$2:$E$100,MATCH($A4,Raw_Price!$A$2:$A$100,0)),""))</f>
        <v>46265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58</v>
      </c>
      <c r="I5" s="67" t="n">
        <f aca="false">IF($A5="","",IFERROR(INDEX(Raw_Price!$E$2:$E$100,MATCH($A5,Raw_Price!$A$2:$A$100,0)),""))</f>
        <v>46265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78</v>
      </c>
      <c r="I6" s="67" t="n">
        <f aca="false">IF($A6="","",IFERROR(INDEX(Raw_Price!$E$2:$E$100,MATCH($A6,Raw_Price!$A$2:$A$100,0)),""))</f>
        <v>46265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24</v>
      </c>
      <c r="I7" s="67" t="n">
        <f aca="false">IF($A7="","",IFERROR(INDEX(Raw_Price!$E$2:$E$100,MATCH($A7,Raw_Price!$A$2:$A$100,0)),""))</f>
        <v>46265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10</v>
      </c>
      <c r="I8" s="67" t="n">
        <f aca="false">IF($A8="","",IFERROR(INDEX(Raw_Price!$E$2:$E$100,MATCH($A8,Raw_Price!$A$2:$A$100,0)),""))</f>
        <v>46265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66</v>
      </c>
      <c r="I9" s="67" t="n">
        <f aca="false">IF($A9="","",IFERROR(INDEX(Raw_Price!$E$2:$E$100,MATCH($A9,Raw_Price!$A$2:$A$100,0)),""))</f>
        <v>46265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-4</v>
      </c>
      <c r="I10" s="67" t="n">
        <f aca="false">IF($A10="","",IFERROR(INDEX(Raw_Price!$E$2:$E$100,MATCH($A10,Raw_Price!$A$2:$A$100,0)),""))</f>
        <v>46265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30</v>
      </c>
      <c r="I11" s="67" t="n">
        <f aca="false">IF($A11="","",IFERROR(INDEX(Raw_Price!$E$2:$E$100,MATCH($A11,Raw_Price!$A$2:$A$100,0)),""))</f>
        <v>46265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TER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46316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46265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7">
      <formula>"OK"</formula>
    </cfRule>
    <cfRule type="cellIs" priority="3" operator="equal" aboveAverage="0" equalAverage="0" bottom="0" percent="0" rank="0" text="" dxfId="58">
      <formula>"待更新財報"</formula>
    </cfRule>
    <cfRule type="expression" priority="4" aboveAverage="0" equalAverage="0" bottom="0" percent="0" rank="0" text="" dxfId="5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191</v>
      </c>
      <c r="D10" s="74" t="s">
        <v>186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193</v>
      </c>
      <c r="C1" s="14" t="s">
        <v>194</v>
      </c>
      <c r="D1" s="14" t="s">
        <v>195</v>
      </c>
      <c r="E1" s="14" t="s">
        <v>196</v>
      </c>
      <c r="F1" s="14" t="s">
        <v>197</v>
      </c>
      <c r="G1" s="14" t="s">
        <v>198</v>
      </c>
      <c r="H1" s="14" t="s">
        <v>199</v>
      </c>
      <c r="I1" s="14" t="s">
        <v>200</v>
      </c>
      <c r="J1" s="14" t="s">
        <v>201</v>
      </c>
      <c r="K1" s="14" t="s">
        <v>202</v>
      </c>
      <c r="L1" s="14" t="s">
        <v>203</v>
      </c>
      <c r="M1" s="14" t="s">
        <v>204</v>
      </c>
      <c r="N1" s="14" t="s">
        <v>205</v>
      </c>
      <c r="O1" s="14" t="s">
        <v>206</v>
      </c>
      <c r="P1" s="14" t="s">
        <v>207</v>
      </c>
      <c r="Q1" s="14" t="s">
        <v>208</v>
      </c>
    </row>
    <row r="2" customFormat="false" ht="15" hidden="false" customHeight="false" outlineLevel="0" collapsed="false">
      <c r="A2" s="76" t="s">
        <v>180</v>
      </c>
      <c r="B2" s="76" t="s">
        <v>209</v>
      </c>
      <c r="C2" s="77" t="n">
        <v>2026</v>
      </c>
      <c r="D2" s="77" t="n">
        <v>2</v>
      </c>
      <c r="E2" s="78" t="n">
        <v>46203</v>
      </c>
      <c r="F2" s="76" t="s">
        <v>210</v>
      </c>
      <c r="G2" s="76" t="s">
        <v>211</v>
      </c>
      <c r="H2" s="76" t="s">
        <v>212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213</v>
      </c>
    </row>
    <row r="3" customFormat="false" ht="15" hidden="false" customHeight="false" outlineLevel="0" collapsed="false">
      <c r="A3" s="76" t="s">
        <v>180</v>
      </c>
      <c r="B3" s="76" t="s">
        <v>214</v>
      </c>
      <c r="C3" s="77" t="n">
        <v>2026</v>
      </c>
      <c r="D3" s="77" t="n">
        <v>1</v>
      </c>
      <c r="E3" s="78" t="n">
        <v>46112</v>
      </c>
      <c r="F3" s="76" t="s">
        <v>210</v>
      </c>
      <c r="G3" s="76" t="s">
        <v>211</v>
      </c>
      <c r="H3" s="76" t="s">
        <v>212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215</v>
      </c>
    </row>
    <row r="4" customFormat="false" ht="15" hidden="false" customHeight="false" outlineLevel="0" collapsed="false">
      <c r="A4" s="76" t="s">
        <v>180</v>
      </c>
      <c r="B4" s="76" t="s">
        <v>216</v>
      </c>
      <c r="C4" s="77" t="n">
        <v>2025</v>
      </c>
      <c r="D4" s="77" t="n">
        <v>4</v>
      </c>
      <c r="E4" s="78" t="n">
        <v>46022</v>
      </c>
      <c r="F4" s="76" t="s">
        <v>210</v>
      </c>
      <c r="G4" s="76" t="s">
        <v>211</v>
      </c>
      <c r="H4" s="76" t="s">
        <v>212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217</v>
      </c>
    </row>
    <row r="5" customFormat="false" ht="15" hidden="false" customHeight="false" outlineLevel="0" collapsed="false">
      <c r="A5" s="76" t="s">
        <v>180</v>
      </c>
      <c r="B5" s="76" t="s">
        <v>218</v>
      </c>
      <c r="C5" s="77" t="n">
        <v>2025</v>
      </c>
      <c r="D5" s="77" t="n">
        <v>3</v>
      </c>
      <c r="E5" s="78" t="n">
        <v>45930</v>
      </c>
      <c r="F5" s="76" t="s">
        <v>210</v>
      </c>
      <c r="G5" s="76" t="s">
        <v>211</v>
      </c>
      <c r="H5" s="76" t="s">
        <v>212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219</v>
      </c>
    </row>
    <row r="6" customFormat="false" ht="15" hidden="false" customHeight="false" outlineLevel="0" collapsed="false">
      <c r="A6" s="76" t="s">
        <v>180</v>
      </c>
      <c r="B6" s="76" t="s">
        <v>220</v>
      </c>
      <c r="C6" s="77" t="n">
        <v>2025</v>
      </c>
      <c r="D6" s="77" t="n">
        <v>2</v>
      </c>
      <c r="E6" s="78" t="n">
        <v>45838</v>
      </c>
      <c r="F6" s="76" t="s">
        <v>210</v>
      </c>
      <c r="G6" s="76" t="s">
        <v>211</v>
      </c>
      <c r="H6" s="76" t="s">
        <v>212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221</v>
      </c>
    </row>
    <row r="7" customFormat="false" ht="15" hidden="false" customHeight="false" outlineLevel="0" collapsed="false">
      <c r="A7" s="76" t="s">
        <v>180</v>
      </c>
      <c r="B7" s="76" t="s">
        <v>222</v>
      </c>
      <c r="C7" s="77" t="n">
        <v>2025</v>
      </c>
      <c r="D7" s="77" t="n">
        <v>1</v>
      </c>
      <c r="E7" s="78" t="n">
        <v>45747</v>
      </c>
      <c r="F7" s="76" t="s">
        <v>210</v>
      </c>
      <c r="G7" s="76" t="s">
        <v>211</v>
      </c>
      <c r="H7" s="76" t="s">
        <v>212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223</v>
      </c>
    </row>
    <row r="8" customFormat="false" ht="15" hidden="false" customHeight="false" outlineLevel="0" collapsed="false">
      <c r="A8" s="76" t="s">
        <v>180</v>
      </c>
      <c r="B8" s="76" t="s">
        <v>224</v>
      </c>
      <c r="C8" s="77" t="n">
        <v>2024</v>
      </c>
      <c r="D8" s="77" t="n">
        <v>4</v>
      </c>
      <c r="E8" s="78" t="n">
        <v>45657</v>
      </c>
      <c r="F8" s="76" t="s">
        <v>210</v>
      </c>
      <c r="G8" s="76" t="s">
        <v>211</v>
      </c>
      <c r="H8" s="76" t="s">
        <v>212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225</v>
      </c>
    </row>
    <row r="9" customFormat="false" ht="15" hidden="false" customHeight="false" outlineLevel="0" collapsed="false">
      <c r="A9" s="76" t="s">
        <v>180</v>
      </c>
      <c r="B9" s="76" t="s">
        <v>226</v>
      </c>
      <c r="C9" s="77" t="n">
        <v>2024</v>
      </c>
      <c r="D9" s="77" t="n">
        <v>3</v>
      </c>
      <c r="E9" s="78" t="n">
        <v>45565</v>
      </c>
      <c r="F9" s="76" t="s">
        <v>210</v>
      </c>
      <c r="G9" s="76" t="s">
        <v>211</v>
      </c>
      <c r="H9" s="76" t="s">
        <v>212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227</v>
      </c>
    </row>
    <row r="10" customFormat="false" ht="15" hidden="false" customHeight="false" outlineLevel="0" collapsed="false">
      <c r="A10" s="76" t="s">
        <v>180</v>
      </c>
      <c r="B10" s="76" t="s">
        <v>228</v>
      </c>
      <c r="C10" s="77" t="n">
        <v>2024</v>
      </c>
      <c r="D10" s="77" t="n">
        <v>2</v>
      </c>
      <c r="E10" s="78" t="n">
        <v>45473</v>
      </c>
      <c r="F10" s="76" t="s">
        <v>210</v>
      </c>
      <c r="G10" s="76" t="s">
        <v>211</v>
      </c>
      <c r="H10" s="76" t="s">
        <v>212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229</v>
      </c>
    </row>
    <row r="11" customFormat="false" ht="15" hidden="false" customHeight="false" outlineLevel="0" collapsed="false">
      <c r="A11" s="76" t="s">
        <v>180</v>
      </c>
      <c r="B11" s="76" t="s">
        <v>230</v>
      </c>
      <c r="C11" s="77" t="n">
        <v>2024</v>
      </c>
      <c r="D11" s="77" t="n">
        <v>1</v>
      </c>
      <c r="E11" s="78" t="n">
        <v>45382</v>
      </c>
      <c r="F11" s="76" t="s">
        <v>210</v>
      </c>
      <c r="G11" s="76" t="s">
        <v>211</v>
      </c>
      <c r="H11" s="76" t="s">
        <v>212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231</v>
      </c>
    </row>
    <row r="12" customFormat="false" ht="15" hidden="false" customHeight="false" outlineLevel="0" collapsed="false">
      <c r="A12" s="76" t="s">
        <v>180</v>
      </c>
      <c r="B12" s="76" t="s">
        <v>232</v>
      </c>
      <c r="C12" s="77" t="n">
        <v>2023</v>
      </c>
      <c r="D12" s="77" t="n">
        <v>4</v>
      </c>
      <c r="E12" s="78" t="n">
        <v>45291</v>
      </c>
      <c r="F12" s="76" t="s">
        <v>210</v>
      </c>
      <c r="G12" s="76" t="s">
        <v>211</v>
      </c>
      <c r="H12" s="76" t="s">
        <v>212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233</v>
      </c>
    </row>
    <row r="13" customFormat="false" ht="15" hidden="false" customHeight="false" outlineLevel="0" collapsed="false">
      <c r="A13" s="76" t="s">
        <v>180</v>
      </c>
      <c r="B13" s="76" t="s">
        <v>234</v>
      </c>
      <c r="C13" s="77" t="n">
        <v>2023</v>
      </c>
      <c r="D13" s="77" t="n">
        <v>3</v>
      </c>
      <c r="E13" s="78" t="n">
        <v>45199</v>
      </c>
      <c r="F13" s="76" t="s">
        <v>210</v>
      </c>
      <c r="G13" s="76" t="s">
        <v>211</v>
      </c>
      <c r="H13" s="76" t="s">
        <v>212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235</v>
      </c>
    </row>
    <row r="14" customFormat="false" ht="15" hidden="false" customHeight="false" outlineLevel="0" collapsed="false">
      <c r="A14" s="76" t="s">
        <v>180</v>
      </c>
      <c r="B14" s="76" t="s">
        <v>236</v>
      </c>
      <c r="C14" s="77" t="n">
        <v>2023</v>
      </c>
      <c r="D14" s="77" t="n">
        <v>2</v>
      </c>
      <c r="E14" s="78" t="n">
        <v>45107</v>
      </c>
      <c r="F14" s="76" t="s">
        <v>210</v>
      </c>
      <c r="G14" s="76" t="s">
        <v>211</v>
      </c>
      <c r="H14" s="76" t="s">
        <v>212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237</v>
      </c>
    </row>
    <row r="15" customFormat="false" ht="15" hidden="false" customHeight="false" outlineLevel="0" collapsed="false">
      <c r="A15" s="76" t="s">
        <v>180</v>
      </c>
      <c r="B15" s="76" t="s">
        <v>238</v>
      </c>
      <c r="C15" s="77" t="n">
        <v>2023</v>
      </c>
      <c r="D15" s="77" t="n">
        <v>1</v>
      </c>
      <c r="E15" s="78" t="n">
        <v>45016</v>
      </c>
      <c r="F15" s="76" t="s">
        <v>210</v>
      </c>
      <c r="G15" s="76" t="s">
        <v>211</v>
      </c>
      <c r="H15" s="76" t="s">
        <v>212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239</v>
      </c>
    </row>
    <row r="16" customFormat="false" ht="15" hidden="false" customHeight="false" outlineLevel="0" collapsed="false">
      <c r="A16" s="76" t="s">
        <v>180</v>
      </c>
      <c r="B16" s="76" t="s">
        <v>240</v>
      </c>
      <c r="C16" s="77" t="n">
        <v>2022</v>
      </c>
      <c r="D16" s="77" t="n">
        <v>4</v>
      </c>
      <c r="E16" s="78" t="n">
        <v>44926</v>
      </c>
      <c r="F16" s="76" t="s">
        <v>210</v>
      </c>
      <c r="G16" s="76" t="s">
        <v>211</v>
      </c>
      <c r="H16" s="76" t="s">
        <v>212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241</v>
      </c>
    </row>
    <row r="17" customFormat="false" ht="15" hidden="false" customHeight="false" outlineLevel="0" collapsed="false">
      <c r="A17" s="76" t="s">
        <v>180</v>
      </c>
      <c r="B17" s="76" t="s">
        <v>242</v>
      </c>
      <c r="C17" s="77" t="n">
        <v>2022</v>
      </c>
      <c r="D17" s="77" t="n">
        <v>3</v>
      </c>
      <c r="E17" s="78" t="n">
        <v>44834</v>
      </c>
      <c r="F17" s="76" t="s">
        <v>210</v>
      </c>
      <c r="G17" s="76" t="s">
        <v>211</v>
      </c>
      <c r="H17" s="76" t="s">
        <v>212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243</v>
      </c>
    </row>
    <row r="18" customFormat="false" ht="15" hidden="false" customHeight="false" outlineLevel="0" collapsed="false">
      <c r="A18" s="76" t="s">
        <v>180</v>
      </c>
      <c r="B18" s="76" t="s">
        <v>244</v>
      </c>
      <c r="C18" s="77" t="n">
        <v>2022</v>
      </c>
      <c r="D18" s="77" t="n">
        <v>2</v>
      </c>
      <c r="E18" s="78" t="n">
        <v>44742</v>
      </c>
      <c r="F18" s="76" t="s">
        <v>210</v>
      </c>
      <c r="G18" s="76" t="s">
        <v>211</v>
      </c>
      <c r="H18" s="76" t="s">
        <v>212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245</v>
      </c>
    </row>
    <row r="19" customFormat="false" ht="15" hidden="false" customHeight="false" outlineLevel="0" collapsed="false">
      <c r="A19" s="76" t="s">
        <v>180</v>
      </c>
      <c r="B19" s="76" t="s">
        <v>246</v>
      </c>
      <c r="C19" s="77" t="n">
        <v>2022</v>
      </c>
      <c r="D19" s="77" t="n">
        <v>1</v>
      </c>
      <c r="E19" s="78" t="n">
        <v>44651</v>
      </c>
      <c r="F19" s="76" t="s">
        <v>210</v>
      </c>
      <c r="G19" s="76" t="s">
        <v>211</v>
      </c>
      <c r="H19" s="76" t="s">
        <v>212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247</v>
      </c>
    </row>
    <row r="20" customFormat="false" ht="15" hidden="false" customHeight="false" outlineLevel="0" collapsed="false">
      <c r="A20" s="76" t="s">
        <v>180</v>
      </c>
      <c r="B20" s="76" t="s">
        <v>248</v>
      </c>
      <c r="C20" s="77" t="n">
        <v>2021</v>
      </c>
      <c r="D20" s="77" t="n">
        <v>4</v>
      </c>
      <c r="E20" s="78" t="n">
        <v>44561</v>
      </c>
      <c r="F20" s="76" t="s">
        <v>210</v>
      </c>
      <c r="G20" s="76" t="s">
        <v>211</v>
      </c>
      <c r="H20" s="76" t="s">
        <v>212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249</v>
      </c>
    </row>
    <row r="21" customFormat="false" ht="15" hidden="false" customHeight="false" outlineLevel="0" collapsed="false">
      <c r="A21" s="76" t="s">
        <v>180</v>
      </c>
      <c r="B21" s="76" t="s">
        <v>250</v>
      </c>
      <c r="C21" s="77" t="n">
        <v>2021</v>
      </c>
      <c r="D21" s="77" t="n">
        <v>3</v>
      </c>
      <c r="E21" s="78" t="n">
        <v>44469</v>
      </c>
      <c r="F21" s="76" t="s">
        <v>210</v>
      </c>
      <c r="G21" s="76" t="s">
        <v>211</v>
      </c>
      <c r="H21" s="76" t="s">
        <v>212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251</v>
      </c>
    </row>
    <row r="22" customFormat="false" ht="15" hidden="false" customHeight="false" outlineLevel="0" collapsed="false">
      <c r="A22" s="76" t="s">
        <v>180</v>
      </c>
      <c r="B22" s="76" t="s">
        <v>252</v>
      </c>
      <c r="C22" s="77" t="n">
        <v>2021</v>
      </c>
      <c r="D22" s="77" t="n">
        <v>2</v>
      </c>
      <c r="E22" s="78" t="n">
        <v>44377</v>
      </c>
      <c r="F22" s="76" t="s">
        <v>210</v>
      </c>
      <c r="G22" s="76" t="s">
        <v>211</v>
      </c>
      <c r="H22" s="76" t="s">
        <v>212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253</v>
      </c>
    </row>
    <row r="23" customFormat="false" ht="15" hidden="false" customHeight="false" outlineLevel="0" collapsed="false">
      <c r="A23" s="76" t="s">
        <v>180</v>
      </c>
      <c r="B23" s="76" t="s">
        <v>254</v>
      </c>
      <c r="C23" s="77" t="n">
        <v>2021</v>
      </c>
      <c r="D23" s="77" t="n">
        <v>1</v>
      </c>
      <c r="E23" s="78" t="n">
        <v>44286</v>
      </c>
      <c r="F23" s="76" t="s">
        <v>210</v>
      </c>
      <c r="G23" s="76" t="s">
        <v>211</v>
      </c>
      <c r="H23" s="76" t="s">
        <v>212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255</v>
      </c>
    </row>
    <row r="24" customFormat="false" ht="15" hidden="false" customHeight="false" outlineLevel="0" collapsed="false">
      <c r="A24" s="76" t="s">
        <v>180</v>
      </c>
      <c r="B24" s="76" t="s">
        <v>256</v>
      </c>
      <c r="C24" s="77" t="n">
        <v>2020</v>
      </c>
      <c r="D24" s="77" t="n">
        <v>4</v>
      </c>
      <c r="E24" s="78" t="n">
        <v>44196</v>
      </c>
      <c r="F24" s="76" t="s">
        <v>210</v>
      </c>
      <c r="G24" s="76" t="s">
        <v>211</v>
      </c>
      <c r="H24" s="76" t="s">
        <v>212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257</v>
      </c>
    </row>
    <row r="25" customFormat="false" ht="15" hidden="false" customHeight="false" outlineLevel="0" collapsed="false">
      <c r="A25" s="76" t="s">
        <v>180</v>
      </c>
      <c r="B25" s="76" t="s">
        <v>258</v>
      </c>
      <c r="C25" s="77" t="n">
        <v>2020</v>
      </c>
      <c r="D25" s="77" t="n">
        <v>3</v>
      </c>
      <c r="E25" s="78" t="n">
        <v>44104</v>
      </c>
      <c r="F25" s="76" t="s">
        <v>210</v>
      </c>
      <c r="G25" s="76" t="s">
        <v>211</v>
      </c>
      <c r="H25" s="76" t="s">
        <v>212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259</v>
      </c>
    </row>
    <row r="26" customFormat="false" ht="15" hidden="false" customHeight="false" outlineLevel="0" collapsed="false">
      <c r="A26" s="76" t="s">
        <v>84</v>
      </c>
      <c r="B26" s="76" t="s">
        <v>260</v>
      </c>
      <c r="C26" s="77" t="n">
        <v>2026</v>
      </c>
      <c r="D26" s="77" t="n">
        <v>3</v>
      </c>
      <c r="E26" s="78" t="n">
        <v>46203</v>
      </c>
      <c r="F26" s="76" t="s">
        <v>210</v>
      </c>
      <c r="G26" s="76" t="s">
        <v>211</v>
      </c>
      <c r="H26" s="76" t="s">
        <v>212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261</v>
      </c>
    </row>
    <row r="27" customFormat="false" ht="15" hidden="false" customHeight="false" outlineLevel="0" collapsed="false">
      <c r="A27" s="76" t="s">
        <v>84</v>
      </c>
      <c r="B27" s="76" t="s">
        <v>209</v>
      </c>
      <c r="C27" s="77" t="n">
        <v>2026</v>
      </c>
      <c r="D27" s="77" t="n">
        <v>2</v>
      </c>
      <c r="E27" s="78" t="n">
        <v>46112</v>
      </c>
      <c r="F27" s="76" t="s">
        <v>210</v>
      </c>
      <c r="G27" s="76" t="s">
        <v>211</v>
      </c>
      <c r="H27" s="76" t="s">
        <v>212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262</v>
      </c>
    </row>
    <row r="28" customFormat="false" ht="15" hidden="false" customHeight="false" outlineLevel="0" collapsed="false">
      <c r="A28" s="76" t="s">
        <v>84</v>
      </c>
      <c r="B28" s="76" t="s">
        <v>214</v>
      </c>
      <c r="C28" s="77" t="n">
        <v>2026</v>
      </c>
      <c r="D28" s="77" t="n">
        <v>1</v>
      </c>
      <c r="E28" s="78" t="n">
        <v>46022</v>
      </c>
      <c r="F28" s="76" t="s">
        <v>210</v>
      </c>
      <c r="G28" s="76" t="s">
        <v>211</v>
      </c>
      <c r="H28" s="76" t="s">
        <v>212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263</v>
      </c>
    </row>
    <row r="29" customFormat="false" ht="15" hidden="false" customHeight="false" outlineLevel="0" collapsed="false">
      <c r="A29" s="76" t="s">
        <v>84</v>
      </c>
      <c r="B29" s="76" t="s">
        <v>216</v>
      </c>
      <c r="C29" s="77" t="n">
        <v>2025</v>
      </c>
      <c r="D29" s="77" t="n">
        <v>4</v>
      </c>
      <c r="E29" s="78" t="n">
        <v>45930</v>
      </c>
      <c r="F29" s="76" t="s">
        <v>210</v>
      </c>
      <c r="G29" s="76" t="s">
        <v>211</v>
      </c>
      <c r="H29" s="76" t="s">
        <v>212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264</v>
      </c>
    </row>
    <row r="30" customFormat="false" ht="15" hidden="false" customHeight="false" outlineLevel="0" collapsed="false">
      <c r="A30" s="76" t="s">
        <v>84</v>
      </c>
      <c r="B30" s="76" t="s">
        <v>218</v>
      </c>
      <c r="C30" s="77" t="n">
        <v>2025</v>
      </c>
      <c r="D30" s="77" t="n">
        <v>3</v>
      </c>
      <c r="E30" s="78" t="n">
        <v>45838</v>
      </c>
      <c r="F30" s="76" t="s">
        <v>210</v>
      </c>
      <c r="G30" s="76" t="s">
        <v>211</v>
      </c>
      <c r="H30" s="76" t="s">
        <v>212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265</v>
      </c>
    </row>
    <row r="31" customFormat="false" ht="15" hidden="false" customHeight="false" outlineLevel="0" collapsed="false">
      <c r="A31" s="76" t="s">
        <v>84</v>
      </c>
      <c r="B31" s="76" t="s">
        <v>220</v>
      </c>
      <c r="C31" s="77" t="n">
        <v>2025</v>
      </c>
      <c r="D31" s="77" t="n">
        <v>2</v>
      </c>
      <c r="E31" s="78" t="n">
        <v>45747</v>
      </c>
      <c r="F31" s="76" t="s">
        <v>210</v>
      </c>
      <c r="G31" s="76" t="s">
        <v>211</v>
      </c>
      <c r="H31" s="76" t="s">
        <v>212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266</v>
      </c>
    </row>
    <row r="32" customFormat="false" ht="15" hidden="false" customHeight="false" outlineLevel="0" collapsed="false">
      <c r="A32" s="76" t="s">
        <v>84</v>
      </c>
      <c r="B32" s="76" t="s">
        <v>222</v>
      </c>
      <c r="C32" s="77" t="n">
        <v>2025</v>
      </c>
      <c r="D32" s="77" t="n">
        <v>1</v>
      </c>
      <c r="E32" s="78" t="n">
        <v>45657</v>
      </c>
      <c r="F32" s="76" t="s">
        <v>210</v>
      </c>
      <c r="G32" s="76" t="s">
        <v>211</v>
      </c>
      <c r="H32" s="76" t="s">
        <v>212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267</v>
      </c>
    </row>
    <row r="33" customFormat="false" ht="15" hidden="false" customHeight="false" outlineLevel="0" collapsed="false">
      <c r="A33" s="76" t="s">
        <v>84</v>
      </c>
      <c r="B33" s="76" t="s">
        <v>224</v>
      </c>
      <c r="C33" s="77" t="n">
        <v>2024</v>
      </c>
      <c r="D33" s="77" t="n">
        <v>4</v>
      </c>
      <c r="E33" s="78" t="n">
        <v>45565</v>
      </c>
      <c r="F33" s="76" t="s">
        <v>210</v>
      </c>
      <c r="G33" s="76" t="s">
        <v>211</v>
      </c>
      <c r="H33" s="76" t="s">
        <v>212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268</v>
      </c>
    </row>
    <row r="34" customFormat="false" ht="15" hidden="false" customHeight="false" outlineLevel="0" collapsed="false">
      <c r="A34" s="76" t="s">
        <v>84</v>
      </c>
      <c r="B34" s="76" t="s">
        <v>226</v>
      </c>
      <c r="C34" s="77" t="n">
        <v>2024</v>
      </c>
      <c r="D34" s="77" t="n">
        <v>3</v>
      </c>
      <c r="E34" s="78" t="n">
        <v>45473</v>
      </c>
      <c r="F34" s="76" t="s">
        <v>210</v>
      </c>
      <c r="G34" s="76" t="s">
        <v>211</v>
      </c>
      <c r="H34" s="76" t="s">
        <v>212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269</v>
      </c>
    </row>
    <row r="35" customFormat="false" ht="15" hidden="false" customHeight="false" outlineLevel="0" collapsed="false">
      <c r="A35" s="76" t="s">
        <v>84</v>
      </c>
      <c r="B35" s="76" t="s">
        <v>228</v>
      </c>
      <c r="C35" s="77" t="n">
        <v>2024</v>
      </c>
      <c r="D35" s="77" t="n">
        <v>2</v>
      </c>
      <c r="E35" s="78" t="n">
        <v>45382</v>
      </c>
      <c r="F35" s="76" t="s">
        <v>210</v>
      </c>
      <c r="G35" s="76" t="s">
        <v>211</v>
      </c>
      <c r="H35" s="76" t="s">
        <v>212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270</v>
      </c>
    </row>
    <row r="36" customFormat="false" ht="15" hidden="false" customHeight="false" outlineLevel="0" collapsed="false">
      <c r="A36" s="76" t="s">
        <v>84</v>
      </c>
      <c r="B36" s="76" t="s">
        <v>230</v>
      </c>
      <c r="C36" s="77" t="n">
        <v>2024</v>
      </c>
      <c r="D36" s="77" t="n">
        <v>1</v>
      </c>
      <c r="E36" s="78" t="n">
        <v>45291</v>
      </c>
      <c r="F36" s="76" t="s">
        <v>210</v>
      </c>
      <c r="G36" s="76" t="s">
        <v>211</v>
      </c>
      <c r="H36" s="76" t="s">
        <v>212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271</v>
      </c>
    </row>
    <row r="37" customFormat="false" ht="15" hidden="false" customHeight="false" outlineLevel="0" collapsed="false">
      <c r="A37" s="76" t="s">
        <v>84</v>
      </c>
      <c r="B37" s="76" t="s">
        <v>232</v>
      </c>
      <c r="C37" s="77" t="n">
        <v>2023</v>
      </c>
      <c r="D37" s="77" t="n">
        <v>4</v>
      </c>
      <c r="E37" s="78" t="n">
        <v>45199</v>
      </c>
      <c r="F37" s="76" t="s">
        <v>210</v>
      </c>
      <c r="G37" s="76" t="s">
        <v>211</v>
      </c>
      <c r="H37" s="76" t="s">
        <v>212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272</v>
      </c>
    </row>
    <row r="38" customFormat="false" ht="15" hidden="false" customHeight="false" outlineLevel="0" collapsed="false">
      <c r="A38" s="76" t="s">
        <v>84</v>
      </c>
      <c r="B38" s="76" t="s">
        <v>234</v>
      </c>
      <c r="C38" s="77" t="n">
        <v>2023</v>
      </c>
      <c r="D38" s="77" t="n">
        <v>3</v>
      </c>
      <c r="E38" s="78" t="n">
        <v>45107</v>
      </c>
      <c r="F38" s="76" t="s">
        <v>210</v>
      </c>
      <c r="G38" s="76" t="s">
        <v>211</v>
      </c>
      <c r="H38" s="76" t="s">
        <v>212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273</v>
      </c>
    </row>
    <row r="39" customFormat="false" ht="15" hidden="false" customHeight="false" outlineLevel="0" collapsed="false">
      <c r="A39" s="76" t="s">
        <v>84</v>
      </c>
      <c r="B39" s="76" t="s">
        <v>236</v>
      </c>
      <c r="C39" s="77" t="n">
        <v>2023</v>
      </c>
      <c r="D39" s="77" t="n">
        <v>2</v>
      </c>
      <c r="E39" s="78" t="n">
        <v>45016</v>
      </c>
      <c r="F39" s="76" t="s">
        <v>210</v>
      </c>
      <c r="G39" s="76" t="s">
        <v>211</v>
      </c>
      <c r="H39" s="76" t="s">
        <v>212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274</v>
      </c>
    </row>
    <row r="40" customFormat="false" ht="15" hidden="false" customHeight="false" outlineLevel="0" collapsed="false">
      <c r="A40" s="76" t="s">
        <v>84</v>
      </c>
      <c r="B40" s="76" t="s">
        <v>238</v>
      </c>
      <c r="C40" s="77" t="n">
        <v>2023</v>
      </c>
      <c r="D40" s="77" t="n">
        <v>1</v>
      </c>
      <c r="E40" s="78" t="n">
        <v>44926</v>
      </c>
      <c r="F40" s="76" t="s">
        <v>210</v>
      </c>
      <c r="G40" s="76" t="s">
        <v>211</v>
      </c>
      <c r="H40" s="76" t="s">
        <v>212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275</v>
      </c>
    </row>
    <row r="41" customFormat="false" ht="15" hidden="false" customHeight="false" outlineLevel="0" collapsed="false">
      <c r="A41" s="76" t="s">
        <v>84</v>
      </c>
      <c r="B41" s="76" t="s">
        <v>240</v>
      </c>
      <c r="C41" s="77" t="n">
        <v>2022</v>
      </c>
      <c r="D41" s="77" t="n">
        <v>4</v>
      </c>
      <c r="E41" s="78" t="n">
        <v>44834</v>
      </c>
      <c r="F41" s="76" t="s">
        <v>210</v>
      </c>
      <c r="G41" s="76" t="s">
        <v>211</v>
      </c>
      <c r="H41" s="76" t="s">
        <v>212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276</v>
      </c>
    </row>
    <row r="42" customFormat="false" ht="15" hidden="false" customHeight="false" outlineLevel="0" collapsed="false">
      <c r="A42" s="76" t="s">
        <v>84</v>
      </c>
      <c r="B42" s="76" t="s">
        <v>242</v>
      </c>
      <c r="C42" s="77" t="n">
        <v>2022</v>
      </c>
      <c r="D42" s="77" t="n">
        <v>3</v>
      </c>
      <c r="E42" s="78" t="n">
        <v>44742</v>
      </c>
      <c r="F42" s="76" t="s">
        <v>210</v>
      </c>
      <c r="G42" s="76" t="s">
        <v>211</v>
      </c>
      <c r="H42" s="76" t="s">
        <v>212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277</v>
      </c>
    </row>
    <row r="43" customFormat="false" ht="15" hidden="false" customHeight="false" outlineLevel="0" collapsed="false">
      <c r="A43" s="76" t="s">
        <v>84</v>
      </c>
      <c r="B43" s="76" t="s">
        <v>244</v>
      </c>
      <c r="C43" s="77" t="n">
        <v>2022</v>
      </c>
      <c r="D43" s="77" t="n">
        <v>2</v>
      </c>
      <c r="E43" s="78" t="n">
        <v>44651</v>
      </c>
      <c r="F43" s="76" t="s">
        <v>210</v>
      </c>
      <c r="G43" s="76" t="s">
        <v>211</v>
      </c>
      <c r="H43" s="76" t="s">
        <v>212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278</v>
      </c>
    </row>
    <row r="44" customFormat="false" ht="15" hidden="false" customHeight="false" outlineLevel="0" collapsed="false">
      <c r="A44" s="76" t="s">
        <v>84</v>
      </c>
      <c r="B44" s="76" t="s">
        <v>246</v>
      </c>
      <c r="C44" s="77" t="n">
        <v>2022</v>
      </c>
      <c r="D44" s="77" t="n">
        <v>1</v>
      </c>
      <c r="E44" s="78" t="n">
        <v>44561</v>
      </c>
      <c r="F44" s="76" t="s">
        <v>210</v>
      </c>
      <c r="G44" s="76" t="s">
        <v>211</v>
      </c>
      <c r="H44" s="76" t="s">
        <v>212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279</v>
      </c>
    </row>
    <row r="45" customFormat="false" ht="15" hidden="false" customHeight="false" outlineLevel="0" collapsed="false">
      <c r="A45" s="76" t="s">
        <v>84</v>
      </c>
      <c r="B45" s="76" t="s">
        <v>248</v>
      </c>
      <c r="C45" s="77" t="n">
        <v>2021</v>
      </c>
      <c r="D45" s="77" t="n">
        <v>4</v>
      </c>
      <c r="E45" s="78" t="n">
        <v>44469</v>
      </c>
      <c r="F45" s="76" t="s">
        <v>210</v>
      </c>
      <c r="G45" s="76" t="s">
        <v>211</v>
      </c>
      <c r="H45" s="76" t="s">
        <v>212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280</v>
      </c>
    </row>
    <row r="46" customFormat="false" ht="15" hidden="false" customHeight="false" outlineLevel="0" collapsed="false">
      <c r="A46" s="76" t="s">
        <v>84</v>
      </c>
      <c r="B46" s="76" t="s">
        <v>250</v>
      </c>
      <c r="C46" s="77" t="n">
        <v>2021</v>
      </c>
      <c r="D46" s="77" t="n">
        <v>3</v>
      </c>
      <c r="E46" s="78" t="n">
        <v>44377</v>
      </c>
      <c r="F46" s="76" t="s">
        <v>210</v>
      </c>
      <c r="G46" s="76" t="s">
        <v>211</v>
      </c>
      <c r="H46" s="76" t="s">
        <v>212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281</v>
      </c>
    </row>
    <row r="47" customFormat="false" ht="15" hidden="false" customHeight="false" outlineLevel="0" collapsed="false">
      <c r="A47" s="76" t="s">
        <v>84</v>
      </c>
      <c r="B47" s="76" t="s">
        <v>252</v>
      </c>
      <c r="C47" s="77" t="n">
        <v>2021</v>
      </c>
      <c r="D47" s="77" t="n">
        <v>2</v>
      </c>
      <c r="E47" s="78" t="n">
        <v>44286</v>
      </c>
      <c r="F47" s="76" t="s">
        <v>210</v>
      </c>
      <c r="G47" s="76" t="s">
        <v>211</v>
      </c>
      <c r="H47" s="76" t="s">
        <v>212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282</v>
      </c>
    </row>
    <row r="48" customFormat="false" ht="15" hidden="false" customHeight="false" outlineLevel="0" collapsed="false">
      <c r="A48" s="76" t="s">
        <v>84</v>
      </c>
      <c r="B48" s="76" t="s">
        <v>254</v>
      </c>
      <c r="C48" s="77" t="n">
        <v>2021</v>
      </c>
      <c r="D48" s="77" t="n">
        <v>1</v>
      </c>
      <c r="E48" s="78" t="n">
        <v>44196</v>
      </c>
      <c r="F48" s="76" t="s">
        <v>210</v>
      </c>
      <c r="G48" s="76" t="s">
        <v>211</v>
      </c>
      <c r="H48" s="76" t="s">
        <v>212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283</v>
      </c>
    </row>
    <row r="49" customFormat="false" ht="15" hidden="false" customHeight="false" outlineLevel="0" collapsed="false">
      <c r="A49" s="76" t="s">
        <v>84</v>
      </c>
      <c r="B49" s="76" t="s">
        <v>256</v>
      </c>
      <c r="C49" s="77" t="n">
        <v>2020</v>
      </c>
      <c r="D49" s="77" t="n">
        <v>4</v>
      </c>
      <c r="E49" s="78" t="n">
        <v>44104</v>
      </c>
      <c r="F49" s="76" t="s">
        <v>210</v>
      </c>
      <c r="G49" s="76" t="s">
        <v>211</v>
      </c>
      <c r="H49" s="76" t="s">
        <v>212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284</v>
      </c>
    </row>
    <row r="50" customFormat="false" ht="15" hidden="false" customHeight="false" outlineLevel="0" collapsed="false">
      <c r="A50" s="76" t="s">
        <v>178</v>
      </c>
      <c r="B50" s="76" t="s">
        <v>209</v>
      </c>
      <c r="C50" s="77" t="n">
        <v>2026</v>
      </c>
      <c r="D50" s="77" t="n">
        <v>2</v>
      </c>
      <c r="E50" s="78" t="n">
        <v>46173</v>
      </c>
      <c r="F50" s="76" t="s">
        <v>210</v>
      </c>
      <c r="G50" s="76" t="s">
        <v>211</v>
      </c>
      <c r="H50" s="76" t="s">
        <v>212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285</v>
      </c>
    </row>
    <row r="51" customFormat="false" ht="15" hidden="false" customHeight="false" outlineLevel="0" collapsed="false">
      <c r="A51" s="76" t="s">
        <v>178</v>
      </c>
      <c r="B51" s="76" t="s">
        <v>214</v>
      </c>
      <c r="C51" s="77" t="n">
        <v>2026</v>
      </c>
      <c r="D51" s="77" t="n">
        <v>1</v>
      </c>
      <c r="E51" s="78" t="n">
        <v>46081</v>
      </c>
      <c r="F51" s="76" t="s">
        <v>210</v>
      </c>
      <c r="G51" s="76" t="s">
        <v>211</v>
      </c>
      <c r="H51" s="76" t="s">
        <v>212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286</v>
      </c>
    </row>
    <row r="52" customFormat="false" ht="15" hidden="false" customHeight="false" outlineLevel="0" collapsed="false">
      <c r="A52" s="76" t="s">
        <v>178</v>
      </c>
      <c r="B52" s="76" t="s">
        <v>216</v>
      </c>
      <c r="C52" s="77" t="n">
        <v>2025</v>
      </c>
      <c r="D52" s="77" t="n">
        <v>4</v>
      </c>
      <c r="E52" s="78" t="n">
        <v>45991</v>
      </c>
      <c r="F52" s="76" t="s">
        <v>210</v>
      </c>
      <c r="G52" s="76" t="s">
        <v>211</v>
      </c>
      <c r="H52" s="76" t="s">
        <v>212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287</v>
      </c>
    </row>
    <row r="53" customFormat="false" ht="15" hidden="false" customHeight="false" outlineLevel="0" collapsed="false">
      <c r="A53" s="76" t="s">
        <v>178</v>
      </c>
      <c r="B53" s="76" t="s">
        <v>218</v>
      </c>
      <c r="C53" s="77" t="n">
        <v>2025</v>
      </c>
      <c r="D53" s="77" t="n">
        <v>3</v>
      </c>
      <c r="E53" s="78" t="n">
        <v>45900</v>
      </c>
      <c r="F53" s="76" t="s">
        <v>210</v>
      </c>
      <c r="G53" s="76" t="s">
        <v>211</v>
      </c>
      <c r="H53" s="76" t="s">
        <v>212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288</v>
      </c>
    </row>
    <row r="54" customFormat="false" ht="15" hidden="false" customHeight="false" outlineLevel="0" collapsed="false">
      <c r="A54" s="76" t="s">
        <v>178</v>
      </c>
      <c r="B54" s="76" t="s">
        <v>220</v>
      </c>
      <c r="C54" s="77" t="n">
        <v>2025</v>
      </c>
      <c r="D54" s="77" t="n">
        <v>2</v>
      </c>
      <c r="E54" s="78" t="n">
        <v>45808</v>
      </c>
      <c r="F54" s="76" t="s">
        <v>210</v>
      </c>
      <c r="G54" s="76" t="s">
        <v>211</v>
      </c>
      <c r="H54" s="76" t="s">
        <v>212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289</v>
      </c>
    </row>
    <row r="55" customFormat="false" ht="15" hidden="false" customHeight="false" outlineLevel="0" collapsed="false">
      <c r="A55" s="76" t="s">
        <v>178</v>
      </c>
      <c r="B55" s="76" t="s">
        <v>222</v>
      </c>
      <c r="C55" s="77" t="n">
        <v>2025</v>
      </c>
      <c r="D55" s="77" t="n">
        <v>1</v>
      </c>
      <c r="E55" s="78" t="n">
        <v>45716</v>
      </c>
      <c r="F55" s="76" t="s">
        <v>210</v>
      </c>
      <c r="G55" s="76" t="s">
        <v>211</v>
      </c>
      <c r="H55" s="76" t="s">
        <v>212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290</v>
      </c>
    </row>
    <row r="56" customFormat="false" ht="15" hidden="false" customHeight="false" outlineLevel="0" collapsed="false">
      <c r="A56" s="76" t="s">
        <v>178</v>
      </c>
      <c r="B56" s="76" t="s">
        <v>224</v>
      </c>
      <c r="C56" s="77" t="n">
        <v>2024</v>
      </c>
      <c r="D56" s="77" t="n">
        <v>4</v>
      </c>
      <c r="E56" s="78" t="n">
        <v>45626</v>
      </c>
      <c r="F56" s="76" t="s">
        <v>210</v>
      </c>
      <c r="G56" s="76" t="s">
        <v>211</v>
      </c>
      <c r="H56" s="76" t="s">
        <v>212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291</v>
      </c>
    </row>
    <row r="57" customFormat="false" ht="15" hidden="false" customHeight="false" outlineLevel="0" collapsed="false">
      <c r="A57" s="76" t="s">
        <v>178</v>
      </c>
      <c r="B57" s="76" t="s">
        <v>226</v>
      </c>
      <c r="C57" s="77" t="n">
        <v>2024</v>
      </c>
      <c r="D57" s="77" t="n">
        <v>3</v>
      </c>
      <c r="E57" s="78" t="n">
        <v>45535</v>
      </c>
      <c r="F57" s="76" t="s">
        <v>210</v>
      </c>
      <c r="G57" s="76" t="s">
        <v>211</v>
      </c>
      <c r="H57" s="76" t="s">
        <v>212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292</v>
      </c>
    </row>
    <row r="58" customFormat="false" ht="15" hidden="false" customHeight="false" outlineLevel="0" collapsed="false">
      <c r="A58" s="76" t="s">
        <v>178</v>
      </c>
      <c r="B58" s="76" t="s">
        <v>228</v>
      </c>
      <c r="C58" s="77" t="n">
        <v>2024</v>
      </c>
      <c r="D58" s="77" t="n">
        <v>2</v>
      </c>
      <c r="E58" s="78" t="n">
        <v>45443</v>
      </c>
      <c r="F58" s="76" t="s">
        <v>210</v>
      </c>
      <c r="G58" s="76" t="s">
        <v>211</v>
      </c>
      <c r="H58" s="76" t="s">
        <v>212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293</v>
      </c>
    </row>
    <row r="59" customFormat="false" ht="15" hidden="false" customHeight="false" outlineLevel="0" collapsed="false">
      <c r="A59" s="76" t="s">
        <v>178</v>
      </c>
      <c r="B59" s="76" t="s">
        <v>230</v>
      </c>
      <c r="C59" s="77" t="n">
        <v>2024</v>
      </c>
      <c r="D59" s="77" t="n">
        <v>1</v>
      </c>
      <c r="E59" s="78" t="n">
        <v>45351</v>
      </c>
      <c r="F59" s="76" t="s">
        <v>210</v>
      </c>
      <c r="G59" s="76" t="s">
        <v>211</v>
      </c>
      <c r="H59" s="76" t="s">
        <v>212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294</v>
      </c>
    </row>
    <row r="60" customFormat="false" ht="15" hidden="false" customHeight="false" outlineLevel="0" collapsed="false">
      <c r="A60" s="76" t="s">
        <v>178</v>
      </c>
      <c r="B60" s="76" t="s">
        <v>232</v>
      </c>
      <c r="C60" s="77" t="n">
        <v>2023</v>
      </c>
      <c r="D60" s="77" t="n">
        <v>4</v>
      </c>
      <c r="E60" s="78" t="n">
        <v>45260</v>
      </c>
      <c r="F60" s="76" t="s">
        <v>210</v>
      </c>
      <c r="G60" s="76" t="s">
        <v>211</v>
      </c>
      <c r="H60" s="76" t="s">
        <v>212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295</v>
      </c>
    </row>
    <row r="61" customFormat="false" ht="15" hidden="false" customHeight="false" outlineLevel="0" collapsed="false">
      <c r="A61" s="76" t="s">
        <v>178</v>
      </c>
      <c r="B61" s="76" t="s">
        <v>234</v>
      </c>
      <c r="C61" s="77" t="n">
        <v>2023</v>
      </c>
      <c r="D61" s="77" t="n">
        <v>3</v>
      </c>
      <c r="E61" s="78" t="n">
        <v>45169</v>
      </c>
      <c r="F61" s="76" t="s">
        <v>210</v>
      </c>
      <c r="G61" s="76" t="s">
        <v>211</v>
      </c>
      <c r="H61" s="76" t="s">
        <v>212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296</v>
      </c>
    </row>
    <row r="62" customFormat="false" ht="15" hidden="false" customHeight="false" outlineLevel="0" collapsed="false">
      <c r="A62" s="76" t="s">
        <v>178</v>
      </c>
      <c r="B62" s="76" t="s">
        <v>236</v>
      </c>
      <c r="C62" s="77" t="n">
        <v>2023</v>
      </c>
      <c r="D62" s="77" t="n">
        <v>2</v>
      </c>
      <c r="E62" s="78" t="n">
        <v>45077</v>
      </c>
      <c r="F62" s="76" t="s">
        <v>210</v>
      </c>
      <c r="G62" s="76" t="s">
        <v>211</v>
      </c>
      <c r="H62" s="76" t="s">
        <v>212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297</v>
      </c>
    </row>
    <row r="63" customFormat="false" ht="15" hidden="false" customHeight="false" outlineLevel="0" collapsed="false">
      <c r="A63" s="76" t="s">
        <v>178</v>
      </c>
      <c r="B63" s="76" t="s">
        <v>238</v>
      </c>
      <c r="C63" s="77" t="n">
        <v>2023</v>
      </c>
      <c r="D63" s="77" t="n">
        <v>1</v>
      </c>
      <c r="E63" s="78" t="n">
        <v>44985</v>
      </c>
      <c r="F63" s="76" t="s">
        <v>210</v>
      </c>
      <c r="G63" s="76" t="s">
        <v>211</v>
      </c>
      <c r="H63" s="76" t="s">
        <v>212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298</v>
      </c>
    </row>
    <row r="64" customFormat="false" ht="15" hidden="false" customHeight="false" outlineLevel="0" collapsed="false">
      <c r="A64" s="76" t="s">
        <v>178</v>
      </c>
      <c r="B64" s="76" t="s">
        <v>240</v>
      </c>
      <c r="C64" s="77" t="n">
        <v>2022</v>
      </c>
      <c r="D64" s="77" t="n">
        <v>4</v>
      </c>
      <c r="E64" s="78" t="n">
        <v>44895</v>
      </c>
      <c r="F64" s="76" t="s">
        <v>210</v>
      </c>
      <c r="G64" s="76" t="s">
        <v>211</v>
      </c>
      <c r="H64" s="76" t="s">
        <v>212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299</v>
      </c>
    </row>
    <row r="65" customFormat="false" ht="15" hidden="false" customHeight="false" outlineLevel="0" collapsed="false">
      <c r="A65" s="76" t="s">
        <v>178</v>
      </c>
      <c r="B65" s="76" t="s">
        <v>242</v>
      </c>
      <c r="C65" s="77" t="n">
        <v>2022</v>
      </c>
      <c r="D65" s="77" t="n">
        <v>3</v>
      </c>
      <c r="E65" s="78" t="n">
        <v>44804</v>
      </c>
      <c r="F65" s="76" t="s">
        <v>210</v>
      </c>
      <c r="G65" s="76" t="s">
        <v>211</v>
      </c>
      <c r="H65" s="76" t="s">
        <v>212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300</v>
      </c>
    </row>
    <row r="66" customFormat="false" ht="15" hidden="false" customHeight="false" outlineLevel="0" collapsed="false">
      <c r="A66" s="76" t="s">
        <v>178</v>
      </c>
      <c r="B66" s="76" t="s">
        <v>244</v>
      </c>
      <c r="C66" s="77" t="n">
        <v>2022</v>
      </c>
      <c r="D66" s="77" t="n">
        <v>2</v>
      </c>
      <c r="E66" s="78" t="n">
        <v>44712</v>
      </c>
      <c r="F66" s="76" t="s">
        <v>210</v>
      </c>
      <c r="G66" s="76" t="s">
        <v>211</v>
      </c>
      <c r="H66" s="76" t="s">
        <v>212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301</v>
      </c>
    </row>
    <row r="67" customFormat="false" ht="15" hidden="false" customHeight="false" outlineLevel="0" collapsed="false">
      <c r="A67" s="76" t="s">
        <v>178</v>
      </c>
      <c r="B67" s="76" t="s">
        <v>246</v>
      </c>
      <c r="C67" s="77" t="n">
        <v>2022</v>
      </c>
      <c r="D67" s="77" t="n">
        <v>1</v>
      </c>
      <c r="E67" s="78" t="n">
        <v>44620</v>
      </c>
      <c r="F67" s="76" t="s">
        <v>210</v>
      </c>
      <c r="G67" s="76" t="s">
        <v>211</v>
      </c>
      <c r="H67" s="76" t="s">
        <v>212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302</v>
      </c>
    </row>
    <row r="68" customFormat="false" ht="15" hidden="false" customHeight="false" outlineLevel="0" collapsed="false">
      <c r="A68" s="76" t="s">
        <v>178</v>
      </c>
      <c r="B68" s="76" t="s">
        <v>248</v>
      </c>
      <c r="C68" s="77" t="n">
        <v>2021</v>
      </c>
      <c r="D68" s="77" t="n">
        <v>4</v>
      </c>
      <c r="E68" s="78" t="n">
        <v>44530</v>
      </c>
      <c r="F68" s="76" t="s">
        <v>210</v>
      </c>
      <c r="G68" s="76" t="s">
        <v>211</v>
      </c>
      <c r="H68" s="76" t="s">
        <v>212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303</v>
      </c>
    </row>
    <row r="69" customFormat="false" ht="15" hidden="false" customHeight="false" outlineLevel="0" collapsed="false">
      <c r="A69" s="76" t="s">
        <v>178</v>
      </c>
      <c r="B69" s="76" t="s">
        <v>250</v>
      </c>
      <c r="C69" s="77" t="n">
        <v>2021</v>
      </c>
      <c r="D69" s="77" t="n">
        <v>3</v>
      </c>
      <c r="E69" s="78" t="n">
        <v>44439</v>
      </c>
      <c r="F69" s="76" t="s">
        <v>210</v>
      </c>
      <c r="G69" s="76" t="s">
        <v>211</v>
      </c>
      <c r="H69" s="76" t="s">
        <v>212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304</v>
      </c>
    </row>
    <row r="70" customFormat="false" ht="15" hidden="false" customHeight="false" outlineLevel="0" collapsed="false">
      <c r="A70" s="76" t="s">
        <v>178</v>
      </c>
      <c r="B70" s="76" t="s">
        <v>252</v>
      </c>
      <c r="C70" s="77" t="n">
        <v>2021</v>
      </c>
      <c r="D70" s="77" t="n">
        <v>2</v>
      </c>
      <c r="E70" s="78" t="n">
        <v>44347</v>
      </c>
      <c r="F70" s="76" t="s">
        <v>210</v>
      </c>
      <c r="G70" s="76" t="s">
        <v>211</v>
      </c>
      <c r="H70" s="76" t="s">
        <v>212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305</v>
      </c>
    </row>
    <row r="71" customFormat="false" ht="15" hidden="false" customHeight="false" outlineLevel="0" collapsed="false">
      <c r="A71" s="76" t="s">
        <v>178</v>
      </c>
      <c r="B71" s="76" t="s">
        <v>254</v>
      </c>
      <c r="C71" s="77" t="n">
        <v>2021</v>
      </c>
      <c r="D71" s="77" t="n">
        <v>1</v>
      </c>
      <c r="E71" s="78" t="n">
        <v>44255</v>
      </c>
      <c r="F71" s="76" t="s">
        <v>210</v>
      </c>
      <c r="G71" s="76" t="s">
        <v>211</v>
      </c>
      <c r="H71" s="76" t="s">
        <v>212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306</v>
      </c>
    </row>
    <row r="72" customFormat="false" ht="15" hidden="false" customHeight="false" outlineLevel="0" collapsed="false">
      <c r="A72" s="76" t="s">
        <v>178</v>
      </c>
      <c r="B72" s="76" t="s">
        <v>256</v>
      </c>
      <c r="C72" s="77" t="n">
        <v>2020</v>
      </c>
      <c r="D72" s="77" t="n">
        <v>4</v>
      </c>
      <c r="E72" s="78" t="n">
        <v>44165</v>
      </c>
      <c r="F72" s="76" t="s">
        <v>210</v>
      </c>
      <c r="G72" s="76" t="s">
        <v>211</v>
      </c>
      <c r="H72" s="76" t="s">
        <v>212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307</v>
      </c>
    </row>
    <row r="73" customFormat="false" ht="15" hidden="false" customHeight="false" outlineLevel="0" collapsed="false">
      <c r="A73" s="76" t="s">
        <v>178</v>
      </c>
      <c r="B73" s="76" t="s">
        <v>258</v>
      </c>
      <c r="C73" s="77" t="n">
        <v>2020</v>
      </c>
      <c r="D73" s="77" t="n">
        <v>3</v>
      </c>
      <c r="E73" s="78" t="n">
        <v>44074</v>
      </c>
      <c r="F73" s="76" t="s">
        <v>210</v>
      </c>
      <c r="G73" s="76" t="s">
        <v>211</v>
      </c>
      <c r="H73" s="76" t="s">
        <v>212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308</v>
      </c>
    </row>
    <row r="74" customFormat="false" ht="15" hidden="false" customHeight="false" outlineLevel="0" collapsed="false">
      <c r="A74" s="76" t="s">
        <v>175</v>
      </c>
      <c r="B74" s="76" t="s">
        <v>260</v>
      </c>
      <c r="C74" s="77" t="n">
        <v>2026</v>
      </c>
      <c r="D74" s="77" t="n">
        <v>3</v>
      </c>
      <c r="E74" s="78" t="n">
        <v>46173</v>
      </c>
      <c r="F74" s="76" t="s">
        <v>210</v>
      </c>
      <c r="G74" s="76" t="s">
        <v>211</v>
      </c>
      <c r="H74" s="76" t="s">
        <v>212</v>
      </c>
      <c r="I74" s="79" t="n">
        <v>70527</v>
      </c>
      <c r="J74" s="79" t="n">
        <v>9008</v>
      </c>
      <c r="K74" s="80" t="n">
        <v>4.93</v>
      </c>
      <c r="L74" s="79" t="n">
        <v>444.43</v>
      </c>
      <c r="M74" s="79" t="n">
        <v>33509</v>
      </c>
      <c r="N74" s="80" t="n">
        <v>1.47</v>
      </c>
      <c r="O74" s="80" t="n">
        <v>956.320007324219</v>
      </c>
      <c r="P74" s="47" t="n">
        <v>1</v>
      </c>
      <c r="Q74" s="66" t="s">
        <v>309</v>
      </c>
    </row>
    <row r="75" customFormat="false" ht="15" hidden="false" customHeight="false" outlineLevel="0" collapsed="false">
      <c r="A75" s="76" t="s">
        <v>175</v>
      </c>
      <c r="B75" s="76" t="s">
        <v>209</v>
      </c>
      <c r="C75" s="77" t="n">
        <v>2026</v>
      </c>
      <c r="D75" s="77" t="n">
        <v>2</v>
      </c>
      <c r="E75" s="78" t="n">
        <v>46081</v>
      </c>
      <c r="F75" s="76" t="s">
        <v>210</v>
      </c>
      <c r="G75" s="76" t="s">
        <v>211</v>
      </c>
      <c r="H75" s="76" t="s">
        <v>212</v>
      </c>
      <c r="I75" s="79" t="n">
        <v>69597</v>
      </c>
      <c r="J75" s="79" t="n">
        <v>8878</v>
      </c>
      <c r="K75" s="80" t="n">
        <v>4.58</v>
      </c>
      <c r="L75" s="79" t="n">
        <v>444.42</v>
      </c>
      <c r="M75" s="79" t="n">
        <v>32087</v>
      </c>
      <c r="N75" s="80" t="n">
        <v>1.3</v>
      </c>
      <c r="O75" s="80" t="n">
        <v>1010.78997802734</v>
      </c>
      <c r="P75" s="47" t="n">
        <v>2</v>
      </c>
      <c r="Q75" s="66" t="s">
        <v>310</v>
      </c>
    </row>
    <row r="76" customFormat="false" ht="15" hidden="false" customHeight="false" outlineLevel="0" collapsed="false">
      <c r="A76" s="76" t="s">
        <v>175</v>
      </c>
      <c r="B76" s="76" t="s">
        <v>214</v>
      </c>
      <c r="C76" s="77" t="n">
        <v>2026</v>
      </c>
      <c r="D76" s="77" t="n">
        <v>1</v>
      </c>
      <c r="E76" s="78" t="n">
        <v>45991</v>
      </c>
      <c r="F76" s="76" t="s">
        <v>210</v>
      </c>
      <c r="G76" s="76" t="s">
        <v>211</v>
      </c>
      <c r="H76" s="76" t="s">
        <v>212</v>
      </c>
      <c r="I76" s="79" t="n">
        <v>67307</v>
      </c>
      <c r="J76" s="79" t="n">
        <v>8797</v>
      </c>
      <c r="K76" s="80" t="n">
        <v>4.5</v>
      </c>
      <c r="L76" s="79" t="n">
        <v>444.515</v>
      </c>
      <c r="M76" s="79" t="n">
        <v>30303</v>
      </c>
      <c r="N76" s="80" t="n">
        <v>1.3</v>
      </c>
      <c r="O76" s="80" t="n">
        <v>913.590026855469</v>
      </c>
      <c r="P76" s="47" t="n">
        <v>3</v>
      </c>
      <c r="Q76" s="66" t="s">
        <v>311</v>
      </c>
    </row>
    <row r="77" customFormat="false" ht="15" hidden="false" customHeight="false" outlineLevel="0" collapsed="false">
      <c r="A77" s="76" t="s">
        <v>175</v>
      </c>
      <c r="B77" s="76" t="s">
        <v>216</v>
      </c>
      <c r="C77" s="77" t="n">
        <v>2025</v>
      </c>
      <c r="D77" s="77" t="n">
        <v>4</v>
      </c>
      <c r="E77" s="78" t="n">
        <v>45900</v>
      </c>
      <c r="F77" s="76" t="s">
        <v>210</v>
      </c>
      <c r="G77" s="76" t="s">
        <v>211</v>
      </c>
      <c r="H77" s="76" t="s">
        <v>212</v>
      </c>
      <c r="I77" s="79" t="n">
        <v>86156</v>
      </c>
      <c r="J77" s="79" t="n">
        <v>11119</v>
      </c>
      <c r="K77" s="80" t="n">
        <v>5.87</v>
      </c>
      <c r="L77" s="79" t="n">
        <v>444.706</v>
      </c>
      <c r="M77" s="79" t="n">
        <v>29164</v>
      </c>
      <c r="N77" s="80" t="n">
        <v>1.3</v>
      </c>
      <c r="O77" s="80" t="n">
        <v>943.320007324219</v>
      </c>
      <c r="P77" s="47" t="n">
        <v>4</v>
      </c>
      <c r="Q77" s="66" t="s">
        <v>312</v>
      </c>
    </row>
    <row r="78" customFormat="false" ht="15" hidden="false" customHeight="false" outlineLevel="0" collapsed="false">
      <c r="A78" s="76" t="s">
        <v>175</v>
      </c>
      <c r="B78" s="76" t="s">
        <v>218</v>
      </c>
      <c r="C78" s="77" t="n">
        <v>2025</v>
      </c>
      <c r="D78" s="77" t="n">
        <v>3</v>
      </c>
      <c r="E78" s="78" t="n">
        <v>45808</v>
      </c>
      <c r="F78" s="76" t="s">
        <v>210</v>
      </c>
      <c r="G78" s="76" t="s">
        <v>211</v>
      </c>
      <c r="H78" s="76" t="s">
        <v>212</v>
      </c>
      <c r="I78" s="79" t="n">
        <v>63205</v>
      </c>
      <c r="J78" s="79" t="n">
        <v>8209</v>
      </c>
      <c r="K78" s="80" t="n">
        <v>4.28</v>
      </c>
      <c r="L78" s="79" t="n">
        <v>444.762</v>
      </c>
      <c r="M78" s="79" t="n">
        <v>27125</v>
      </c>
      <c r="N78" s="80" t="n">
        <v>1.3</v>
      </c>
      <c r="O78" s="80" t="n">
        <v>1040.18005371094</v>
      </c>
      <c r="P78" s="47" t="n">
        <v>5</v>
      </c>
      <c r="Q78" s="66" t="s">
        <v>313</v>
      </c>
    </row>
    <row r="79" customFormat="false" ht="15" hidden="false" customHeight="false" outlineLevel="0" collapsed="false">
      <c r="A79" s="76" t="s">
        <v>175</v>
      </c>
      <c r="B79" s="76" t="s">
        <v>220</v>
      </c>
      <c r="C79" s="77" t="n">
        <v>2025</v>
      </c>
      <c r="D79" s="77" t="n">
        <v>2</v>
      </c>
      <c r="E79" s="78" t="n">
        <v>45716</v>
      </c>
      <c r="F79" s="76" t="s">
        <v>210</v>
      </c>
      <c r="G79" s="76" t="s">
        <v>211</v>
      </c>
      <c r="H79" s="76" t="s">
        <v>212</v>
      </c>
      <c r="I79" s="79" t="n">
        <v>63723</v>
      </c>
      <c r="J79" s="79" t="n">
        <v>7979</v>
      </c>
      <c r="K79" s="80" t="n">
        <v>4.02</v>
      </c>
      <c r="L79" s="79" t="n">
        <v>444.9135</v>
      </c>
      <c r="M79" s="79" t="n">
        <v>25577</v>
      </c>
      <c r="N79" s="80" t="n">
        <v>1.16</v>
      </c>
      <c r="O79" s="80" t="n">
        <v>1048.60998535156</v>
      </c>
      <c r="P79" s="47" t="n">
        <v>6</v>
      </c>
      <c r="Q79" s="66" t="s">
        <v>314</v>
      </c>
    </row>
    <row r="80" customFormat="false" ht="15" hidden="false" customHeight="false" outlineLevel="0" collapsed="false">
      <c r="A80" s="76" t="s">
        <v>175</v>
      </c>
      <c r="B80" s="76" t="s">
        <v>222</v>
      </c>
      <c r="C80" s="77" t="n">
        <v>2025</v>
      </c>
      <c r="D80" s="77" t="n">
        <v>1</v>
      </c>
      <c r="E80" s="78" t="n">
        <v>45626</v>
      </c>
      <c r="F80" s="76" t="s">
        <v>210</v>
      </c>
      <c r="G80" s="76" t="s">
        <v>211</v>
      </c>
      <c r="H80" s="76" t="s">
        <v>212</v>
      </c>
      <c r="I80" s="79" t="n">
        <v>62151</v>
      </c>
      <c r="J80" s="79" t="n">
        <v>8042</v>
      </c>
      <c r="K80" s="80" t="n">
        <v>4.04</v>
      </c>
      <c r="L80" s="79" t="n">
        <v>444.881</v>
      </c>
      <c r="M80" s="79" t="n">
        <v>24451</v>
      </c>
      <c r="N80" s="80" t="n">
        <v>1.16</v>
      </c>
      <c r="O80" s="80" t="n">
        <v>971.880004882812</v>
      </c>
      <c r="P80" s="47" t="n">
        <v>7</v>
      </c>
      <c r="Q80" s="66" t="s">
        <v>315</v>
      </c>
    </row>
    <row r="81" customFormat="false" ht="15" hidden="false" customHeight="false" outlineLevel="0" collapsed="false">
      <c r="A81" s="76" t="s">
        <v>175</v>
      </c>
      <c r="B81" s="76" t="s">
        <v>224</v>
      </c>
      <c r="C81" s="77" t="n">
        <v>2024</v>
      </c>
      <c r="D81" s="77" t="n">
        <v>4</v>
      </c>
      <c r="E81" s="78" t="n">
        <v>45535</v>
      </c>
      <c r="F81" s="76" t="s">
        <v>210</v>
      </c>
      <c r="G81" s="76" t="s">
        <v>211</v>
      </c>
      <c r="H81" s="76" t="s">
        <v>212</v>
      </c>
      <c r="I81" s="79" t="n">
        <v>79697</v>
      </c>
      <c r="J81" s="79" t="n">
        <v>10109</v>
      </c>
      <c r="K81" s="80" t="n">
        <v>5.15</v>
      </c>
      <c r="L81" s="79" t="n">
        <v>444.759</v>
      </c>
      <c r="M81" s="79" t="n">
        <v>23622</v>
      </c>
      <c r="N81" s="80" t="n">
        <v>1.16</v>
      </c>
      <c r="O81" s="80" t="n">
        <v>892.380004882813</v>
      </c>
      <c r="P81" s="47" t="n">
        <v>8</v>
      </c>
      <c r="Q81" s="66" t="s">
        <v>316</v>
      </c>
    </row>
    <row r="82" customFormat="false" ht="15" hidden="false" customHeight="false" outlineLevel="0" collapsed="false">
      <c r="A82" s="76" t="s">
        <v>175</v>
      </c>
      <c r="B82" s="76" t="s">
        <v>226</v>
      </c>
      <c r="C82" s="77" t="n">
        <v>2024</v>
      </c>
      <c r="D82" s="77" t="n">
        <v>3</v>
      </c>
      <c r="E82" s="78" t="n">
        <v>45443</v>
      </c>
      <c r="F82" s="76" t="s">
        <v>210</v>
      </c>
      <c r="G82" s="76" t="s">
        <v>211</v>
      </c>
      <c r="H82" s="76" t="s">
        <v>212</v>
      </c>
      <c r="I82" s="79" t="n">
        <v>58515</v>
      </c>
      <c r="J82" s="79" t="n">
        <v>7342</v>
      </c>
      <c r="K82" s="80" t="n">
        <v>3.78</v>
      </c>
      <c r="L82" s="79" t="n">
        <v>444.60725</v>
      </c>
      <c r="M82" s="79" t="n">
        <v>21771</v>
      </c>
      <c r="N82" s="80" t="n">
        <v>1.16</v>
      </c>
      <c r="O82" s="80" t="n">
        <v>809.890014648438</v>
      </c>
      <c r="P82" s="47" t="n">
        <v>9</v>
      </c>
      <c r="Q82" s="66" t="s">
        <v>317</v>
      </c>
    </row>
    <row r="83" customFormat="false" ht="15" hidden="false" customHeight="false" outlineLevel="0" collapsed="false">
      <c r="A83" s="76" t="s">
        <v>175</v>
      </c>
      <c r="B83" s="76" t="s">
        <v>228</v>
      </c>
      <c r="C83" s="77" t="n">
        <v>2024</v>
      </c>
      <c r="D83" s="77" t="n">
        <v>2</v>
      </c>
      <c r="E83" s="78" t="n">
        <v>45351</v>
      </c>
      <c r="F83" s="76" t="s">
        <v>210</v>
      </c>
      <c r="G83" s="76" t="s">
        <v>211</v>
      </c>
      <c r="H83" s="76" t="s">
        <v>212</v>
      </c>
      <c r="I83" s="79" t="n">
        <v>58442</v>
      </c>
      <c r="J83" s="79" t="n">
        <v>7302</v>
      </c>
      <c r="K83" s="80" t="n">
        <v>3.71</v>
      </c>
      <c r="L83" s="79" t="n">
        <v>444.49</v>
      </c>
      <c r="M83" s="79" t="n">
        <v>20760</v>
      </c>
      <c r="N83" s="80" t="n">
        <v>16.02</v>
      </c>
      <c r="O83" s="80" t="n">
        <v>743.890014648438</v>
      </c>
      <c r="P83" s="47" t="n">
        <v>10</v>
      </c>
      <c r="Q83" s="66" t="s">
        <v>318</v>
      </c>
    </row>
    <row r="84" customFormat="false" ht="15" hidden="false" customHeight="false" outlineLevel="0" collapsed="false">
      <c r="A84" s="76" t="s">
        <v>175</v>
      </c>
      <c r="B84" s="76" t="s">
        <v>230</v>
      </c>
      <c r="C84" s="77" t="n">
        <v>2024</v>
      </c>
      <c r="D84" s="77" t="n">
        <v>1</v>
      </c>
      <c r="E84" s="78" t="n">
        <v>45260</v>
      </c>
      <c r="F84" s="76" t="s">
        <v>210</v>
      </c>
      <c r="G84" s="76" t="s">
        <v>211</v>
      </c>
      <c r="H84" s="76" t="s">
        <v>212</v>
      </c>
      <c r="I84" s="79" t="n">
        <v>57799</v>
      </c>
      <c r="J84" s="79" t="n">
        <v>7342</v>
      </c>
      <c r="K84" s="80" t="n">
        <v>3.58</v>
      </c>
      <c r="L84" s="79" t="n">
        <v>444.42</v>
      </c>
      <c r="M84" s="79" t="n">
        <v>26147</v>
      </c>
      <c r="N84" s="80" t="n">
        <v>1.02</v>
      </c>
      <c r="O84" s="80" t="n">
        <v>592.739990234375</v>
      </c>
      <c r="P84" s="47" t="n">
        <v>11</v>
      </c>
      <c r="Q84" s="66" t="s">
        <v>319</v>
      </c>
    </row>
    <row r="85" customFormat="false" ht="15" hidden="false" customHeight="false" outlineLevel="0" collapsed="false">
      <c r="A85" s="76" t="s">
        <v>175</v>
      </c>
      <c r="B85" s="76" t="s">
        <v>232</v>
      </c>
      <c r="C85" s="77" t="n">
        <v>2023</v>
      </c>
      <c r="D85" s="77" t="n">
        <v>4</v>
      </c>
      <c r="E85" s="78" t="n">
        <v>45169</v>
      </c>
      <c r="F85" s="76" t="s">
        <v>210</v>
      </c>
      <c r="G85" s="76" t="s">
        <v>211</v>
      </c>
      <c r="H85" s="76" t="s">
        <v>212</v>
      </c>
      <c r="I85" s="79" t="n">
        <v>78939</v>
      </c>
      <c r="J85" s="79" t="n">
        <v>9720</v>
      </c>
      <c r="K85" s="80" t="n">
        <v>4.86</v>
      </c>
      <c r="L85" s="79"/>
      <c r="M85" s="79" t="n">
        <v>25058</v>
      </c>
      <c r="N85" s="80" t="n">
        <v>1.02</v>
      </c>
      <c r="O85" s="80" t="n">
        <v>549.280029296875</v>
      </c>
      <c r="P85" s="47" t="n">
        <v>12</v>
      </c>
      <c r="Q85" s="66" t="s">
        <v>320</v>
      </c>
    </row>
    <row r="86" customFormat="false" ht="15" hidden="false" customHeight="false" outlineLevel="0" collapsed="false">
      <c r="A86" s="76" t="s">
        <v>175</v>
      </c>
      <c r="B86" s="76" t="s">
        <v>234</v>
      </c>
      <c r="C86" s="77" t="n">
        <v>2023</v>
      </c>
      <c r="D86" s="77" t="n">
        <v>3</v>
      </c>
      <c r="E86" s="78" t="n">
        <v>45077</v>
      </c>
      <c r="F86" s="76" t="s">
        <v>210</v>
      </c>
      <c r="G86" s="76" t="s">
        <v>211</v>
      </c>
      <c r="H86" s="76" t="s">
        <v>212</v>
      </c>
      <c r="I86" s="79" t="n">
        <v>53648</v>
      </c>
      <c r="J86" s="79" t="n">
        <v>6473</v>
      </c>
      <c r="K86" s="80" t="n">
        <v>2.93</v>
      </c>
      <c r="L86" s="79" t="n">
        <v>444.36</v>
      </c>
      <c r="M86" s="79" t="n">
        <v>23568</v>
      </c>
      <c r="N86" s="80" t="n">
        <v>1.02</v>
      </c>
      <c r="O86" s="80" t="n">
        <v>511.559997558594</v>
      </c>
      <c r="P86" s="47" t="n">
        <v>13</v>
      </c>
      <c r="Q86" s="66" t="s">
        <v>321</v>
      </c>
    </row>
    <row r="87" customFormat="false" ht="15" hidden="false" customHeight="false" outlineLevel="0" collapsed="false">
      <c r="A87" s="76" t="s">
        <v>175</v>
      </c>
      <c r="B87" s="76" t="s">
        <v>236</v>
      </c>
      <c r="C87" s="77" t="n">
        <v>2023</v>
      </c>
      <c r="D87" s="77" t="n">
        <v>2</v>
      </c>
      <c r="E87" s="78" t="n">
        <v>44985</v>
      </c>
      <c r="F87" s="76" t="s">
        <v>210</v>
      </c>
      <c r="G87" s="76" t="s">
        <v>211</v>
      </c>
      <c r="H87" s="76" t="s">
        <v>212</v>
      </c>
      <c r="I87" s="79" t="n">
        <v>55266</v>
      </c>
      <c r="J87" s="79" t="n">
        <v>6843</v>
      </c>
      <c r="K87" s="80" t="n">
        <v>3.3</v>
      </c>
      <c r="L87" s="79" t="n">
        <v>444.475</v>
      </c>
      <c r="M87" s="79" t="n">
        <v>22794</v>
      </c>
      <c r="N87" s="80" t="n">
        <v>0.9</v>
      </c>
      <c r="O87" s="80" t="n">
        <v>484.179992675781</v>
      </c>
      <c r="P87" s="47" t="n">
        <v>14</v>
      </c>
      <c r="Q87" s="66" t="s">
        <v>322</v>
      </c>
    </row>
    <row r="88" customFormat="false" ht="15" hidden="false" customHeight="false" outlineLevel="0" collapsed="false">
      <c r="A88" s="76" t="s">
        <v>175</v>
      </c>
      <c r="B88" s="76" t="s">
        <v>238</v>
      </c>
      <c r="C88" s="77" t="n">
        <v>2023</v>
      </c>
      <c r="D88" s="77" t="n">
        <v>1</v>
      </c>
      <c r="E88" s="78" t="n">
        <v>44895</v>
      </c>
      <c r="F88" s="76" t="s">
        <v>210</v>
      </c>
      <c r="G88" s="76" t="s">
        <v>211</v>
      </c>
      <c r="H88" s="76" t="s">
        <v>212</v>
      </c>
      <c r="I88" s="79" t="n">
        <v>54437</v>
      </c>
      <c r="J88" s="79" t="n">
        <v>6668</v>
      </c>
      <c r="K88" s="80" t="n">
        <v>3.1</v>
      </c>
      <c r="L88" s="79" t="n">
        <v>444.531</v>
      </c>
      <c r="M88" s="79" t="n">
        <v>21471</v>
      </c>
      <c r="N88" s="80" t="n">
        <v>0.9</v>
      </c>
      <c r="O88" s="80" t="n">
        <v>539.25</v>
      </c>
      <c r="P88" s="47" t="n">
        <v>15</v>
      </c>
      <c r="Q88" s="66" t="s">
        <v>323</v>
      </c>
    </row>
    <row r="89" customFormat="false" ht="15" hidden="false" customHeight="false" outlineLevel="0" collapsed="false">
      <c r="A89" s="76" t="s">
        <v>175</v>
      </c>
      <c r="B89" s="76" t="s">
        <v>240</v>
      </c>
      <c r="C89" s="77" t="n">
        <v>2022</v>
      </c>
      <c r="D89" s="77" t="n">
        <v>4</v>
      </c>
      <c r="E89" s="78" t="n">
        <v>44804</v>
      </c>
      <c r="F89" s="76" t="s">
        <v>210</v>
      </c>
      <c r="G89" s="76" t="s">
        <v>211</v>
      </c>
      <c r="H89" s="76" t="s">
        <v>212</v>
      </c>
      <c r="I89" s="79" t="n">
        <v>72091</v>
      </c>
      <c r="J89" s="79" t="n">
        <v>8533</v>
      </c>
      <c r="K89" s="80" t="n">
        <v>4.2</v>
      </c>
      <c r="L89" s="79"/>
      <c r="M89" s="79" t="n">
        <v>20642</v>
      </c>
      <c r="N89" s="80" t="n">
        <v>0.9</v>
      </c>
      <c r="O89" s="80" t="n">
        <v>522.099975585938</v>
      </c>
      <c r="P89" s="47" t="n">
        <v>16</v>
      </c>
      <c r="Q89" s="66" t="s">
        <v>324</v>
      </c>
    </row>
    <row r="90" customFormat="false" ht="15" hidden="false" customHeight="false" outlineLevel="0" collapsed="false">
      <c r="A90" s="76" t="s">
        <v>175</v>
      </c>
      <c r="B90" s="76" t="s">
        <v>242</v>
      </c>
      <c r="C90" s="77" t="n">
        <v>2022</v>
      </c>
      <c r="D90" s="77" t="n">
        <v>3</v>
      </c>
      <c r="E90" s="78" t="n">
        <v>44712</v>
      </c>
      <c r="F90" s="76" t="s">
        <v>210</v>
      </c>
      <c r="G90" s="76" t="s">
        <v>211</v>
      </c>
      <c r="H90" s="76" t="s">
        <v>212</v>
      </c>
      <c r="I90" s="79" t="n">
        <v>52596</v>
      </c>
      <c r="J90" s="79" t="n">
        <v>6241</v>
      </c>
      <c r="K90" s="80" t="n">
        <v>3.17</v>
      </c>
      <c r="L90" s="79" t="n">
        <v>444.886</v>
      </c>
      <c r="M90" s="79" t="n">
        <v>19968</v>
      </c>
      <c r="N90" s="80" t="n">
        <v>0.9</v>
      </c>
      <c r="O90" s="80" t="n">
        <v>466.220001220703</v>
      </c>
      <c r="P90" s="47" t="n">
        <v>17</v>
      </c>
      <c r="Q90" s="66" t="s">
        <v>325</v>
      </c>
    </row>
    <row r="91" customFormat="false" ht="15" hidden="false" customHeight="false" outlineLevel="0" collapsed="false">
      <c r="A91" s="76" t="s">
        <v>175</v>
      </c>
      <c r="B91" s="76" t="s">
        <v>244</v>
      </c>
      <c r="C91" s="77" t="n">
        <v>2022</v>
      </c>
      <c r="D91" s="77" t="n">
        <v>2</v>
      </c>
      <c r="E91" s="78" t="n">
        <v>44620</v>
      </c>
      <c r="F91" s="76" t="s">
        <v>210</v>
      </c>
      <c r="G91" s="76" t="s">
        <v>211</v>
      </c>
      <c r="H91" s="76" t="s">
        <v>212</v>
      </c>
      <c r="I91" s="79" t="n">
        <v>51904</v>
      </c>
      <c r="J91" s="79" t="n">
        <v>6387</v>
      </c>
      <c r="K91" s="80" t="n">
        <v>2.92</v>
      </c>
      <c r="L91" s="79" t="n">
        <v>444.916</v>
      </c>
      <c r="M91" s="79" t="n">
        <v>19418</v>
      </c>
      <c r="N91" s="80" t="n">
        <v>0.79</v>
      </c>
      <c r="O91" s="80" t="n">
        <v>519.25</v>
      </c>
      <c r="P91" s="47" t="n">
        <v>18</v>
      </c>
      <c r="Q91" s="66" t="s">
        <v>326</v>
      </c>
    </row>
    <row r="92" customFormat="false" ht="15" hidden="false" customHeight="false" outlineLevel="0" collapsed="false">
      <c r="A92" s="76" t="s">
        <v>175</v>
      </c>
      <c r="B92" s="76" t="s">
        <v>246</v>
      </c>
      <c r="C92" s="77" t="n">
        <v>2022</v>
      </c>
      <c r="D92" s="77" t="n">
        <v>1</v>
      </c>
      <c r="E92" s="78" t="n">
        <v>44530</v>
      </c>
      <c r="F92" s="76" t="s">
        <v>210</v>
      </c>
      <c r="G92" s="76" t="s">
        <v>211</v>
      </c>
      <c r="H92" s="76" t="s">
        <v>212</v>
      </c>
      <c r="I92" s="79" t="n">
        <v>50363</v>
      </c>
      <c r="J92" s="79" t="n">
        <v>6411</v>
      </c>
      <c r="K92" s="80" t="n">
        <v>2.98</v>
      </c>
      <c r="L92" s="79" t="n">
        <v>444.604</v>
      </c>
      <c r="M92" s="79" t="n">
        <v>18463</v>
      </c>
      <c r="N92" s="80" t="n">
        <v>0.79</v>
      </c>
      <c r="O92" s="80" t="n">
        <v>539.380004882813</v>
      </c>
      <c r="P92" s="47" t="n">
        <v>19</v>
      </c>
      <c r="Q92" s="66" t="s">
        <v>327</v>
      </c>
    </row>
    <row r="93" customFormat="false" ht="15" hidden="false" customHeight="false" outlineLevel="0" collapsed="false">
      <c r="A93" s="76" t="s">
        <v>175</v>
      </c>
      <c r="B93" s="76" t="s">
        <v>248</v>
      </c>
      <c r="C93" s="77" t="n">
        <v>2021</v>
      </c>
      <c r="D93" s="77" t="n">
        <v>4</v>
      </c>
      <c r="E93" s="78" t="n">
        <v>44439</v>
      </c>
      <c r="F93" s="76" t="s">
        <v>210</v>
      </c>
      <c r="G93" s="76" t="s">
        <v>211</v>
      </c>
      <c r="H93" s="76" t="s">
        <v>212</v>
      </c>
      <c r="I93" s="79" t="n">
        <v>62675</v>
      </c>
      <c r="J93" s="79" t="n">
        <v>7942</v>
      </c>
      <c r="K93" s="80" t="n">
        <v>3.76</v>
      </c>
      <c r="L93" s="79"/>
      <c r="M93" s="79" t="n">
        <v>17564</v>
      </c>
      <c r="N93" s="80" t="n">
        <v>0.79</v>
      </c>
      <c r="O93" s="80" t="n">
        <v>455.489990234375</v>
      </c>
      <c r="P93" s="47" t="n">
        <v>20</v>
      </c>
      <c r="Q93" s="66" t="s">
        <v>328</v>
      </c>
    </row>
    <row r="94" customFormat="false" ht="15" hidden="false" customHeight="false" outlineLevel="0" collapsed="false">
      <c r="A94" s="76" t="s">
        <v>175</v>
      </c>
      <c r="B94" s="76" t="s">
        <v>250</v>
      </c>
      <c r="C94" s="77" t="n">
        <v>2021</v>
      </c>
      <c r="D94" s="77" t="n">
        <v>3</v>
      </c>
      <c r="E94" s="78" t="n">
        <v>44347</v>
      </c>
      <c r="F94" s="76" t="s">
        <v>210</v>
      </c>
      <c r="G94" s="76" t="s">
        <v>211</v>
      </c>
      <c r="H94" s="76" t="s">
        <v>212</v>
      </c>
      <c r="I94" s="79" t="n">
        <v>45277</v>
      </c>
      <c r="J94" s="79" t="n">
        <v>5862</v>
      </c>
      <c r="K94" s="80" t="n">
        <v>2.75</v>
      </c>
      <c r="L94" s="79" t="n">
        <v>444.127</v>
      </c>
      <c r="M94" s="79" t="n">
        <v>16482</v>
      </c>
      <c r="N94" s="80" t="n">
        <v>0.79</v>
      </c>
      <c r="O94" s="80" t="n">
        <v>378.269989013672</v>
      </c>
      <c r="P94" s="47" t="n">
        <v>21</v>
      </c>
      <c r="Q94" s="66" t="s">
        <v>329</v>
      </c>
    </row>
    <row r="95" customFormat="false" ht="15" hidden="false" customHeight="false" outlineLevel="0" collapsed="false">
      <c r="A95" s="76" t="s">
        <v>175</v>
      </c>
      <c r="B95" s="76" t="s">
        <v>252</v>
      </c>
      <c r="C95" s="77" t="n">
        <v>2021</v>
      </c>
      <c r="D95" s="77" t="n">
        <v>2</v>
      </c>
      <c r="E95" s="78" t="n">
        <v>44255</v>
      </c>
      <c r="F95" s="76" t="s">
        <v>210</v>
      </c>
      <c r="G95" s="76" t="s">
        <v>211</v>
      </c>
      <c r="H95" s="76" t="s">
        <v>212</v>
      </c>
      <c r="I95" s="79" t="n">
        <v>44769</v>
      </c>
      <c r="J95" s="79" t="n">
        <v>5691</v>
      </c>
      <c r="K95" s="80" t="n">
        <v>2.14</v>
      </c>
      <c r="L95" s="79" t="n">
        <v>444.494</v>
      </c>
      <c r="M95" s="79" t="n">
        <v>15652</v>
      </c>
      <c r="N95" s="80" t="n">
        <v>10.7</v>
      </c>
      <c r="O95" s="80" t="n">
        <v>331</v>
      </c>
      <c r="P95" s="47" t="n">
        <v>22</v>
      </c>
      <c r="Q95" s="66" t="s">
        <v>330</v>
      </c>
    </row>
    <row r="96" customFormat="false" ht="15" hidden="false" customHeight="false" outlineLevel="0" collapsed="false">
      <c r="A96" s="76" t="s">
        <v>175</v>
      </c>
      <c r="B96" s="76" t="s">
        <v>254</v>
      </c>
      <c r="C96" s="77" t="n">
        <v>2021</v>
      </c>
      <c r="D96" s="77" t="n">
        <v>1</v>
      </c>
      <c r="E96" s="78" t="n">
        <v>44165</v>
      </c>
      <c r="F96" s="76" t="s">
        <v>210</v>
      </c>
      <c r="G96" s="76" t="s">
        <v>211</v>
      </c>
      <c r="H96" s="76" t="s">
        <v>212</v>
      </c>
      <c r="I96" s="79" t="n">
        <v>43208</v>
      </c>
      <c r="J96" s="79" t="n">
        <v>5750</v>
      </c>
      <c r="K96" s="80" t="n">
        <v>2.29</v>
      </c>
      <c r="L96" s="79" t="n">
        <v>444.386</v>
      </c>
      <c r="M96" s="79" t="n">
        <v>14860</v>
      </c>
      <c r="N96" s="80" t="n">
        <v>0.7</v>
      </c>
      <c r="O96" s="80" t="n">
        <v>391.769989013672</v>
      </c>
      <c r="P96" s="47" t="n">
        <v>23</v>
      </c>
      <c r="Q96" s="66" t="s">
        <v>331</v>
      </c>
    </row>
    <row r="97" customFormat="false" ht="15" hidden="false" customHeight="false" outlineLevel="0" collapsed="false">
      <c r="A97" s="76" t="s">
        <v>175</v>
      </c>
      <c r="B97" s="76" t="s">
        <v>256</v>
      </c>
      <c r="C97" s="77" t="n">
        <v>2020</v>
      </c>
      <c r="D97" s="77" t="n">
        <v>4</v>
      </c>
      <c r="E97" s="78" t="n">
        <v>44074</v>
      </c>
      <c r="F97" s="76" t="s">
        <v>210</v>
      </c>
      <c r="G97" s="76" t="s">
        <v>211</v>
      </c>
      <c r="H97" s="76" t="s">
        <v>212</v>
      </c>
      <c r="I97" s="79" t="n">
        <v>53383</v>
      </c>
      <c r="J97" s="79" t="n">
        <v>6982</v>
      </c>
      <c r="K97" s="80" t="n">
        <v>3.13</v>
      </c>
      <c r="L97" s="79"/>
      <c r="M97" s="79" t="n">
        <v>18284</v>
      </c>
      <c r="N97" s="80"/>
      <c r="O97" s="80" t="n">
        <v>347.660003662109</v>
      </c>
      <c r="P97" s="47" t="n">
        <v>24</v>
      </c>
      <c r="Q97" s="66" t="s">
        <v>332</v>
      </c>
    </row>
    <row r="98" customFormat="false" ht="15" hidden="false" customHeight="false" outlineLevel="0" collapsed="false">
      <c r="A98" s="76" t="s">
        <v>184</v>
      </c>
      <c r="B98" s="76" t="s">
        <v>333</v>
      </c>
      <c r="C98" s="77" t="n">
        <v>2027</v>
      </c>
      <c r="D98" s="77" t="n">
        <v>2</v>
      </c>
      <c r="E98" s="78" t="n">
        <v>46234</v>
      </c>
      <c r="F98" s="76" t="s">
        <v>210</v>
      </c>
      <c r="G98" s="76" t="s">
        <v>211</v>
      </c>
      <c r="H98" s="76" t="s">
        <v>212</v>
      </c>
      <c r="I98" s="79" t="n">
        <v>2739.3</v>
      </c>
      <c r="J98" s="79" t="n">
        <v>1455.6</v>
      </c>
      <c r="K98" s="80" t="n">
        <v>0.94</v>
      </c>
      <c r="L98" s="79" t="n">
        <v>921.2</v>
      </c>
      <c r="M98" s="79" t="n">
        <v>18531.6</v>
      </c>
      <c r="N98" s="80" t="n">
        <v>0.06</v>
      </c>
      <c r="O98" s="80" t="n">
        <v>187.559997558594</v>
      </c>
      <c r="P98" s="47" t="n">
        <v>1</v>
      </c>
      <c r="Q98" s="66" t="s">
        <v>334</v>
      </c>
    </row>
    <row r="99" customFormat="false" ht="15" hidden="false" customHeight="false" outlineLevel="0" collapsed="false">
      <c r="A99" s="76" t="s">
        <v>184</v>
      </c>
      <c r="B99" s="76" t="s">
        <v>335</v>
      </c>
      <c r="C99" s="77" t="n">
        <v>2027</v>
      </c>
      <c r="D99" s="77" t="n">
        <v>1</v>
      </c>
      <c r="E99" s="78" t="n">
        <v>46142</v>
      </c>
      <c r="F99" s="76" t="s">
        <v>210</v>
      </c>
      <c r="G99" s="76" t="s">
        <v>211</v>
      </c>
      <c r="H99" s="76" t="s">
        <v>212</v>
      </c>
      <c r="I99" s="79" t="n">
        <v>2417.8</v>
      </c>
      <c r="J99" s="79" t="n">
        <v>1260.8</v>
      </c>
      <c r="K99" s="80" t="n">
        <v>0.8</v>
      </c>
      <c r="L99" s="79" t="n">
        <v>893.3</v>
      </c>
      <c r="M99" s="79" t="n">
        <v>18215.8</v>
      </c>
      <c r="N99" s="80" t="n">
        <v>0.06</v>
      </c>
      <c r="O99" s="80" t="n">
        <v>165.149993896484</v>
      </c>
      <c r="P99" s="47" t="n">
        <v>2</v>
      </c>
      <c r="Q99" s="66" t="s">
        <v>336</v>
      </c>
    </row>
    <row r="100" customFormat="false" ht="15" hidden="false" customHeight="false" outlineLevel="0" collapsed="false">
      <c r="A100" s="76" t="s">
        <v>184</v>
      </c>
      <c r="B100" s="76" t="s">
        <v>337</v>
      </c>
      <c r="C100" s="77" t="n">
        <v>2026</v>
      </c>
      <c r="D100" s="77" t="n">
        <v>4</v>
      </c>
      <c r="E100" s="78" t="n">
        <v>46053</v>
      </c>
      <c r="F100" s="76" t="s">
        <v>210</v>
      </c>
      <c r="G100" s="76" t="s">
        <v>211</v>
      </c>
      <c r="H100" s="76" t="s">
        <v>212</v>
      </c>
      <c r="I100" s="79" t="n">
        <v>2218.7</v>
      </c>
      <c r="J100" s="79" t="n">
        <v>1147.9</v>
      </c>
      <c r="K100" s="80" t="n">
        <v>0.8</v>
      </c>
      <c r="L100" s="79" t="n">
        <v>856.2</v>
      </c>
      <c r="M100" s="79" t="n">
        <v>14308.4</v>
      </c>
      <c r="N100" s="80" t="n">
        <v>0.06</v>
      </c>
      <c r="O100" s="80" t="n">
        <v>78.9199981689453</v>
      </c>
      <c r="P100" s="47" t="n">
        <v>3</v>
      </c>
      <c r="Q100" s="66" t="s">
        <v>338</v>
      </c>
    </row>
    <row r="101" customFormat="false" ht="15" hidden="false" customHeight="false" outlineLevel="0" collapsed="false">
      <c r="A101" s="76" t="s">
        <v>184</v>
      </c>
      <c r="B101" s="76" t="s">
        <v>260</v>
      </c>
      <c r="C101" s="77" t="n">
        <v>2026</v>
      </c>
      <c r="D101" s="77" t="n">
        <v>3</v>
      </c>
      <c r="E101" s="78" t="n">
        <v>45961</v>
      </c>
      <c r="F101" s="76" t="s">
        <v>210</v>
      </c>
      <c r="G101" s="76" t="s">
        <v>211</v>
      </c>
      <c r="H101" s="76" t="s">
        <v>212</v>
      </c>
      <c r="I101" s="79" t="n">
        <v>2074.5</v>
      </c>
      <c r="J101" s="79" t="n">
        <v>1069.8</v>
      </c>
      <c r="K101" s="80" t="n">
        <v>0.76</v>
      </c>
      <c r="L101" s="79" t="n">
        <v>863.7</v>
      </c>
      <c r="M101" s="79" t="n">
        <v>14056.6</v>
      </c>
      <c r="N101" s="80" t="n">
        <v>0.06</v>
      </c>
      <c r="O101" s="80" t="n">
        <v>93.7399978637695</v>
      </c>
      <c r="P101" s="47" t="n">
        <v>4</v>
      </c>
      <c r="Q101" s="66" t="s">
        <v>339</v>
      </c>
    </row>
    <row r="102" customFormat="false" ht="15" hidden="false" customHeight="false" outlineLevel="0" collapsed="false">
      <c r="A102" s="76" t="s">
        <v>184</v>
      </c>
      <c r="B102" s="76" t="s">
        <v>209</v>
      </c>
      <c r="C102" s="77" t="n">
        <v>2026</v>
      </c>
      <c r="D102" s="77" t="n">
        <v>2</v>
      </c>
      <c r="E102" s="78" t="n">
        <v>45869</v>
      </c>
      <c r="F102" s="76" t="s">
        <v>210</v>
      </c>
      <c r="G102" s="76" t="s">
        <v>211</v>
      </c>
      <c r="H102" s="76" t="s">
        <v>212</v>
      </c>
      <c r="I102" s="79" t="n">
        <v>2006.1</v>
      </c>
      <c r="J102" s="79" t="n">
        <v>1010.6</v>
      </c>
      <c r="K102" s="80" t="n">
        <v>0.67</v>
      </c>
      <c r="L102" s="79" t="n">
        <v>870.4</v>
      </c>
      <c r="M102" s="79" t="n">
        <v>13421.7</v>
      </c>
      <c r="N102" s="80" t="n">
        <v>0.06</v>
      </c>
      <c r="O102" s="80" t="n">
        <v>80.370002746582</v>
      </c>
      <c r="P102" s="47" t="n">
        <v>5</v>
      </c>
      <c r="Q102" s="66" t="s">
        <v>340</v>
      </c>
    </row>
    <row r="103" customFormat="false" ht="15" hidden="false" customHeight="false" outlineLevel="0" collapsed="false">
      <c r="A103" s="76" t="s">
        <v>184</v>
      </c>
      <c r="B103" s="76" t="s">
        <v>214</v>
      </c>
      <c r="C103" s="77" t="n">
        <v>2026</v>
      </c>
      <c r="D103" s="77" t="n">
        <v>1</v>
      </c>
      <c r="E103" s="78" t="n">
        <v>45777</v>
      </c>
      <c r="F103" s="76" t="s">
        <v>210</v>
      </c>
      <c r="G103" s="76" t="s">
        <v>211</v>
      </c>
      <c r="H103" s="76" t="s">
        <v>212</v>
      </c>
      <c r="I103" s="79" t="n">
        <v>1895.3</v>
      </c>
      <c r="J103" s="79" t="n">
        <v>952.4</v>
      </c>
      <c r="K103" s="80" t="n">
        <v>0.62</v>
      </c>
      <c r="L103" s="79" t="n">
        <v>875.6</v>
      </c>
      <c r="M103" s="79" t="n">
        <v>13312.7</v>
      </c>
      <c r="N103" s="80" t="n">
        <v>0.06</v>
      </c>
      <c r="O103" s="80" t="n">
        <v>58.3699989318848</v>
      </c>
      <c r="P103" s="47" t="n">
        <v>6</v>
      </c>
      <c r="Q103" s="66" t="s">
        <v>341</v>
      </c>
    </row>
    <row r="104" customFormat="false" ht="15" hidden="false" customHeight="false" outlineLevel="0" collapsed="false">
      <c r="A104" s="76" t="s">
        <v>184</v>
      </c>
      <c r="B104" s="76" t="s">
        <v>216</v>
      </c>
      <c r="C104" s="77" t="n">
        <v>2025</v>
      </c>
      <c r="D104" s="77" t="n">
        <v>4</v>
      </c>
      <c r="E104" s="78" t="n">
        <v>45688</v>
      </c>
      <c r="F104" s="76" t="s">
        <v>210</v>
      </c>
      <c r="G104" s="76" t="s">
        <v>211</v>
      </c>
      <c r="H104" s="76" t="s">
        <v>212</v>
      </c>
      <c r="I104" s="79" t="n">
        <v>1817.4</v>
      </c>
      <c r="J104" s="79" t="n">
        <v>917.4</v>
      </c>
      <c r="K104" s="80" t="n">
        <v>0.6</v>
      </c>
      <c r="L104" s="79"/>
      <c r="M104" s="79" t="n">
        <v>13427</v>
      </c>
      <c r="N104" s="80" t="n">
        <v>0.06</v>
      </c>
      <c r="O104" s="80" t="n">
        <v>112.860000610352</v>
      </c>
      <c r="P104" s="47" t="n">
        <v>7</v>
      </c>
      <c r="Q104" s="66" t="s">
        <v>342</v>
      </c>
    </row>
    <row r="105" customFormat="false" ht="15" hidden="false" customHeight="false" outlineLevel="0" collapsed="false">
      <c r="A105" s="76" t="s">
        <v>184</v>
      </c>
      <c r="B105" s="76" t="s">
        <v>218</v>
      </c>
      <c r="C105" s="77" t="n">
        <v>2025</v>
      </c>
      <c r="D105" s="77" t="n">
        <v>3</v>
      </c>
      <c r="E105" s="78" t="n">
        <v>45596</v>
      </c>
      <c r="F105" s="76" t="s">
        <v>210</v>
      </c>
      <c r="G105" s="76" t="s">
        <v>211</v>
      </c>
      <c r="H105" s="76" t="s">
        <v>212</v>
      </c>
      <c r="I105" s="79" t="n">
        <v>1516.1</v>
      </c>
      <c r="J105" s="79" t="n">
        <v>349.4</v>
      </c>
      <c r="K105" s="80" t="n">
        <v>0.43</v>
      </c>
      <c r="L105" s="79" t="n">
        <v>865.7</v>
      </c>
      <c r="M105" s="79" t="n">
        <v>13372.9</v>
      </c>
      <c r="N105" s="80" t="n">
        <v>0.06</v>
      </c>
      <c r="O105" s="80" t="n">
        <v>80.1100006103516</v>
      </c>
      <c r="P105" s="47" t="n">
        <v>8</v>
      </c>
      <c r="Q105" s="66" t="s">
        <v>343</v>
      </c>
    </row>
    <row r="106" customFormat="false" ht="15" hidden="false" customHeight="false" outlineLevel="0" collapsed="false">
      <c r="A106" s="76" t="s">
        <v>184</v>
      </c>
      <c r="B106" s="76" t="s">
        <v>220</v>
      </c>
      <c r="C106" s="77" t="n">
        <v>2025</v>
      </c>
      <c r="D106" s="77" t="n">
        <v>2</v>
      </c>
      <c r="E106" s="78" t="n">
        <v>45507</v>
      </c>
      <c r="F106" s="76" t="s">
        <v>210</v>
      </c>
      <c r="G106" s="76" t="s">
        <v>211</v>
      </c>
      <c r="H106" s="76" t="s">
        <v>212</v>
      </c>
      <c r="I106" s="79" t="n">
        <v>1272.9</v>
      </c>
      <c r="J106" s="79" t="n">
        <v>587.6</v>
      </c>
      <c r="K106" s="80"/>
      <c r="L106" s="79" t="n">
        <v>865.7</v>
      </c>
      <c r="M106" s="79" t="n">
        <v>14204.9</v>
      </c>
      <c r="N106" s="80" t="n">
        <v>0.06</v>
      </c>
      <c r="O106" s="80" t="n">
        <v>59.25</v>
      </c>
      <c r="P106" s="47" t="n">
        <v>9</v>
      </c>
      <c r="Q106" s="66" t="s">
        <v>344</v>
      </c>
    </row>
    <row r="107" customFormat="false" ht="15" hidden="false" customHeight="false" outlineLevel="0" collapsed="false">
      <c r="A107" s="76" t="s">
        <v>184</v>
      </c>
      <c r="B107" s="76" t="s">
        <v>222</v>
      </c>
      <c r="C107" s="77" t="n">
        <v>2025</v>
      </c>
      <c r="D107" s="77" t="n">
        <v>1</v>
      </c>
      <c r="E107" s="78" t="n">
        <v>45416</v>
      </c>
      <c r="F107" s="76" t="s">
        <v>210</v>
      </c>
      <c r="G107" s="76" t="s">
        <v>211</v>
      </c>
      <c r="H107" s="76" t="s">
        <v>212</v>
      </c>
      <c r="I107" s="79" t="n">
        <v>1160.9</v>
      </c>
      <c r="J107" s="79" t="n">
        <v>527.8</v>
      </c>
      <c r="K107" s="80"/>
      <c r="L107" s="79" t="n">
        <v>865</v>
      </c>
      <c r="M107" s="79" t="n">
        <v>14478.7</v>
      </c>
      <c r="N107" s="80"/>
      <c r="O107" s="80" t="n">
        <v>68.5100021362305</v>
      </c>
      <c r="P107" s="47" t="n">
        <v>10</v>
      </c>
      <c r="Q107" s="66" t="s">
        <v>345</v>
      </c>
    </row>
    <row r="108" customFormat="false" ht="15" hidden="false" customHeight="false" outlineLevel="0" collapsed="false">
      <c r="A108" s="76" t="s">
        <v>184</v>
      </c>
      <c r="B108" s="76" t="s">
        <v>224</v>
      </c>
      <c r="C108" s="77" t="n">
        <v>2024</v>
      </c>
      <c r="D108" s="77" t="n">
        <v>4</v>
      </c>
      <c r="E108" s="78" t="n">
        <v>45322</v>
      </c>
      <c r="F108" s="76" t="s">
        <v>210</v>
      </c>
      <c r="G108" s="76" t="s">
        <v>211</v>
      </c>
      <c r="H108" s="76" t="s">
        <v>212</v>
      </c>
      <c r="I108" s="79" t="n">
        <v>1426.5</v>
      </c>
      <c r="J108" s="79" t="n">
        <v>664.1</v>
      </c>
      <c r="K108" s="80" t="n">
        <v>0.46</v>
      </c>
      <c r="L108" s="79" t="n">
        <v>861.3</v>
      </c>
      <c r="M108" s="79" t="n">
        <v>14831.4</v>
      </c>
      <c r="N108" s="80" t="n">
        <v>0.06</v>
      </c>
      <c r="O108" s="80" t="n">
        <v>67.6999969482422</v>
      </c>
      <c r="P108" s="47" t="n">
        <v>11</v>
      </c>
      <c r="Q108" s="66" t="s">
        <v>346</v>
      </c>
    </row>
    <row r="109" customFormat="false" ht="15" hidden="false" customHeight="false" outlineLevel="0" collapsed="false">
      <c r="A109" s="76" t="s">
        <v>184</v>
      </c>
      <c r="B109" s="76" t="s">
        <v>226</v>
      </c>
      <c r="C109" s="77" t="n">
        <v>2024</v>
      </c>
      <c r="D109" s="77" t="n">
        <v>3</v>
      </c>
      <c r="E109" s="78" t="n">
        <v>45230</v>
      </c>
      <c r="F109" s="76" t="s">
        <v>210</v>
      </c>
      <c r="G109" s="76" t="s">
        <v>211</v>
      </c>
      <c r="H109" s="76" t="s">
        <v>212</v>
      </c>
      <c r="I109" s="79" t="n">
        <v>1418.6</v>
      </c>
      <c r="J109" s="79" t="n">
        <v>551.2</v>
      </c>
      <c r="K109" s="80" t="n">
        <v>0.41</v>
      </c>
      <c r="L109" s="79" t="n">
        <v>858.6</v>
      </c>
      <c r="M109" s="79" t="n">
        <v>15233.4</v>
      </c>
      <c r="N109" s="80" t="n">
        <v>0.06</v>
      </c>
      <c r="O109" s="80" t="n">
        <v>47.2200012207031</v>
      </c>
      <c r="P109" s="47" t="n">
        <v>12</v>
      </c>
      <c r="Q109" s="66" t="s">
        <v>347</v>
      </c>
    </row>
    <row r="110" customFormat="false" ht="15" hidden="false" customHeight="false" outlineLevel="0" collapsed="false">
      <c r="A110" s="76" t="s">
        <v>184</v>
      </c>
      <c r="B110" s="76" t="s">
        <v>228</v>
      </c>
      <c r="C110" s="77" t="n">
        <v>2024</v>
      </c>
      <c r="D110" s="77" t="n">
        <v>2</v>
      </c>
      <c r="E110" s="78" t="n">
        <v>45138</v>
      </c>
      <c r="F110" s="76" t="s">
        <v>210</v>
      </c>
      <c r="G110" s="76" t="s">
        <v>211</v>
      </c>
      <c r="H110" s="76" t="s">
        <v>212</v>
      </c>
      <c r="I110" s="79" t="n">
        <v>1340.9</v>
      </c>
      <c r="J110" s="79" t="n">
        <v>521.1</v>
      </c>
      <c r="K110" s="80" t="n">
        <v>0.33</v>
      </c>
      <c r="L110" s="79" t="n">
        <v>860.9</v>
      </c>
      <c r="M110" s="79" t="n">
        <v>15389.5</v>
      </c>
      <c r="N110" s="80" t="n">
        <v>0.06</v>
      </c>
      <c r="O110" s="80" t="n">
        <v>65.129997253418</v>
      </c>
      <c r="P110" s="47" t="n">
        <v>13</v>
      </c>
      <c r="Q110" s="66" t="s">
        <v>348</v>
      </c>
    </row>
    <row r="111" customFormat="false" ht="15" hidden="false" customHeight="false" outlineLevel="0" collapsed="false">
      <c r="A111" s="76" t="s">
        <v>184</v>
      </c>
      <c r="B111" s="76" t="s">
        <v>230</v>
      </c>
      <c r="C111" s="77" t="n">
        <v>2024</v>
      </c>
      <c r="D111" s="77" t="n">
        <v>1</v>
      </c>
      <c r="E111" s="78" t="n">
        <v>45046</v>
      </c>
      <c r="F111" s="76" t="s">
        <v>210</v>
      </c>
      <c r="G111" s="76" t="s">
        <v>211</v>
      </c>
      <c r="H111" s="76" t="s">
        <v>212</v>
      </c>
      <c r="I111" s="79" t="n">
        <v>1321.7</v>
      </c>
      <c r="J111" s="79" t="n">
        <v>557.2</v>
      </c>
      <c r="K111" s="80" t="n">
        <v>0.31</v>
      </c>
      <c r="L111" s="79" t="n">
        <v>856.7</v>
      </c>
      <c r="M111" s="79" t="n">
        <v>15493.9</v>
      </c>
      <c r="N111" s="80" t="n">
        <v>0.06</v>
      </c>
      <c r="O111" s="80" t="n">
        <v>39.4799995422363</v>
      </c>
      <c r="P111" s="47" t="n">
        <v>14</v>
      </c>
      <c r="Q111" s="66" t="s">
        <v>349</v>
      </c>
    </row>
    <row r="112" customFormat="false" ht="15" hidden="false" customHeight="false" outlineLevel="0" collapsed="false">
      <c r="A112" s="76" t="s">
        <v>184</v>
      </c>
      <c r="B112" s="76" t="s">
        <v>232</v>
      </c>
      <c r="C112" s="77" t="n">
        <v>2023</v>
      </c>
      <c r="D112" s="77" t="n">
        <v>4</v>
      </c>
      <c r="E112" s="78" t="n">
        <v>44957</v>
      </c>
      <c r="F112" s="76" t="s">
        <v>210</v>
      </c>
      <c r="G112" s="76" t="s">
        <v>211</v>
      </c>
      <c r="H112" s="76" t="s">
        <v>212</v>
      </c>
      <c r="I112" s="79" t="n">
        <v>1418.5</v>
      </c>
      <c r="J112" s="79" t="n">
        <v>673.3</v>
      </c>
      <c r="K112" s="80" t="n">
        <v>0.46</v>
      </c>
      <c r="L112" s="79"/>
      <c r="M112" s="79" t="n">
        <v>15637.2</v>
      </c>
      <c r="N112" s="80" t="n">
        <v>0.06</v>
      </c>
      <c r="O112" s="80" t="n">
        <v>43.1500015258789</v>
      </c>
      <c r="P112" s="47" t="n">
        <v>15</v>
      </c>
      <c r="Q112" s="66" t="s">
        <v>350</v>
      </c>
    </row>
    <row r="113" customFormat="false" ht="15" hidden="false" customHeight="false" outlineLevel="0" collapsed="false">
      <c r="A113" s="76" t="s">
        <v>184</v>
      </c>
      <c r="B113" s="76" t="s">
        <v>234</v>
      </c>
      <c r="C113" s="77" t="n">
        <v>2023</v>
      </c>
      <c r="D113" s="77" t="n">
        <v>3</v>
      </c>
      <c r="E113" s="78" t="n">
        <v>44865</v>
      </c>
      <c r="F113" s="76" t="s">
        <v>210</v>
      </c>
      <c r="G113" s="76" t="s">
        <v>211</v>
      </c>
      <c r="H113" s="76" t="s">
        <v>212</v>
      </c>
      <c r="I113" s="79" t="n">
        <v>1537.3</v>
      </c>
      <c r="J113" s="79" t="n">
        <v>777.3</v>
      </c>
      <c r="K113" s="80" t="n">
        <v>0.57</v>
      </c>
      <c r="L113" s="79" t="n">
        <v>858.4</v>
      </c>
      <c r="M113" s="79" t="n">
        <v>15559</v>
      </c>
      <c r="N113" s="80" t="n">
        <v>0.06</v>
      </c>
      <c r="O113" s="80" t="n">
        <v>39.6800003051758</v>
      </c>
      <c r="P113" s="47" t="n">
        <v>16</v>
      </c>
      <c r="Q113" s="66" t="s">
        <v>351</v>
      </c>
    </row>
    <row r="114" customFormat="false" ht="15" hidden="false" customHeight="false" outlineLevel="0" collapsed="false">
      <c r="A114" s="76" t="s">
        <v>184</v>
      </c>
      <c r="B114" s="76" t="s">
        <v>236</v>
      </c>
      <c r="C114" s="77" t="n">
        <v>2023</v>
      </c>
      <c r="D114" s="77" t="n">
        <v>2</v>
      </c>
      <c r="E114" s="78" t="n">
        <v>44773</v>
      </c>
      <c r="F114" s="76" t="s">
        <v>210</v>
      </c>
      <c r="G114" s="76" t="s">
        <v>211</v>
      </c>
      <c r="H114" s="76" t="s">
        <v>212</v>
      </c>
      <c r="I114" s="79" t="n">
        <v>1516.9</v>
      </c>
      <c r="J114" s="79" t="n">
        <v>786</v>
      </c>
      <c r="K114" s="80" t="n">
        <v>0.57</v>
      </c>
      <c r="L114" s="79" t="n">
        <v>857.9</v>
      </c>
      <c r="M114" s="79" t="n">
        <v>15530.2</v>
      </c>
      <c r="N114" s="80" t="n">
        <v>0.06</v>
      </c>
      <c r="O114" s="80" t="n">
        <v>55.6800003051758</v>
      </c>
      <c r="P114" s="47" t="n">
        <v>17</v>
      </c>
      <c r="Q114" s="66" t="s">
        <v>352</v>
      </c>
    </row>
    <row r="115" customFormat="false" ht="15" hidden="false" customHeight="false" outlineLevel="0" collapsed="false">
      <c r="A115" s="76" t="s">
        <v>184</v>
      </c>
      <c r="B115" s="76" t="s">
        <v>238</v>
      </c>
      <c r="C115" s="77" t="n">
        <v>2023</v>
      </c>
      <c r="D115" s="77" t="n">
        <v>1</v>
      </c>
      <c r="E115" s="78" t="n">
        <v>44681</v>
      </c>
      <c r="F115" s="76" t="s">
        <v>210</v>
      </c>
      <c r="G115" s="76" t="s">
        <v>211</v>
      </c>
      <c r="H115" s="76" t="s">
        <v>212</v>
      </c>
      <c r="I115" s="79" t="n">
        <v>1446.9</v>
      </c>
      <c r="J115" s="79" t="n">
        <v>750.9</v>
      </c>
      <c r="K115" s="80" t="n">
        <v>0.52</v>
      </c>
      <c r="L115" s="79" t="n">
        <v>848</v>
      </c>
      <c r="M115" s="79" t="n">
        <v>15465</v>
      </c>
      <c r="N115" s="80" t="n">
        <v>0.06</v>
      </c>
      <c r="O115" s="80" t="n">
        <v>58.0800018310547</v>
      </c>
      <c r="P115" s="47" t="n">
        <v>18</v>
      </c>
      <c r="Q115" s="66" t="s">
        <v>353</v>
      </c>
    </row>
    <row r="116" customFormat="false" ht="15" hidden="false" customHeight="false" outlineLevel="0" collapsed="false">
      <c r="A116" s="76" t="s">
        <v>184</v>
      </c>
      <c r="B116" s="76" t="s">
        <v>240</v>
      </c>
      <c r="C116" s="77" t="n">
        <v>2022</v>
      </c>
      <c r="D116" s="77" t="n">
        <v>4</v>
      </c>
      <c r="E116" s="78" t="n">
        <v>44592</v>
      </c>
      <c r="F116" s="76" t="s">
        <v>210</v>
      </c>
      <c r="G116" s="76" t="s">
        <v>211</v>
      </c>
      <c r="H116" s="76" t="s">
        <v>212</v>
      </c>
      <c r="I116" s="79" t="n">
        <v>1342.978</v>
      </c>
      <c r="J116" s="79" t="n">
        <v>686.434</v>
      </c>
      <c r="K116" s="80" t="n">
        <v>0.5</v>
      </c>
      <c r="L116" s="79"/>
      <c r="M116" s="79" t="n">
        <v>15702.1</v>
      </c>
      <c r="N116" s="80" t="n">
        <v>0.06</v>
      </c>
      <c r="O116" s="80" t="n">
        <v>71.4000015258789</v>
      </c>
      <c r="P116" s="47" t="n">
        <v>19</v>
      </c>
      <c r="Q116" s="66" t="s">
        <v>354</v>
      </c>
    </row>
    <row r="117" customFormat="false" ht="15" hidden="false" customHeight="false" outlineLevel="0" collapsed="false">
      <c r="A117" s="76" t="s">
        <v>184</v>
      </c>
      <c r="B117" s="76" t="s">
        <v>242</v>
      </c>
      <c r="C117" s="77" t="n">
        <v>2022</v>
      </c>
      <c r="D117" s="77" t="n">
        <v>3</v>
      </c>
      <c r="E117" s="78" t="n">
        <v>44500</v>
      </c>
      <c r="F117" s="76" t="s">
        <v>210</v>
      </c>
      <c r="G117" s="76" t="s">
        <v>211</v>
      </c>
      <c r="H117" s="76" t="s">
        <v>212</v>
      </c>
      <c r="I117" s="79" t="n">
        <v>1211.2</v>
      </c>
      <c r="J117" s="79" t="n">
        <v>587.8</v>
      </c>
      <c r="K117" s="80" t="n">
        <v>0.43</v>
      </c>
      <c r="L117" s="79" t="n">
        <v>828.6</v>
      </c>
      <c r="M117" s="79" t="n">
        <v>15686.344</v>
      </c>
      <c r="N117" s="80" t="n">
        <v>0.06</v>
      </c>
      <c r="O117" s="80" t="n">
        <v>68.5</v>
      </c>
      <c r="P117" s="47" t="n">
        <v>20</v>
      </c>
      <c r="Q117" s="66" t="s">
        <v>355</v>
      </c>
    </row>
    <row r="118" customFormat="false" ht="15" hidden="false" customHeight="false" outlineLevel="0" collapsed="false">
      <c r="A118" s="76" t="s">
        <v>184</v>
      </c>
      <c r="B118" s="76" t="s">
        <v>244</v>
      </c>
      <c r="C118" s="77" t="n">
        <v>2022</v>
      </c>
      <c r="D118" s="77" t="n">
        <v>2</v>
      </c>
      <c r="E118" s="78" t="n">
        <v>44408</v>
      </c>
      <c r="F118" s="76" t="s">
        <v>210</v>
      </c>
      <c r="G118" s="76" t="s">
        <v>211</v>
      </c>
      <c r="H118" s="76" t="s">
        <v>212</v>
      </c>
      <c r="I118" s="79" t="n">
        <v>1075.9</v>
      </c>
      <c r="J118" s="79" t="n">
        <v>371.8</v>
      </c>
      <c r="K118" s="80" t="n">
        <v>0.34</v>
      </c>
      <c r="L118" s="79" t="n">
        <v>821.1</v>
      </c>
      <c r="M118" s="79" t="n">
        <v>14741.197</v>
      </c>
      <c r="N118" s="80" t="n">
        <v>0.06</v>
      </c>
      <c r="O118" s="80" t="n">
        <v>60.5099983215332</v>
      </c>
      <c r="P118" s="47" t="n">
        <v>21</v>
      </c>
      <c r="Q118" s="66" t="s">
        <v>356</v>
      </c>
    </row>
    <row r="119" customFormat="false" ht="15" hidden="false" customHeight="false" outlineLevel="0" collapsed="false">
      <c r="A119" s="76" t="s">
        <v>184</v>
      </c>
      <c r="B119" s="76" t="s">
        <v>246</v>
      </c>
      <c r="C119" s="77" t="n">
        <v>2022</v>
      </c>
      <c r="D119" s="77" t="n">
        <v>1</v>
      </c>
      <c r="E119" s="78" t="n">
        <v>44316</v>
      </c>
      <c r="F119" s="76" t="s">
        <v>210</v>
      </c>
      <c r="G119" s="76" t="s">
        <v>211</v>
      </c>
      <c r="H119" s="76" t="s">
        <v>212</v>
      </c>
      <c r="I119" s="79" t="n">
        <v>832.3</v>
      </c>
      <c r="J119" s="79" t="n">
        <v>418.2</v>
      </c>
      <c r="K119" s="80" t="n">
        <v>0.29</v>
      </c>
      <c r="L119" s="79" t="n">
        <v>693.4</v>
      </c>
      <c r="M119" s="79" t="n">
        <v>14855.37</v>
      </c>
      <c r="N119" s="80" t="n">
        <v>0.06</v>
      </c>
      <c r="O119" s="80" t="n">
        <v>45.2099990844727</v>
      </c>
      <c r="P119" s="47" t="n">
        <v>22</v>
      </c>
      <c r="Q119" s="66" t="s">
        <v>357</v>
      </c>
    </row>
    <row r="120" customFormat="false" ht="15" hidden="false" customHeight="false" outlineLevel="0" collapsed="false">
      <c r="A120" s="76" t="s">
        <v>184</v>
      </c>
      <c r="B120" s="76" t="s">
        <v>248</v>
      </c>
      <c r="C120" s="77" t="n">
        <v>2021</v>
      </c>
      <c r="D120" s="77" t="n">
        <v>4</v>
      </c>
      <c r="E120" s="78" t="n">
        <v>44227</v>
      </c>
      <c r="F120" s="76" t="s">
        <v>210</v>
      </c>
      <c r="G120" s="76" t="s">
        <v>211</v>
      </c>
      <c r="H120" s="76" t="s">
        <v>212</v>
      </c>
      <c r="I120" s="79" t="n">
        <v>797.819</v>
      </c>
      <c r="J120" s="79" t="n">
        <v>421.132</v>
      </c>
      <c r="K120" s="80" t="n">
        <v>0.29</v>
      </c>
      <c r="L120" s="79"/>
      <c r="M120" s="79" t="n">
        <v>8435.804</v>
      </c>
      <c r="N120" s="80" t="n">
        <v>0.06</v>
      </c>
      <c r="O120" s="80" t="n">
        <v>51.4599990844727</v>
      </c>
      <c r="P120" s="47" t="n">
        <v>23</v>
      </c>
      <c r="Q120" s="66" t="s">
        <v>358</v>
      </c>
    </row>
    <row r="121" customFormat="false" ht="15" hidden="false" customHeight="false" outlineLevel="0" collapsed="false">
      <c r="A121" s="76" t="s">
        <v>184</v>
      </c>
      <c r="B121" s="76" t="s">
        <v>250</v>
      </c>
      <c r="C121" s="77" t="n">
        <v>2021</v>
      </c>
      <c r="D121" s="77" t="n">
        <v>3</v>
      </c>
      <c r="E121" s="78" t="n">
        <v>44135</v>
      </c>
      <c r="F121" s="76" t="s">
        <v>210</v>
      </c>
      <c r="G121" s="76" t="s">
        <v>211</v>
      </c>
      <c r="H121" s="76" t="s">
        <v>212</v>
      </c>
      <c r="I121" s="79" t="n">
        <v>750.143</v>
      </c>
      <c r="J121" s="79" t="n">
        <v>381.06</v>
      </c>
      <c r="K121" s="80" t="n">
        <v>0.25</v>
      </c>
      <c r="L121" s="79" t="n">
        <v>670.487</v>
      </c>
      <c r="M121" s="79" t="n">
        <v>8389.617</v>
      </c>
      <c r="N121" s="80"/>
      <c r="O121" s="80" t="n">
        <v>37.5099983215332</v>
      </c>
      <c r="P121" s="47" t="n">
        <v>24</v>
      </c>
      <c r="Q121" s="66" t="s">
        <v>359</v>
      </c>
    </row>
    <row r="122" customFormat="false" ht="15" hidden="false" customHeight="false" outlineLevel="0" collapsed="false">
      <c r="A122" s="76" t="s">
        <v>169</v>
      </c>
      <c r="B122" s="76" t="s">
        <v>337</v>
      </c>
      <c r="C122" s="77" t="n">
        <v>2026</v>
      </c>
      <c r="D122" s="77" t="n">
        <v>4</v>
      </c>
      <c r="E122" s="78" t="n">
        <v>46203</v>
      </c>
      <c r="F122" s="76" t="s">
        <v>210</v>
      </c>
      <c r="G122" s="76" t="s">
        <v>211</v>
      </c>
      <c r="H122" s="76" t="s">
        <v>212</v>
      </c>
      <c r="I122" s="79" t="n">
        <v>90007</v>
      </c>
      <c r="J122" s="79" t="n">
        <v>60482</v>
      </c>
      <c r="K122" s="80" t="n">
        <v>4.74</v>
      </c>
      <c r="L122" s="79" t="n">
        <v>7443</v>
      </c>
      <c r="M122" s="79" t="n">
        <v>442387</v>
      </c>
      <c r="N122" s="80" t="n">
        <v>0.91</v>
      </c>
      <c r="O122" s="80" t="n">
        <v>373.019989013672</v>
      </c>
      <c r="P122" s="47" t="n">
        <v>1</v>
      </c>
      <c r="Q122" s="66" t="s">
        <v>360</v>
      </c>
    </row>
    <row r="123" customFormat="false" ht="15" hidden="false" customHeight="false" outlineLevel="0" collapsed="false">
      <c r="A123" s="76" t="s">
        <v>169</v>
      </c>
      <c r="B123" s="76" t="s">
        <v>260</v>
      </c>
      <c r="C123" s="77" t="n">
        <v>2026</v>
      </c>
      <c r="D123" s="77" t="n">
        <v>3</v>
      </c>
      <c r="E123" s="78" t="n">
        <v>46112</v>
      </c>
      <c r="F123" s="76" t="s">
        <v>210</v>
      </c>
      <c r="G123" s="76" t="s">
        <v>211</v>
      </c>
      <c r="H123" s="76" t="s">
        <v>212</v>
      </c>
      <c r="I123" s="79" t="n">
        <v>82886</v>
      </c>
      <c r="J123" s="79" t="n">
        <v>56058</v>
      </c>
      <c r="K123" s="80" t="n">
        <v>4.27</v>
      </c>
      <c r="L123" s="79" t="n">
        <v>7445</v>
      </c>
      <c r="M123" s="79" t="n">
        <v>414367</v>
      </c>
      <c r="N123" s="80" t="n">
        <v>0.91</v>
      </c>
      <c r="O123" s="80" t="n">
        <v>370.170013427734</v>
      </c>
      <c r="P123" s="47" t="n">
        <v>2</v>
      </c>
      <c r="Q123" s="66" t="s">
        <v>361</v>
      </c>
    </row>
    <row r="124" customFormat="false" ht="15" hidden="false" customHeight="false" outlineLevel="0" collapsed="false">
      <c r="A124" s="76" t="s">
        <v>169</v>
      </c>
      <c r="B124" s="76" t="s">
        <v>209</v>
      </c>
      <c r="C124" s="77" t="n">
        <v>2026</v>
      </c>
      <c r="D124" s="77" t="n">
        <v>2</v>
      </c>
      <c r="E124" s="78" t="n">
        <v>46022</v>
      </c>
      <c r="F124" s="76" t="s">
        <v>210</v>
      </c>
      <c r="G124" s="76" t="s">
        <v>211</v>
      </c>
      <c r="H124" s="76" t="s">
        <v>212</v>
      </c>
      <c r="I124" s="79" t="n">
        <v>81273</v>
      </c>
      <c r="J124" s="79" t="n">
        <v>55295</v>
      </c>
      <c r="K124" s="80" t="n">
        <v>4.14</v>
      </c>
      <c r="L124" s="79" t="n">
        <v>7460</v>
      </c>
      <c r="M124" s="79" t="n">
        <v>390875</v>
      </c>
      <c r="N124" s="80" t="n">
        <v>0.91</v>
      </c>
      <c r="O124" s="80" t="n">
        <v>483.619995117188</v>
      </c>
      <c r="P124" s="47" t="n">
        <v>3</v>
      </c>
      <c r="Q124" s="66" t="s">
        <v>362</v>
      </c>
    </row>
    <row r="125" customFormat="false" ht="15" hidden="false" customHeight="false" outlineLevel="0" collapsed="false">
      <c r="A125" s="76" t="s">
        <v>169</v>
      </c>
      <c r="B125" s="76" t="s">
        <v>214</v>
      </c>
      <c r="C125" s="77" t="n">
        <v>2026</v>
      </c>
      <c r="D125" s="77" t="n">
        <v>1</v>
      </c>
      <c r="E125" s="78" t="n">
        <v>45930</v>
      </c>
      <c r="F125" s="76" t="s">
        <v>210</v>
      </c>
      <c r="G125" s="76" t="s">
        <v>211</v>
      </c>
      <c r="H125" s="76" t="s">
        <v>212</v>
      </c>
      <c r="I125" s="79" t="n">
        <v>77673</v>
      </c>
      <c r="J125" s="79" t="n">
        <v>53630</v>
      </c>
      <c r="K125" s="80" t="n">
        <v>4.13</v>
      </c>
      <c r="L125" s="79" t="n">
        <v>7466</v>
      </c>
      <c r="M125" s="79" t="n">
        <v>363076</v>
      </c>
      <c r="N125" s="80" t="n">
        <v>0.83</v>
      </c>
      <c r="O125" s="80" t="n">
        <v>517.950012207031</v>
      </c>
      <c r="P125" s="47" t="n">
        <v>4</v>
      </c>
      <c r="Q125" s="66" t="s">
        <v>363</v>
      </c>
    </row>
    <row r="126" customFormat="false" ht="15" hidden="false" customHeight="false" outlineLevel="0" collapsed="false">
      <c r="A126" s="76" t="s">
        <v>169</v>
      </c>
      <c r="B126" s="76" t="s">
        <v>216</v>
      </c>
      <c r="C126" s="77" t="n">
        <v>2025</v>
      </c>
      <c r="D126" s="77" t="n">
        <v>4</v>
      </c>
      <c r="E126" s="78" t="n">
        <v>45838</v>
      </c>
      <c r="F126" s="76" t="s">
        <v>210</v>
      </c>
      <c r="G126" s="76" t="s">
        <v>211</v>
      </c>
      <c r="H126" s="76" t="s">
        <v>212</v>
      </c>
      <c r="I126" s="79" t="n">
        <v>76441</v>
      </c>
      <c r="J126" s="79" t="n">
        <v>52427</v>
      </c>
      <c r="K126" s="80" t="n">
        <v>3.65</v>
      </c>
      <c r="L126" s="79" t="n">
        <v>7461</v>
      </c>
      <c r="M126" s="79" t="n">
        <v>343479</v>
      </c>
      <c r="N126" s="80" t="n">
        <v>0.83</v>
      </c>
      <c r="O126" s="80" t="n">
        <v>497.410003662109</v>
      </c>
      <c r="P126" s="47" t="n">
        <v>5</v>
      </c>
      <c r="Q126" s="66" t="s">
        <v>364</v>
      </c>
    </row>
    <row r="127" customFormat="false" ht="15" hidden="false" customHeight="false" outlineLevel="0" collapsed="false">
      <c r="A127" s="76" t="s">
        <v>169</v>
      </c>
      <c r="B127" s="76" t="s">
        <v>218</v>
      </c>
      <c r="C127" s="77" t="n">
        <v>2025</v>
      </c>
      <c r="D127" s="77" t="n">
        <v>3</v>
      </c>
      <c r="E127" s="78" t="n">
        <v>45747</v>
      </c>
      <c r="F127" s="76" t="s">
        <v>210</v>
      </c>
      <c r="G127" s="76" t="s">
        <v>211</v>
      </c>
      <c r="H127" s="76" t="s">
        <v>212</v>
      </c>
      <c r="I127" s="79" t="n">
        <v>70066</v>
      </c>
      <c r="J127" s="79" t="n">
        <v>48147</v>
      </c>
      <c r="K127" s="80" t="n">
        <v>3.46</v>
      </c>
      <c r="L127" s="79" t="n">
        <v>7468.25</v>
      </c>
      <c r="M127" s="79" t="n">
        <v>321891</v>
      </c>
      <c r="N127" s="80" t="n">
        <v>0.83</v>
      </c>
      <c r="O127" s="80" t="n">
        <v>375.390014648438</v>
      </c>
      <c r="P127" s="47" t="n">
        <v>6</v>
      </c>
      <c r="Q127" s="66" t="s">
        <v>365</v>
      </c>
    </row>
    <row r="128" customFormat="false" ht="15" hidden="false" customHeight="false" outlineLevel="0" collapsed="false">
      <c r="A128" s="76" t="s">
        <v>169</v>
      </c>
      <c r="B128" s="76" t="s">
        <v>220</v>
      </c>
      <c r="C128" s="77" t="n">
        <v>2025</v>
      </c>
      <c r="D128" s="77" t="n">
        <v>2</v>
      </c>
      <c r="E128" s="78" t="n">
        <v>45657</v>
      </c>
      <c r="F128" s="76" t="s">
        <v>210</v>
      </c>
      <c r="G128" s="76" t="s">
        <v>211</v>
      </c>
      <c r="H128" s="76" t="s">
        <v>212</v>
      </c>
      <c r="I128" s="79" t="n">
        <v>69632</v>
      </c>
      <c r="J128" s="79" t="n">
        <v>47833</v>
      </c>
      <c r="K128" s="80" t="n">
        <v>3.23</v>
      </c>
      <c r="L128" s="79" t="n">
        <v>7471</v>
      </c>
      <c r="M128" s="79" t="n">
        <v>302695</v>
      </c>
      <c r="N128" s="80" t="n">
        <v>0.83</v>
      </c>
      <c r="O128" s="80" t="n">
        <v>421.5</v>
      </c>
      <c r="P128" s="47" t="n">
        <v>7</v>
      </c>
      <c r="Q128" s="66" t="s">
        <v>366</v>
      </c>
    </row>
    <row r="129" customFormat="false" ht="15" hidden="false" customHeight="false" outlineLevel="0" collapsed="false">
      <c r="A129" s="76" t="s">
        <v>169</v>
      </c>
      <c r="B129" s="76" t="s">
        <v>222</v>
      </c>
      <c r="C129" s="77" t="n">
        <v>2025</v>
      </c>
      <c r="D129" s="77" t="n">
        <v>1</v>
      </c>
      <c r="E129" s="78" t="n">
        <v>45565</v>
      </c>
      <c r="F129" s="76" t="s">
        <v>210</v>
      </c>
      <c r="G129" s="76" t="s">
        <v>211</v>
      </c>
      <c r="H129" s="76" t="s">
        <v>212</v>
      </c>
      <c r="I129" s="79" t="n">
        <v>65585</v>
      </c>
      <c r="J129" s="79" t="n">
        <v>45486</v>
      </c>
      <c r="K129" s="80" t="n">
        <v>3.3</v>
      </c>
      <c r="L129" s="79" t="n">
        <v>7471</v>
      </c>
      <c r="M129" s="79" t="n">
        <v>287723</v>
      </c>
      <c r="N129" s="80" t="n">
        <v>0.75</v>
      </c>
      <c r="O129" s="80" t="n">
        <v>430.299987792969</v>
      </c>
      <c r="P129" s="47" t="n">
        <v>8</v>
      </c>
      <c r="Q129" s="66" t="s">
        <v>367</v>
      </c>
    </row>
    <row r="130" customFormat="false" ht="15" hidden="false" customHeight="false" outlineLevel="0" collapsed="false">
      <c r="A130" s="76" t="s">
        <v>169</v>
      </c>
      <c r="B130" s="76" t="s">
        <v>224</v>
      </c>
      <c r="C130" s="77" t="n">
        <v>2024</v>
      </c>
      <c r="D130" s="77" t="n">
        <v>4</v>
      </c>
      <c r="E130" s="78" t="n">
        <v>45473</v>
      </c>
      <c r="F130" s="76" t="s">
        <v>210</v>
      </c>
      <c r="G130" s="76" t="s">
        <v>211</v>
      </c>
      <c r="H130" s="76" t="s">
        <v>212</v>
      </c>
      <c r="I130" s="79" t="n">
        <v>64727</v>
      </c>
      <c r="J130" s="79" t="n">
        <v>45043</v>
      </c>
      <c r="K130" s="80" t="n">
        <v>2.95</v>
      </c>
      <c r="L130" s="79"/>
      <c r="M130" s="79" t="n">
        <v>268477</v>
      </c>
      <c r="N130" s="80" t="n">
        <v>0.75</v>
      </c>
      <c r="O130" s="80" t="n">
        <v>446.950012207031</v>
      </c>
      <c r="P130" s="47" t="n">
        <v>9</v>
      </c>
      <c r="Q130" s="66" t="s">
        <v>368</v>
      </c>
    </row>
    <row r="131" customFormat="false" ht="15" hidden="false" customHeight="false" outlineLevel="0" collapsed="false">
      <c r="A131" s="76" t="s">
        <v>169</v>
      </c>
      <c r="B131" s="76" t="s">
        <v>226</v>
      </c>
      <c r="C131" s="77" t="n">
        <v>2024</v>
      </c>
      <c r="D131" s="77" t="n">
        <v>3</v>
      </c>
      <c r="E131" s="78" t="n">
        <v>45382</v>
      </c>
      <c r="F131" s="76" t="s">
        <v>210</v>
      </c>
      <c r="G131" s="76" t="s">
        <v>211</v>
      </c>
      <c r="H131" s="76" t="s">
        <v>212</v>
      </c>
      <c r="I131" s="79" t="n">
        <v>61858</v>
      </c>
      <c r="J131" s="79" t="n">
        <v>43353</v>
      </c>
      <c r="K131" s="80" t="n">
        <v>2.94</v>
      </c>
      <c r="L131" s="79" t="n">
        <v>7466.75</v>
      </c>
      <c r="M131" s="79" t="n">
        <v>253152</v>
      </c>
      <c r="N131" s="80" t="n">
        <v>0.75</v>
      </c>
      <c r="O131" s="80" t="n">
        <v>420.720001220703</v>
      </c>
      <c r="P131" s="47" t="n">
        <v>10</v>
      </c>
      <c r="Q131" s="66" t="s">
        <v>369</v>
      </c>
    </row>
    <row r="132" customFormat="false" ht="15" hidden="false" customHeight="false" outlineLevel="0" collapsed="false">
      <c r="A132" s="76" t="s">
        <v>169</v>
      </c>
      <c r="B132" s="76" t="s">
        <v>228</v>
      </c>
      <c r="C132" s="77" t="n">
        <v>2024</v>
      </c>
      <c r="D132" s="77" t="n">
        <v>2</v>
      </c>
      <c r="E132" s="78" t="n">
        <v>45291</v>
      </c>
      <c r="F132" s="76" t="s">
        <v>210</v>
      </c>
      <c r="G132" s="76" t="s">
        <v>211</v>
      </c>
      <c r="H132" s="76" t="s">
        <v>212</v>
      </c>
      <c r="I132" s="79" t="n">
        <v>62020</v>
      </c>
      <c r="J132" s="79" t="n">
        <v>42397</v>
      </c>
      <c r="K132" s="80" t="n">
        <v>2.93</v>
      </c>
      <c r="L132" s="79" t="n">
        <v>7465</v>
      </c>
      <c r="M132" s="79" t="n">
        <v>238268</v>
      </c>
      <c r="N132" s="80" t="n">
        <v>0.75</v>
      </c>
      <c r="O132" s="80" t="n">
        <v>376.040008544922</v>
      </c>
      <c r="P132" s="47" t="n">
        <v>11</v>
      </c>
      <c r="Q132" s="66" t="s">
        <v>370</v>
      </c>
    </row>
    <row r="133" customFormat="false" ht="15" hidden="false" customHeight="false" outlineLevel="0" collapsed="false">
      <c r="A133" s="76" t="s">
        <v>169</v>
      </c>
      <c r="B133" s="76" t="s">
        <v>230</v>
      </c>
      <c r="C133" s="77" t="n">
        <v>2024</v>
      </c>
      <c r="D133" s="77" t="n">
        <v>1</v>
      </c>
      <c r="E133" s="78" t="n">
        <v>45199</v>
      </c>
      <c r="F133" s="76" t="s">
        <v>210</v>
      </c>
      <c r="G133" s="76" t="s">
        <v>211</v>
      </c>
      <c r="H133" s="76" t="s">
        <v>212</v>
      </c>
      <c r="I133" s="79" t="n">
        <v>56517</v>
      </c>
      <c r="J133" s="79" t="n">
        <v>40215</v>
      </c>
      <c r="K133" s="80" t="n">
        <v>2.99</v>
      </c>
      <c r="L133" s="79" t="n">
        <v>7466.25</v>
      </c>
      <c r="M133" s="79" t="n">
        <v>220714</v>
      </c>
      <c r="N133" s="80" t="n">
        <v>0.68</v>
      </c>
      <c r="O133" s="80" t="n">
        <v>315.75</v>
      </c>
      <c r="P133" s="47" t="n">
        <v>12</v>
      </c>
      <c r="Q133" s="66" t="s">
        <v>371</v>
      </c>
    </row>
    <row r="134" customFormat="false" ht="15" hidden="false" customHeight="false" outlineLevel="0" collapsed="false">
      <c r="A134" s="76" t="s">
        <v>169</v>
      </c>
      <c r="B134" s="76" t="s">
        <v>232</v>
      </c>
      <c r="C134" s="77" t="n">
        <v>2023</v>
      </c>
      <c r="D134" s="77" t="n">
        <v>4</v>
      </c>
      <c r="E134" s="78" t="n">
        <v>45107</v>
      </c>
      <c r="F134" s="76" t="s">
        <v>210</v>
      </c>
      <c r="G134" s="76" t="s">
        <v>211</v>
      </c>
      <c r="H134" s="76" t="s">
        <v>212</v>
      </c>
      <c r="I134" s="79" t="n">
        <v>56189</v>
      </c>
      <c r="J134" s="79" t="n">
        <v>39394</v>
      </c>
      <c r="K134" s="80" t="n">
        <v>2.69</v>
      </c>
      <c r="L134" s="79"/>
      <c r="M134" s="79" t="n">
        <v>206223</v>
      </c>
      <c r="N134" s="80" t="n">
        <v>0.68</v>
      </c>
      <c r="O134" s="80" t="n">
        <v>340.540008544922</v>
      </c>
      <c r="P134" s="47" t="n">
        <v>13</v>
      </c>
      <c r="Q134" s="66" t="s">
        <v>372</v>
      </c>
    </row>
    <row r="135" customFormat="false" ht="15" hidden="false" customHeight="false" outlineLevel="0" collapsed="false">
      <c r="A135" s="76" t="s">
        <v>169</v>
      </c>
      <c r="B135" s="76" t="s">
        <v>234</v>
      </c>
      <c r="C135" s="77" t="n">
        <v>2023</v>
      </c>
      <c r="D135" s="77" t="n">
        <v>3</v>
      </c>
      <c r="E135" s="78" t="n">
        <v>45016</v>
      </c>
      <c r="F135" s="76" t="s">
        <v>210</v>
      </c>
      <c r="G135" s="76" t="s">
        <v>211</v>
      </c>
      <c r="H135" s="76" t="s">
        <v>212</v>
      </c>
      <c r="I135" s="79" t="n">
        <v>52857</v>
      </c>
      <c r="J135" s="79" t="n">
        <v>36729</v>
      </c>
      <c r="K135" s="80" t="n">
        <v>2.45</v>
      </c>
      <c r="L135" s="79" t="n">
        <v>7464</v>
      </c>
      <c r="M135" s="79" t="n">
        <v>194683</v>
      </c>
      <c r="N135" s="80" t="n">
        <v>0.68</v>
      </c>
      <c r="O135" s="80" t="n">
        <v>288.299987792969</v>
      </c>
      <c r="P135" s="47" t="n">
        <v>14</v>
      </c>
      <c r="Q135" s="66" t="s">
        <v>373</v>
      </c>
    </row>
    <row r="136" customFormat="false" ht="15" hidden="false" customHeight="false" outlineLevel="0" collapsed="false">
      <c r="A136" s="76" t="s">
        <v>169</v>
      </c>
      <c r="B136" s="76" t="s">
        <v>236</v>
      </c>
      <c r="C136" s="77" t="n">
        <v>2023</v>
      </c>
      <c r="D136" s="77" t="n">
        <v>2</v>
      </c>
      <c r="E136" s="78" t="n">
        <v>44926</v>
      </c>
      <c r="F136" s="76" t="s">
        <v>210</v>
      </c>
      <c r="G136" s="76" t="s">
        <v>211</v>
      </c>
      <c r="H136" s="76" t="s">
        <v>212</v>
      </c>
      <c r="I136" s="79" t="n">
        <v>52747</v>
      </c>
      <c r="J136" s="79" t="n">
        <v>35259</v>
      </c>
      <c r="K136" s="80" t="n">
        <v>2.32</v>
      </c>
      <c r="L136" s="79" t="n">
        <v>7473</v>
      </c>
      <c r="M136" s="79" t="n">
        <v>183136</v>
      </c>
      <c r="N136" s="80" t="n">
        <v>0.68</v>
      </c>
      <c r="O136" s="80" t="n">
        <v>239.820007324219</v>
      </c>
      <c r="P136" s="47" t="n">
        <v>15</v>
      </c>
      <c r="Q136" s="66" t="s">
        <v>374</v>
      </c>
    </row>
    <row r="137" customFormat="false" ht="15" hidden="false" customHeight="false" outlineLevel="0" collapsed="false">
      <c r="A137" s="76" t="s">
        <v>169</v>
      </c>
      <c r="B137" s="76" t="s">
        <v>238</v>
      </c>
      <c r="C137" s="77" t="n">
        <v>2023</v>
      </c>
      <c r="D137" s="77" t="n">
        <v>1</v>
      </c>
      <c r="E137" s="78" t="n">
        <v>44834</v>
      </c>
      <c r="F137" s="76" t="s">
        <v>210</v>
      </c>
      <c r="G137" s="76" t="s">
        <v>211</v>
      </c>
      <c r="H137" s="76" t="s">
        <v>212</v>
      </c>
      <c r="I137" s="79" t="n">
        <v>50122</v>
      </c>
      <c r="J137" s="79" t="n">
        <v>34670</v>
      </c>
      <c r="K137" s="80" t="n">
        <v>2.35</v>
      </c>
      <c r="L137" s="79" t="n">
        <v>7485</v>
      </c>
      <c r="M137" s="79" t="n">
        <v>173566</v>
      </c>
      <c r="N137" s="80" t="n">
        <v>0.62</v>
      </c>
      <c r="O137" s="80" t="n">
        <v>232.899993896484</v>
      </c>
      <c r="P137" s="47" t="n">
        <v>16</v>
      </c>
      <c r="Q137" s="66" t="s">
        <v>375</v>
      </c>
    </row>
    <row r="138" customFormat="false" ht="15" hidden="false" customHeight="false" outlineLevel="0" collapsed="false">
      <c r="A138" s="76" t="s">
        <v>169</v>
      </c>
      <c r="B138" s="76" t="s">
        <v>240</v>
      </c>
      <c r="C138" s="77" t="n">
        <v>2022</v>
      </c>
      <c r="D138" s="77" t="n">
        <v>4</v>
      </c>
      <c r="E138" s="78" t="n">
        <v>44742</v>
      </c>
      <c r="F138" s="76" t="s">
        <v>210</v>
      </c>
      <c r="G138" s="76" t="s">
        <v>211</v>
      </c>
      <c r="H138" s="76" t="s">
        <v>212</v>
      </c>
      <c r="I138" s="79" t="n">
        <v>51865</v>
      </c>
      <c r="J138" s="79" t="n">
        <v>35436</v>
      </c>
      <c r="K138" s="80" t="n">
        <v>2.23</v>
      </c>
      <c r="L138" s="79"/>
      <c r="M138" s="79" t="n">
        <v>166542</v>
      </c>
      <c r="N138" s="80" t="n">
        <v>0.62</v>
      </c>
      <c r="O138" s="80" t="n">
        <v>256.829986572266</v>
      </c>
      <c r="P138" s="47" t="n">
        <v>17</v>
      </c>
      <c r="Q138" s="66" t="s">
        <v>376</v>
      </c>
    </row>
    <row r="139" customFormat="false" ht="15" hidden="false" customHeight="false" outlineLevel="0" collapsed="false">
      <c r="A139" s="76" t="s">
        <v>169</v>
      </c>
      <c r="B139" s="76" t="s">
        <v>242</v>
      </c>
      <c r="C139" s="77" t="n">
        <v>2022</v>
      </c>
      <c r="D139" s="77" t="n">
        <v>3</v>
      </c>
      <c r="E139" s="78" t="n">
        <v>44651</v>
      </c>
      <c r="F139" s="76" t="s">
        <v>210</v>
      </c>
      <c r="G139" s="76" t="s">
        <v>211</v>
      </c>
      <c r="H139" s="76" t="s">
        <v>212</v>
      </c>
      <c r="I139" s="79" t="n">
        <v>49360</v>
      </c>
      <c r="J139" s="79" t="n">
        <v>33745</v>
      </c>
      <c r="K139" s="80" t="n">
        <v>2.22</v>
      </c>
      <c r="L139" s="79" t="n">
        <v>7534</v>
      </c>
      <c r="M139" s="79" t="n">
        <v>162924</v>
      </c>
      <c r="N139" s="80" t="n">
        <v>0.62</v>
      </c>
      <c r="O139" s="80" t="n">
        <v>308.309997558594</v>
      </c>
      <c r="P139" s="47" t="n">
        <v>18</v>
      </c>
      <c r="Q139" s="66" t="s">
        <v>377</v>
      </c>
    </row>
    <row r="140" customFormat="false" ht="15" hidden="false" customHeight="false" outlineLevel="0" collapsed="false">
      <c r="A140" s="76" t="s">
        <v>169</v>
      </c>
      <c r="B140" s="76" t="s">
        <v>244</v>
      </c>
      <c r="C140" s="77" t="n">
        <v>2022</v>
      </c>
      <c r="D140" s="77" t="n">
        <v>2</v>
      </c>
      <c r="E140" s="78" t="n">
        <v>44561</v>
      </c>
      <c r="F140" s="76" t="s">
        <v>210</v>
      </c>
      <c r="G140" s="76" t="s">
        <v>211</v>
      </c>
      <c r="H140" s="76" t="s">
        <v>212</v>
      </c>
      <c r="I140" s="79" t="n">
        <v>51728</v>
      </c>
      <c r="J140" s="79" t="n">
        <v>34768</v>
      </c>
      <c r="K140" s="80" t="n">
        <v>2.48</v>
      </c>
      <c r="L140" s="79" t="n">
        <v>7555</v>
      </c>
      <c r="M140" s="79" t="n">
        <v>160010</v>
      </c>
      <c r="N140" s="80" t="n">
        <v>0.62</v>
      </c>
      <c r="O140" s="80" t="n">
        <v>336.320007324219</v>
      </c>
      <c r="P140" s="47" t="n">
        <v>19</v>
      </c>
      <c r="Q140" s="66" t="s">
        <v>378</v>
      </c>
    </row>
    <row r="141" customFormat="false" ht="15" hidden="false" customHeight="false" outlineLevel="0" collapsed="false">
      <c r="A141" s="76" t="s">
        <v>169</v>
      </c>
      <c r="B141" s="76" t="s">
        <v>246</v>
      </c>
      <c r="C141" s="77" t="n">
        <v>2022</v>
      </c>
      <c r="D141" s="77" t="n">
        <v>1</v>
      </c>
      <c r="E141" s="78" t="n">
        <v>44469</v>
      </c>
      <c r="F141" s="76" t="s">
        <v>210</v>
      </c>
      <c r="G141" s="76" t="s">
        <v>211</v>
      </c>
      <c r="H141" s="76" t="s">
        <v>212</v>
      </c>
      <c r="I141" s="79" t="n">
        <v>45317</v>
      </c>
      <c r="J141" s="79" t="n">
        <v>31671</v>
      </c>
      <c r="K141" s="80" t="n">
        <v>2.27</v>
      </c>
      <c r="L141" s="79" t="n">
        <v>7567</v>
      </c>
      <c r="M141" s="79" t="n">
        <v>151978</v>
      </c>
      <c r="N141" s="80" t="n">
        <v>0.56</v>
      </c>
      <c r="O141" s="80" t="n">
        <v>281.920013427734</v>
      </c>
      <c r="P141" s="47" t="n">
        <v>20</v>
      </c>
      <c r="Q141" s="66" t="s">
        <v>379</v>
      </c>
    </row>
    <row r="142" customFormat="false" ht="15" hidden="false" customHeight="false" outlineLevel="0" collapsed="false">
      <c r="A142" s="76" t="s">
        <v>169</v>
      </c>
      <c r="B142" s="76" t="s">
        <v>248</v>
      </c>
      <c r="C142" s="77" t="n">
        <v>2021</v>
      </c>
      <c r="D142" s="77" t="n">
        <v>4</v>
      </c>
      <c r="E142" s="78" t="n">
        <v>44377</v>
      </c>
      <c r="F142" s="76" t="s">
        <v>210</v>
      </c>
      <c r="G142" s="76" t="s">
        <v>211</v>
      </c>
      <c r="H142" s="76" t="s">
        <v>212</v>
      </c>
      <c r="I142" s="79" t="n">
        <v>46152</v>
      </c>
      <c r="J142" s="79" t="n">
        <v>32161</v>
      </c>
      <c r="K142" s="80" t="n">
        <v>2.17</v>
      </c>
      <c r="L142" s="79"/>
      <c r="M142" s="79" t="n">
        <v>141988</v>
      </c>
      <c r="N142" s="80" t="n">
        <v>0.56</v>
      </c>
      <c r="O142" s="80" t="n">
        <v>270.899993896484</v>
      </c>
      <c r="P142" s="47" t="n">
        <v>21</v>
      </c>
      <c r="Q142" s="66" t="s">
        <v>380</v>
      </c>
    </row>
    <row r="143" customFormat="false" ht="15" hidden="false" customHeight="false" outlineLevel="0" collapsed="false">
      <c r="A143" s="76" t="s">
        <v>169</v>
      </c>
      <c r="B143" s="76" t="s">
        <v>250</v>
      </c>
      <c r="C143" s="77" t="n">
        <v>2021</v>
      </c>
      <c r="D143" s="77" t="n">
        <v>3</v>
      </c>
      <c r="E143" s="78" t="n">
        <v>44286</v>
      </c>
      <c r="F143" s="76" t="s">
        <v>210</v>
      </c>
      <c r="G143" s="76" t="s">
        <v>211</v>
      </c>
      <c r="H143" s="76" t="s">
        <v>212</v>
      </c>
      <c r="I143" s="79" t="n">
        <v>41706</v>
      </c>
      <c r="J143" s="79" t="n">
        <v>28661</v>
      </c>
      <c r="K143" s="80" t="n">
        <v>1.95</v>
      </c>
      <c r="L143" s="79" t="n">
        <v>7597</v>
      </c>
      <c r="M143" s="79" t="n">
        <v>134505</v>
      </c>
      <c r="N143" s="80" t="n">
        <v>0.56</v>
      </c>
      <c r="O143" s="80" t="n">
        <v>235.770004272461</v>
      </c>
      <c r="P143" s="47" t="n">
        <v>22</v>
      </c>
      <c r="Q143" s="66" t="s">
        <v>381</v>
      </c>
    </row>
    <row r="144" customFormat="false" ht="15" hidden="false" customHeight="false" outlineLevel="0" collapsed="false">
      <c r="A144" s="76" t="s">
        <v>169</v>
      </c>
      <c r="B144" s="76" t="s">
        <v>252</v>
      </c>
      <c r="C144" s="77" t="n">
        <v>2021</v>
      </c>
      <c r="D144" s="77" t="n">
        <v>2</v>
      </c>
      <c r="E144" s="78" t="n">
        <v>44196</v>
      </c>
      <c r="F144" s="76" t="s">
        <v>210</v>
      </c>
      <c r="G144" s="76" t="s">
        <v>211</v>
      </c>
      <c r="H144" s="76" t="s">
        <v>212</v>
      </c>
      <c r="I144" s="79" t="n">
        <v>43076</v>
      </c>
      <c r="J144" s="79" t="n">
        <v>28882</v>
      </c>
      <c r="K144" s="80" t="n">
        <v>2.03</v>
      </c>
      <c r="L144" s="79" t="n">
        <v>7616</v>
      </c>
      <c r="M144" s="79" t="n">
        <v>130236</v>
      </c>
      <c r="N144" s="80" t="n">
        <v>0.56</v>
      </c>
      <c r="O144" s="80" t="n">
        <v>222.419998168945</v>
      </c>
      <c r="P144" s="47" t="n">
        <v>23</v>
      </c>
      <c r="Q144" s="66" t="s">
        <v>382</v>
      </c>
    </row>
    <row r="145" customFormat="false" ht="15" hidden="false" customHeight="false" outlineLevel="0" collapsed="false">
      <c r="A145" s="76" t="s">
        <v>169</v>
      </c>
      <c r="B145" s="76" t="s">
        <v>254</v>
      </c>
      <c r="C145" s="77" t="n">
        <v>2021</v>
      </c>
      <c r="D145" s="77" t="n">
        <v>1</v>
      </c>
      <c r="E145" s="78" t="n">
        <v>44104</v>
      </c>
      <c r="F145" s="76" t="s">
        <v>210</v>
      </c>
      <c r="G145" s="76" t="s">
        <v>211</v>
      </c>
      <c r="H145" s="76" t="s">
        <v>212</v>
      </c>
      <c r="I145" s="79" t="n">
        <v>37154</v>
      </c>
      <c r="J145" s="79" t="n">
        <v>26152</v>
      </c>
      <c r="K145" s="80" t="n">
        <v>1.82</v>
      </c>
      <c r="L145" s="79" t="n">
        <v>7637</v>
      </c>
      <c r="M145" s="79" t="n">
        <v>123392</v>
      </c>
      <c r="N145" s="80"/>
      <c r="O145" s="80" t="n">
        <v>210.330001831055</v>
      </c>
      <c r="P145" s="47" t="n">
        <v>24</v>
      </c>
      <c r="Q145" s="66" t="s">
        <v>383</v>
      </c>
    </row>
    <row r="146" customFormat="false" ht="15" hidden="false" customHeight="false" outlineLevel="0" collapsed="false">
      <c r="A146" s="76" t="s">
        <v>187</v>
      </c>
      <c r="B146" s="76" t="s">
        <v>260</v>
      </c>
      <c r="C146" s="77" t="n">
        <v>2026</v>
      </c>
      <c r="D146" s="77" t="n">
        <v>3</v>
      </c>
      <c r="E146" s="78" t="n">
        <v>46173</v>
      </c>
      <c r="F146" s="76" t="s">
        <v>210</v>
      </c>
      <c r="G146" s="76" t="s">
        <v>211</v>
      </c>
      <c r="H146" s="76" t="s">
        <v>212</v>
      </c>
      <c r="I146" s="79" t="n">
        <v>41456</v>
      </c>
      <c r="J146" s="79" t="n">
        <v>35056</v>
      </c>
      <c r="K146" s="80" t="n">
        <v>25.11</v>
      </c>
      <c r="L146" s="79" t="n">
        <v>1145</v>
      </c>
      <c r="M146" s="79" t="n">
        <v>100724</v>
      </c>
      <c r="N146" s="80" t="n">
        <v>0.15</v>
      </c>
      <c r="O146" s="80" t="n">
        <v>971</v>
      </c>
      <c r="P146" s="47" t="n">
        <v>1</v>
      </c>
      <c r="Q146" s="66" t="s">
        <v>384</v>
      </c>
    </row>
    <row r="147" customFormat="false" ht="15" hidden="false" customHeight="false" outlineLevel="0" collapsed="false">
      <c r="A147" s="76" t="s">
        <v>187</v>
      </c>
      <c r="B147" s="76" t="s">
        <v>209</v>
      </c>
      <c r="C147" s="77" t="n">
        <v>2026</v>
      </c>
      <c r="D147" s="77" t="n">
        <v>2</v>
      </c>
      <c r="E147" s="78" t="n">
        <v>46081</v>
      </c>
      <c r="F147" s="76" t="s">
        <v>210</v>
      </c>
      <c r="G147" s="76" t="s">
        <v>211</v>
      </c>
      <c r="H147" s="76" t="s">
        <v>212</v>
      </c>
      <c r="I147" s="79" t="n">
        <v>23860</v>
      </c>
      <c r="J147" s="79" t="n">
        <v>17755</v>
      </c>
      <c r="K147" s="80" t="n">
        <v>12.2</v>
      </c>
      <c r="L147" s="79" t="n">
        <v>1142</v>
      </c>
      <c r="M147" s="79" t="n">
        <v>72459</v>
      </c>
      <c r="N147" s="80" t="n">
        <v>0.115</v>
      </c>
      <c r="O147" s="80" t="n">
        <v>412.369995117188</v>
      </c>
      <c r="P147" s="47" t="n">
        <v>2</v>
      </c>
      <c r="Q147" s="66" t="s">
        <v>385</v>
      </c>
    </row>
    <row r="148" customFormat="false" ht="15" hidden="false" customHeight="false" outlineLevel="0" collapsed="false">
      <c r="A148" s="76" t="s">
        <v>187</v>
      </c>
      <c r="B148" s="76" t="s">
        <v>214</v>
      </c>
      <c r="C148" s="77" t="n">
        <v>2026</v>
      </c>
      <c r="D148" s="77" t="n">
        <v>1</v>
      </c>
      <c r="E148" s="78" t="n">
        <v>45991</v>
      </c>
      <c r="F148" s="76" t="s">
        <v>210</v>
      </c>
      <c r="G148" s="76" t="s">
        <v>211</v>
      </c>
      <c r="H148" s="76" t="s">
        <v>212</v>
      </c>
      <c r="I148" s="79" t="n">
        <v>13643</v>
      </c>
      <c r="J148" s="79" t="n">
        <v>7646</v>
      </c>
      <c r="K148" s="80" t="n">
        <v>4.78</v>
      </c>
      <c r="L148" s="79" t="n">
        <v>1138</v>
      </c>
      <c r="M148" s="79" t="n">
        <v>58806</v>
      </c>
      <c r="N148" s="80" t="n">
        <v>0.115</v>
      </c>
      <c r="O148" s="80" t="n">
        <v>236.479995727539</v>
      </c>
      <c r="P148" s="47" t="n">
        <v>3</v>
      </c>
      <c r="Q148" s="66" t="s">
        <v>386</v>
      </c>
    </row>
    <row r="149" customFormat="false" ht="15" hidden="false" customHeight="false" outlineLevel="0" collapsed="false">
      <c r="A149" s="76" t="s">
        <v>187</v>
      </c>
      <c r="B149" s="76" t="s">
        <v>216</v>
      </c>
      <c r="C149" s="77" t="n">
        <v>2025</v>
      </c>
      <c r="D149" s="77" t="n">
        <v>4</v>
      </c>
      <c r="E149" s="78" t="n">
        <v>45900</v>
      </c>
      <c r="F149" s="76" t="s">
        <v>210</v>
      </c>
      <c r="G149" s="76" t="s">
        <v>211</v>
      </c>
      <c r="H149" s="76" t="s">
        <v>212</v>
      </c>
      <c r="I149" s="79" t="n">
        <v>11315</v>
      </c>
      <c r="J149" s="79" t="n">
        <v>5054</v>
      </c>
      <c r="K149" s="80" t="n">
        <v>3.03</v>
      </c>
      <c r="L149" s="79" t="n">
        <v>1131</v>
      </c>
      <c r="M149" s="79" t="n">
        <v>54165</v>
      </c>
      <c r="N149" s="80" t="n">
        <v>0.115</v>
      </c>
      <c r="O149" s="80" t="n">
        <v>119.010002136231</v>
      </c>
      <c r="P149" s="47" t="n">
        <v>4</v>
      </c>
      <c r="Q149" s="66" t="s">
        <v>387</v>
      </c>
    </row>
    <row r="150" customFormat="false" ht="15" hidden="false" customHeight="false" outlineLevel="0" collapsed="false">
      <c r="A150" s="76" t="s">
        <v>187</v>
      </c>
      <c r="B150" s="76" t="s">
        <v>218</v>
      </c>
      <c r="C150" s="77" t="n">
        <v>2025</v>
      </c>
      <c r="D150" s="77" t="n">
        <v>3</v>
      </c>
      <c r="E150" s="78" t="n">
        <v>45808</v>
      </c>
      <c r="F150" s="76" t="s">
        <v>210</v>
      </c>
      <c r="G150" s="76" t="s">
        <v>211</v>
      </c>
      <c r="H150" s="76" t="s">
        <v>212</v>
      </c>
      <c r="I150" s="79" t="n">
        <v>9301</v>
      </c>
      <c r="J150" s="79" t="n">
        <v>3508</v>
      </c>
      <c r="K150" s="80" t="n">
        <v>1.91</v>
      </c>
      <c r="L150" s="79" t="n">
        <v>1125</v>
      </c>
      <c r="M150" s="79" t="n">
        <v>50748</v>
      </c>
      <c r="N150" s="80" t="n">
        <v>0.115</v>
      </c>
      <c r="O150" s="80" t="n">
        <v>94.4599990844727</v>
      </c>
      <c r="P150" s="47" t="n">
        <v>5</v>
      </c>
      <c r="Q150" s="66" t="s">
        <v>388</v>
      </c>
    </row>
    <row r="151" customFormat="false" ht="15" hidden="false" customHeight="false" outlineLevel="0" collapsed="false">
      <c r="A151" s="76" t="s">
        <v>187</v>
      </c>
      <c r="B151" s="76" t="s">
        <v>220</v>
      </c>
      <c r="C151" s="77" t="n">
        <v>2025</v>
      </c>
      <c r="D151" s="77" t="n">
        <v>2</v>
      </c>
      <c r="E151" s="78" t="n">
        <v>45716</v>
      </c>
      <c r="F151" s="76" t="s">
        <v>210</v>
      </c>
      <c r="G151" s="76" t="s">
        <v>211</v>
      </c>
      <c r="H151" s="76" t="s">
        <v>212</v>
      </c>
      <c r="I151" s="79" t="n">
        <v>8053</v>
      </c>
      <c r="J151" s="79" t="n">
        <v>2963</v>
      </c>
      <c r="K151" s="80" t="n">
        <v>1.56</v>
      </c>
      <c r="L151" s="79" t="n">
        <v>1128.5</v>
      </c>
      <c r="M151" s="79" t="n">
        <v>48633</v>
      </c>
      <c r="N151" s="80" t="n">
        <v>0.115</v>
      </c>
      <c r="O151" s="80" t="n">
        <v>93.629997253418</v>
      </c>
      <c r="P151" s="47" t="n">
        <v>6</v>
      </c>
      <c r="Q151" s="66" t="s">
        <v>389</v>
      </c>
    </row>
    <row r="152" customFormat="false" ht="15" hidden="false" customHeight="false" outlineLevel="0" collapsed="false">
      <c r="A152" s="76" t="s">
        <v>187</v>
      </c>
      <c r="B152" s="76" t="s">
        <v>222</v>
      </c>
      <c r="C152" s="77" t="n">
        <v>2025</v>
      </c>
      <c r="D152" s="77" t="n">
        <v>1</v>
      </c>
      <c r="E152" s="78" t="n">
        <v>45626</v>
      </c>
      <c r="F152" s="76" t="s">
        <v>210</v>
      </c>
      <c r="G152" s="76" t="s">
        <v>211</v>
      </c>
      <c r="H152" s="76" t="s">
        <v>212</v>
      </c>
      <c r="I152" s="79" t="n">
        <v>8709</v>
      </c>
      <c r="J152" s="79" t="n">
        <v>3348</v>
      </c>
      <c r="K152" s="80" t="n">
        <v>1.79</v>
      </c>
      <c r="L152" s="79" t="n">
        <v>1123.5</v>
      </c>
      <c r="M152" s="79" t="n">
        <v>46797</v>
      </c>
      <c r="N152" s="80" t="n">
        <v>0.115</v>
      </c>
      <c r="O152" s="80" t="n">
        <v>97.9499969482422</v>
      </c>
      <c r="P152" s="47" t="n">
        <v>7</v>
      </c>
      <c r="Q152" s="66" t="s">
        <v>390</v>
      </c>
    </row>
    <row r="153" customFormat="false" ht="15" hidden="false" customHeight="false" outlineLevel="0" collapsed="false">
      <c r="A153" s="76" t="s">
        <v>187</v>
      </c>
      <c r="B153" s="76" t="s">
        <v>224</v>
      </c>
      <c r="C153" s="77" t="n">
        <v>2024</v>
      </c>
      <c r="D153" s="77" t="n">
        <v>4</v>
      </c>
      <c r="E153" s="78" t="n">
        <v>45535</v>
      </c>
      <c r="F153" s="76" t="s">
        <v>210</v>
      </c>
      <c r="G153" s="76" t="s">
        <v>211</v>
      </c>
      <c r="H153" s="76" t="s">
        <v>212</v>
      </c>
      <c r="I153" s="79" t="n">
        <v>7750</v>
      </c>
      <c r="J153" s="79" t="n">
        <v>2737</v>
      </c>
      <c r="K153" s="80" t="n">
        <v>1.18</v>
      </c>
      <c r="L153" s="79"/>
      <c r="M153" s="79" t="n">
        <v>45131</v>
      </c>
      <c r="N153" s="80" t="n">
        <v>0.115</v>
      </c>
      <c r="O153" s="80" t="n">
        <v>96.2399978637695</v>
      </c>
      <c r="P153" s="47" t="n">
        <v>8</v>
      </c>
      <c r="Q153" s="66" t="s">
        <v>391</v>
      </c>
    </row>
    <row r="154" customFormat="false" ht="15" hidden="false" customHeight="false" outlineLevel="0" collapsed="false">
      <c r="A154" s="76" t="s">
        <v>187</v>
      </c>
      <c r="B154" s="76" t="s">
        <v>226</v>
      </c>
      <c r="C154" s="77" t="n">
        <v>2024</v>
      </c>
      <c r="D154" s="77" t="n">
        <v>3</v>
      </c>
      <c r="E154" s="78" t="n">
        <v>45443</v>
      </c>
      <c r="F154" s="76" t="s">
        <v>210</v>
      </c>
      <c r="G154" s="76" t="s">
        <v>211</v>
      </c>
      <c r="H154" s="76" t="s">
        <v>212</v>
      </c>
      <c r="I154" s="79" t="n">
        <v>6811</v>
      </c>
      <c r="J154" s="79" t="n">
        <v>1832</v>
      </c>
      <c r="K154" s="80" t="n">
        <v>0.62</v>
      </c>
      <c r="L154" s="79" t="n">
        <v>1102</v>
      </c>
      <c r="M154" s="79" t="n">
        <v>44225</v>
      </c>
      <c r="N154" s="80" t="n">
        <v>0.115</v>
      </c>
      <c r="O154" s="80" t="n">
        <v>125</v>
      </c>
      <c r="P154" s="47" t="n">
        <v>9</v>
      </c>
      <c r="Q154" s="66" t="s">
        <v>392</v>
      </c>
    </row>
    <row r="155" customFormat="false" ht="15" hidden="false" customHeight="false" outlineLevel="0" collapsed="false">
      <c r="A155" s="76" t="s">
        <v>187</v>
      </c>
      <c r="B155" s="76" t="s">
        <v>228</v>
      </c>
      <c r="C155" s="77" t="n">
        <v>2024</v>
      </c>
      <c r="D155" s="77" t="n">
        <v>2</v>
      </c>
      <c r="E155" s="78" t="n">
        <v>45351</v>
      </c>
      <c r="F155" s="76" t="s">
        <v>210</v>
      </c>
      <c r="G155" s="76" t="s">
        <v>211</v>
      </c>
      <c r="H155" s="76" t="s">
        <v>212</v>
      </c>
      <c r="I155" s="79" t="n">
        <v>5824</v>
      </c>
      <c r="J155" s="79" t="n">
        <v>1079</v>
      </c>
      <c r="K155" s="80" t="n">
        <v>0.42</v>
      </c>
      <c r="L155" s="79" t="n">
        <v>1098.5</v>
      </c>
      <c r="M155" s="79" t="n">
        <v>43870</v>
      </c>
      <c r="N155" s="80" t="n">
        <v>0.115</v>
      </c>
      <c r="O155" s="80" t="n">
        <v>90.6100006103516</v>
      </c>
      <c r="P155" s="47" t="n">
        <v>10</v>
      </c>
      <c r="Q155" s="66" t="s">
        <v>393</v>
      </c>
    </row>
    <row r="156" customFormat="false" ht="15" hidden="false" customHeight="false" outlineLevel="0" collapsed="false">
      <c r="A156" s="76" t="s">
        <v>187</v>
      </c>
      <c r="B156" s="76" t="s">
        <v>230</v>
      </c>
      <c r="C156" s="77" t="n">
        <v>2024</v>
      </c>
      <c r="D156" s="77" t="n">
        <v>1</v>
      </c>
      <c r="E156" s="78" t="n">
        <v>45260</v>
      </c>
      <c r="F156" s="76" t="s">
        <v>210</v>
      </c>
      <c r="G156" s="76" t="s">
        <v>211</v>
      </c>
      <c r="H156" s="76" t="s">
        <v>212</v>
      </c>
      <c r="I156" s="79" t="n">
        <v>4726</v>
      </c>
      <c r="J156" s="79" t="n">
        <v>-35</v>
      </c>
      <c r="K156" s="80" t="n">
        <v>-0.95</v>
      </c>
      <c r="L156" s="79" t="n">
        <v>1095.5</v>
      </c>
      <c r="M156" s="79" t="n">
        <v>42885</v>
      </c>
      <c r="N156" s="80" t="n">
        <v>0.115</v>
      </c>
      <c r="O156" s="80" t="n">
        <v>76.120002746582</v>
      </c>
      <c r="P156" s="47" t="n">
        <v>11</v>
      </c>
      <c r="Q156" s="66" t="s">
        <v>394</v>
      </c>
    </row>
    <row r="157" customFormat="false" ht="15" hidden="false" customHeight="false" outlineLevel="0" collapsed="false">
      <c r="A157" s="76" t="s">
        <v>187</v>
      </c>
      <c r="B157" s="76" t="s">
        <v>232</v>
      </c>
      <c r="C157" s="77" t="n">
        <v>2023</v>
      </c>
      <c r="D157" s="77" t="n">
        <v>4</v>
      </c>
      <c r="E157" s="78" t="n">
        <v>45169</v>
      </c>
      <c r="F157" s="76" t="s">
        <v>210</v>
      </c>
      <c r="G157" s="76" t="s">
        <v>211</v>
      </c>
      <c r="H157" s="76" t="s">
        <v>212</v>
      </c>
      <c r="I157" s="79" t="n">
        <v>4010</v>
      </c>
      <c r="J157" s="79" t="n">
        <v>-435</v>
      </c>
      <c r="K157" s="80" t="n">
        <v>-1.07</v>
      </c>
      <c r="L157" s="79"/>
      <c r="M157" s="79" t="n">
        <v>44120</v>
      </c>
      <c r="N157" s="80" t="n">
        <v>0.115</v>
      </c>
      <c r="O157" s="80" t="n">
        <v>69.9400024414063</v>
      </c>
      <c r="P157" s="47" t="n">
        <v>12</v>
      </c>
      <c r="Q157" s="66" t="s">
        <v>395</v>
      </c>
    </row>
    <row r="158" customFormat="false" ht="15" hidden="false" customHeight="false" outlineLevel="0" collapsed="false">
      <c r="A158" s="76" t="s">
        <v>187</v>
      </c>
      <c r="B158" s="76" t="s">
        <v>234</v>
      </c>
      <c r="C158" s="77" t="n">
        <v>2023</v>
      </c>
      <c r="D158" s="77" t="n">
        <v>3</v>
      </c>
      <c r="E158" s="78" t="n">
        <v>45077</v>
      </c>
      <c r="F158" s="76" t="s">
        <v>210</v>
      </c>
      <c r="G158" s="76" t="s">
        <v>211</v>
      </c>
      <c r="H158" s="76" t="s">
        <v>212</v>
      </c>
      <c r="I158" s="79" t="n">
        <v>3752</v>
      </c>
      <c r="J158" s="79" t="n">
        <v>-668</v>
      </c>
      <c r="K158" s="80" t="n">
        <v>-1.43</v>
      </c>
      <c r="L158" s="79" t="n">
        <v>1094</v>
      </c>
      <c r="M158" s="79" t="n">
        <v>45405</v>
      </c>
      <c r="N158" s="80" t="n">
        <v>0.115</v>
      </c>
      <c r="O158" s="80" t="n">
        <v>68.1999969482422</v>
      </c>
      <c r="P158" s="47" t="n">
        <v>13</v>
      </c>
      <c r="Q158" s="66" t="s">
        <v>396</v>
      </c>
    </row>
    <row r="159" customFormat="false" ht="15" hidden="false" customHeight="false" outlineLevel="0" collapsed="false">
      <c r="A159" s="76" t="s">
        <v>187</v>
      </c>
      <c r="B159" s="76" t="s">
        <v>236</v>
      </c>
      <c r="C159" s="77" t="n">
        <v>2023</v>
      </c>
      <c r="D159" s="77" t="n">
        <v>2</v>
      </c>
      <c r="E159" s="78" t="n">
        <v>44985</v>
      </c>
      <c r="F159" s="76" t="s">
        <v>210</v>
      </c>
      <c r="G159" s="76" t="s">
        <v>211</v>
      </c>
      <c r="H159" s="76" t="s">
        <v>212</v>
      </c>
      <c r="I159" s="79" t="n">
        <v>3693</v>
      </c>
      <c r="J159" s="79" t="n">
        <v>-1206</v>
      </c>
      <c r="K159" s="80" t="n">
        <v>-1.91</v>
      </c>
      <c r="L159" s="79" t="n">
        <v>1091</v>
      </c>
      <c r="M159" s="79" t="n">
        <v>47257</v>
      </c>
      <c r="N159" s="80" t="n">
        <v>0.115</v>
      </c>
      <c r="O159" s="80" t="n">
        <v>57.8199996948242</v>
      </c>
      <c r="P159" s="47" t="n">
        <v>14</v>
      </c>
      <c r="Q159" s="66" t="s">
        <v>397</v>
      </c>
    </row>
    <row r="160" customFormat="false" ht="15" hidden="false" customHeight="false" outlineLevel="0" collapsed="false">
      <c r="A160" s="76" t="s">
        <v>187</v>
      </c>
      <c r="B160" s="76" t="s">
        <v>238</v>
      </c>
      <c r="C160" s="77" t="n">
        <v>2023</v>
      </c>
      <c r="D160" s="77" t="n">
        <v>1</v>
      </c>
      <c r="E160" s="78" t="n">
        <v>44895</v>
      </c>
      <c r="F160" s="76" t="s">
        <v>210</v>
      </c>
      <c r="G160" s="76" t="s">
        <v>211</v>
      </c>
      <c r="H160" s="76" t="s">
        <v>212</v>
      </c>
      <c r="I160" s="79" t="n">
        <v>4085</v>
      </c>
      <c r="J160" s="79" t="n">
        <v>893</v>
      </c>
      <c r="K160" s="80" t="n">
        <v>-0.04</v>
      </c>
      <c r="L160" s="79" t="n">
        <v>1090</v>
      </c>
      <c r="M160" s="79" t="n">
        <v>49306</v>
      </c>
      <c r="N160" s="80" t="n">
        <v>0.115</v>
      </c>
      <c r="O160" s="80" t="n">
        <v>57.6500015258789</v>
      </c>
      <c r="P160" s="47" t="n">
        <v>15</v>
      </c>
      <c r="Q160" s="66" t="s">
        <v>398</v>
      </c>
    </row>
    <row r="161" customFormat="false" ht="15" hidden="false" customHeight="false" outlineLevel="0" collapsed="false">
      <c r="A161" s="76" t="s">
        <v>187</v>
      </c>
      <c r="B161" s="76" t="s">
        <v>240</v>
      </c>
      <c r="C161" s="77" t="n">
        <v>2022</v>
      </c>
      <c r="D161" s="77" t="n">
        <v>4</v>
      </c>
      <c r="E161" s="78" t="n">
        <v>44804</v>
      </c>
      <c r="F161" s="76" t="s">
        <v>210</v>
      </c>
      <c r="G161" s="76" t="s">
        <v>211</v>
      </c>
      <c r="H161" s="76" t="s">
        <v>212</v>
      </c>
      <c r="I161" s="79" t="n">
        <v>6643</v>
      </c>
      <c r="J161" s="79" t="n">
        <v>2622</v>
      </c>
      <c r="K161" s="80" t="n">
        <v>1.45</v>
      </c>
      <c r="L161" s="79"/>
      <c r="M161" s="79" t="n">
        <v>49907</v>
      </c>
      <c r="N161" s="80" t="n">
        <v>0.115</v>
      </c>
      <c r="O161" s="80" t="n">
        <v>56.5299987792969</v>
      </c>
      <c r="P161" s="47" t="n">
        <v>16</v>
      </c>
      <c r="Q161" s="66" t="s">
        <v>399</v>
      </c>
    </row>
    <row r="162" customFormat="false" ht="15" hidden="false" customHeight="false" outlineLevel="0" collapsed="false">
      <c r="A162" s="76" t="s">
        <v>187</v>
      </c>
      <c r="B162" s="76" t="s">
        <v>242</v>
      </c>
      <c r="C162" s="77" t="n">
        <v>2022</v>
      </c>
      <c r="D162" s="77" t="n">
        <v>3</v>
      </c>
      <c r="E162" s="78" t="n">
        <v>44712</v>
      </c>
      <c r="F162" s="76" t="s">
        <v>210</v>
      </c>
      <c r="G162" s="76" t="s">
        <v>211</v>
      </c>
      <c r="H162" s="76" t="s">
        <v>212</v>
      </c>
      <c r="I162" s="79" t="n">
        <v>8642</v>
      </c>
      <c r="J162" s="79" t="n">
        <v>4035</v>
      </c>
      <c r="K162" s="80" t="n">
        <v>2.59</v>
      </c>
      <c r="L162" s="79" t="n">
        <v>1121</v>
      </c>
      <c r="M162" s="79" t="n">
        <v>49281</v>
      </c>
      <c r="N162" s="80" t="n">
        <v>0.1</v>
      </c>
      <c r="O162" s="80" t="n">
        <v>73.8399963378906</v>
      </c>
      <c r="P162" s="47" t="n">
        <v>17</v>
      </c>
      <c r="Q162" s="66" t="s">
        <v>400</v>
      </c>
    </row>
    <row r="163" customFormat="false" ht="15" hidden="false" customHeight="false" outlineLevel="0" collapsed="false">
      <c r="A163" s="76" t="s">
        <v>187</v>
      </c>
      <c r="B163" s="76" t="s">
        <v>244</v>
      </c>
      <c r="C163" s="77" t="n">
        <v>2022</v>
      </c>
      <c r="D163" s="77" t="n">
        <v>2</v>
      </c>
      <c r="E163" s="78" t="n">
        <v>44620</v>
      </c>
      <c r="F163" s="76" t="s">
        <v>210</v>
      </c>
      <c r="G163" s="76" t="s">
        <v>211</v>
      </c>
      <c r="H163" s="76" t="s">
        <v>212</v>
      </c>
      <c r="I163" s="79" t="n">
        <v>7786</v>
      </c>
      <c r="J163" s="79" t="n">
        <v>3676</v>
      </c>
      <c r="K163" s="80" t="n">
        <v>2.14</v>
      </c>
      <c r="L163" s="79" t="n">
        <v>1130</v>
      </c>
      <c r="M163" s="79" t="n">
        <v>47845</v>
      </c>
      <c r="N163" s="80" t="n">
        <v>0.1</v>
      </c>
      <c r="O163" s="80" t="n">
        <v>88.8600006103516</v>
      </c>
      <c r="P163" s="47" t="n">
        <v>18</v>
      </c>
      <c r="Q163" s="66" t="s">
        <v>401</v>
      </c>
    </row>
    <row r="164" customFormat="false" ht="15" hidden="false" customHeight="false" outlineLevel="0" collapsed="false">
      <c r="A164" s="76" t="s">
        <v>187</v>
      </c>
      <c r="B164" s="76" t="s">
        <v>246</v>
      </c>
      <c r="C164" s="77" t="n">
        <v>2022</v>
      </c>
      <c r="D164" s="77" t="n">
        <v>1</v>
      </c>
      <c r="E164" s="78" t="n">
        <v>44530</v>
      </c>
      <c r="F164" s="76" t="s">
        <v>210</v>
      </c>
      <c r="G164" s="76" t="s">
        <v>211</v>
      </c>
      <c r="H164" s="76" t="s">
        <v>212</v>
      </c>
      <c r="I164" s="79" t="n">
        <v>7687</v>
      </c>
      <c r="J164" s="79" t="n">
        <v>3565</v>
      </c>
      <c r="K164" s="80" t="n">
        <v>2.16</v>
      </c>
      <c r="L164" s="79" t="n">
        <v>1130</v>
      </c>
      <c r="M164" s="79" t="n">
        <v>45908</v>
      </c>
      <c r="N164" s="80" t="n">
        <v>0.1</v>
      </c>
      <c r="O164" s="80" t="n">
        <v>84</v>
      </c>
      <c r="P164" s="47" t="n">
        <v>19</v>
      </c>
      <c r="Q164" s="66" t="s">
        <v>402</v>
      </c>
    </row>
    <row r="165" customFormat="false" ht="15" hidden="false" customHeight="false" outlineLevel="0" collapsed="false">
      <c r="A165" s="76" t="s">
        <v>187</v>
      </c>
      <c r="B165" s="76" t="s">
        <v>248</v>
      </c>
      <c r="C165" s="77" t="n">
        <v>2021</v>
      </c>
      <c r="D165" s="77" t="n">
        <v>4</v>
      </c>
      <c r="E165" s="78" t="n">
        <v>44439</v>
      </c>
      <c r="F165" s="76" t="s">
        <v>210</v>
      </c>
      <c r="G165" s="76" t="s">
        <v>211</v>
      </c>
      <c r="H165" s="76" t="s">
        <v>212</v>
      </c>
      <c r="I165" s="79" t="n">
        <v>8274</v>
      </c>
      <c r="J165" s="79" t="n">
        <v>3912</v>
      </c>
      <c r="K165" s="80" t="n">
        <v>2.42</v>
      </c>
      <c r="L165" s="79"/>
      <c r="M165" s="79" t="n">
        <v>43933</v>
      </c>
      <c r="N165" s="80" t="n">
        <v>0</v>
      </c>
      <c r="O165" s="80" t="n">
        <v>73.6999969482422</v>
      </c>
      <c r="P165" s="47" t="n">
        <v>20</v>
      </c>
      <c r="Q165" s="66" t="s">
        <v>403</v>
      </c>
    </row>
    <row r="166" customFormat="false" ht="15" hidden="false" customHeight="false" outlineLevel="0" collapsed="false">
      <c r="A166" s="76" t="s">
        <v>187</v>
      </c>
      <c r="B166" s="76" t="s">
        <v>250</v>
      </c>
      <c r="C166" s="77" t="n">
        <v>2021</v>
      </c>
      <c r="D166" s="77" t="n">
        <v>3</v>
      </c>
      <c r="E166" s="78" t="n">
        <v>44347</v>
      </c>
      <c r="F166" s="76" t="s">
        <v>210</v>
      </c>
      <c r="G166" s="76" t="s">
        <v>211</v>
      </c>
      <c r="H166" s="76" t="s">
        <v>212</v>
      </c>
      <c r="I166" s="79" t="n">
        <v>7422</v>
      </c>
      <c r="J166" s="79" t="n">
        <v>3126</v>
      </c>
      <c r="K166" s="80" t="n">
        <v>1.88</v>
      </c>
      <c r="L166" s="79" t="n">
        <v>1145</v>
      </c>
      <c r="M166" s="79" t="n">
        <v>42259</v>
      </c>
      <c r="N166" s="80" t="n">
        <v>0</v>
      </c>
      <c r="O166" s="80" t="n">
        <v>84.1399993896484</v>
      </c>
      <c r="P166" s="47" t="n">
        <v>21</v>
      </c>
      <c r="Q166" s="66" t="s">
        <v>404</v>
      </c>
    </row>
    <row r="167" customFormat="false" ht="15" hidden="false" customHeight="false" outlineLevel="0" collapsed="false">
      <c r="A167" s="76" t="s">
        <v>187</v>
      </c>
      <c r="B167" s="76" t="s">
        <v>252</v>
      </c>
      <c r="C167" s="77" t="n">
        <v>2021</v>
      </c>
      <c r="D167" s="77" t="n">
        <v>2</v>
      </c>
      <c r="E167" s="78" t="n">
        <v>44255</v>
      </c>
      <c r="F167" s="76" t="s">
        <v>210</v>
      </c>
      <c r="G167" s="76" t="s">
        <v>211</v>
      </c>
      <c r="H167" s="76" t="s">
        <v>212</v>
      </c>
      <c r="I167" s="79" t="n">
        <v>6236</v>
      </c>
      <c r="J167" s="79" t="n">
        <v>1649</v>
      </c>
      <c r="K167" s="80" t="n">
        <v>0.98</v>
      </c>
      <c r="L167" s="79" t="n">
        <v>1144</v>
      </c>
      <c r="M167" s="79" t="n">
        <v>40663</v>
      </c>
      <c r="N167" s="80" t="n">
        <v>0</v>
      </c>
      <c r="O167" s="80" t="n">
        <v>91.5299987792969</v>
      </c>
      <c r="P167" s="47" t="n">
        <v>22</v>
      </c>
      <c r="Q167" s="66" t="s">
        <v>405</v>
      </c>
    </row>
    <row r="168" customFormat="false" ht="15" hidden="false" customHeight="false" outlineLevel="0" collapsed="false">
      <c r="A168" s="76" t="s">
        <v>187</v>
      </c>
      <c r="B168" s="76" t="s">
        <v>254</v>
      </c>
      <c r="C168" s="77" t="n">
        <v>2021</v>
      </c>
      <c r="D168" s="77" t="n">
        <v>1</v>
      </c>
      <c r="E168" s="78" t="n">
        <v>44165</v>
      </c>
      <c r="F168" s="76" t="s">
        <v>210</v>
      </c>
      <c r="G168" s="76" t="s">
        <v>211</v>
      </c>
      <c r="H168" s="76" t="s">
        <v>212</v>
      </c>
      <c r="I168" s="79" t="n">
        <v>5773</v>
      </c>
      <c r="J168" s="79" t="n">
        <v>1736</v>
      </c>
      <c r="K168" s="80" t="n">
        <v>0.78</v>
      </c>
      <c r="L168" s="79" t="n">
        <v>1135</v>
      </c>
      <c r="M168" s="79" t="n">
        <v>39907</v>
      </c>
      <c r="N168" s="80" t="n">
        <v>0</v>
      </c>
      <c r="O168" s="80" t="n">
        <v>64.0899963378906</v>
      </c>
      <c r="P168" s="47" t="n">
        <v>23</v>
      </c>
      <c r="Q168" s="66" t="s">
        <v>406</v>
      </c>
    </row>
    <row r="169" customFormat="false" ht="15" hidden="false" customHeight="false" outlineLevel="0" collapsed="false">
      <c r="A169" s="76" t="s">
        <v>187</v>
      </c>
      <c r="B169" s="76" t="s">
        <v>256</v>
      </c>
      <c r="C169" s="77" t="n">
        <v>2020</v>
      </c>
      <c r="D169" s="77" t="n">
        <v>4</v>
      </c>
      <c r="E169" s="78" t="n">
        <v>44074</v>
      </c>
      <c r="F169" s="76" t="s">
        <v>210</v>
      </c>
      <c r="G169" s="76" t="s">
        <v>211</v>
      </c>
      <c r="H169" s="76" t="s">
        <v>212</v>
      </c>
      <c r="I169" s="79" t="n">
        <v>6056</v>
      </c>
      <c r="J169" s="79" t="n">
        <v>2068</v>
      </c>
      <c r="K169" s="80" t="n">
        <v>1.08</v>
      </c>
      <c r="L169" s="79"/>
      <c r="M169" s="79" t="n">
        <v>38996</v>
      </c>
      <c r="N169" s="80"/>
      <c r="O169" s="80" t="n">
        <v>45.5099983215332</v>
      </c>
      <c r="P169" s="47" t="n">
        <v>24</v>
      </c>
      <c r="Q169" s="66" t="s">
        <v>407</v>
      </c>
    </row>
    <row r="170" customFormat="false" ht="15" hidden="false" customHeight="false" outlineLevel="0" collapsed="false">
      <c r="A170" s="76" t="s">
        <v>172</v>
      </c>
      <c r="B170" s="76" t="s">
        <v>333</v>
      </c>
      <c r="C170" s="77" t="n">
        <v>2027</v>
      </c>
      <c r="D170" s="77" t="n">
        <v>2</v>
      </c>
      <c r="E170" s="78" t="n">
        <v>46234</v>
      </c>
      <c r="F170" s="76" t="s">
        <v>210</v>
      </c>
      <c r="G170" s="76" t="s">
        <v>211</v>
      </c>
      <c r="H170" s="76" t="s">
        <v>212</v>
      </c>
      <c r="I170" s="79" t="n">
        <v>302970</v>
      </c>
      <c r="J170" s="79" t="n">
        <v>226241</v>
      </c>
      <c r="K170" s="80" t="n">
        <v>2.22</v>
      </c>
      <c r="L170" s="79" t="n">
        <v>24397.5</v>
      </c>
      <c r="M170" s="79" t="n">
        <v>228984</v>
      </c>
      <c r="N170" s="80" t="n">
        <v>0.25</v>
      </c>
      <c r="O170" s="80" t="n">
        <v>200.75</v>
      </c>
      <c r="P170" s="47" t="n">
        <v>1</v>
      </c>
      <c r="Q170" s="66" t="s">
        <v>408</v>
      </c>
    </row>
    <row r="171" customFormat="false" ht="15" hidden="false" customHeight="false" outlineLevel="0" collapsed="false">
      <c r="A171" s="76" t="s">
        <v>172</v>
      </c>
      <c r="B171" s="76" t="s">
        <v>335</v>
      </c>
      <c r="C171" s="77" t="n">
        <v>2027</v>
      </c>
      <c r="D171" s="77" t="n">
        <v>1</v>
      </c>
      <c r="E171" s="78" t="n">
        <v>46142</v>
      </c>
      <c r="F171" s="76" t="s">
        <v>210</v>
      </c>
      <c r="G171" s="76" t="s">
        <v>211</v>
      </c>
      <c r="H171" s="76" t="s">
        <v>212</v>
      </c>
      <c r="I171" s="79" t="n">
        <v>81615</v>
      </c>
      <c r="J171" s="79" t="n">
        <v>61157</v>
      </c>
      <c r="K171" s="80" t="n">
        <v>1.87</v>
      </c>
      <c r="L171" s="79" t="n">
        <v>24391</v>
      </c>
      <c r="M171" s="79" t="n">
        <v>195474</v>
      </c>
      <c r="N171" s="80" t="n">
        <v>0.01</v>
      </c>
      <c r="O171" s="80" t="n">
        <v>199.570007324219</v>
      </c>
      <c r="P171" s="47" t="n">
        <v>2</v>
      </c>
      <c r="Q171" s="66" t="s">
        <v>409</v>
      </c>
    </row>
    <row r="172" customFormat="false" ht="15" hidden="false" customHeight="false" outlineLevel="0" collapsed="false">
      <c r="A172" s="76" t="s">
        <v>172</v>
      </c>
      <c r="B172" s="76" t="s">
        <v>337</v>
      </c>
      <c r="C172" s="77" t="n">
        <v>2026</v>
      </c>
      <c r="D172" s="77" t="n">
        <v>4</v>
      </c>
      <c r="E172" s="78" t="n">
        <v>46053</v>
      </c>
      <c r="F172" s="76" t="s">
        <v>210</v>
      </c>
      <c r="G172" s="76" t="s">
        <v>211</v>
      </c>
      <c r="H172" s="76" t="s">
        <v>212</v>
      </c>
      <c r="I172" s="79" t="n">
        <v>68127</v>
      </c>
      <c r="J172" s="79" t="n">
        <v>51093</v>
      </c>
      <c r="K172" s="80" t="n">
        <v>1.62</v>
      </c>
      <c r="L172" s="79" t="n">
        <v>24432</v>
      </c>
      <c r="M172" s="79" t="n">
        <v>157293</v>
      </c>
      <c r="N172" s="80" t="n">
        <v>0.01</v>
      </c>
      <c r="O172" s="80" t="n">
        <v>191.130004882813</v>
      </c>
      <c r="P172" s="47" t="n">
        <v>3</v>
      </c>
      <c r="Q172" s="66" t="s">
        <v>410</v>
      </c>
    </row>
    <row r="173" customFormat="false" ht="15" hidden="false" customHeight="false" outlineLevel="0" collapsed="false">
      <c r="A173" s="76" t="s">
        <v>172</v>
      </c>
      <c r="B173" s="76" t="s">
        <v>260</v>
      </c>
      <c r="C173" s="77" t="n">
        <v>2026</v>
      </c>
      <c r="D173" s="77" t="n">
        <v>3</v>
      </c>
      <c r="E173" s="78" t="n">
        <v>45961</v>
      </c>
      <c r="F173" s="76" t="s">
        <v>210</v>
      </c>
      <c r="G173" s="76" t="s">
        <v>211</v>
      </c>
      <c r="H173" s="76" t="s">
        <v>212</v>
      </c>
      <c r="I173" s="79" t="n">
        <v>57006</v>
      </c>
      <c r="J173" s="79" t="n">
        <v>41849</v>
      </c>
      <c r="K173" s="80" t="n">
        <v>1.3</v>
      </c>
      <c r="L173" s="79" t="n">
        <v>24483</v>
      </c>
      <c r="M173" s="79" t="n">
        <v>118897</v>
      </c>
      <c r="N173" s="80" t="n">
        <v>0.01</v>
      </c>
      <c r="O173" s="80" t="n">
        <v>202.490005493164</v>
      </c>
      <c r="P173" s="47" t="n">
        <v>4</v>
      </c>
      <c r="Q173" s="66" t="s">
        <v>411</v>
      </c>
    </row>
    <row r="174" customFormat="false" ht="15" hidden="false" customHeight="false" outlineLevel="0" collapsed="false">
      <c r="A174" s="76" t="s">
        <v>172</v>
      </c>
      <c r="B174" s="76" t="s">
        <v>209</v>
      </c>
      <c r="C174" s="77" t="n">
        <v>2026</v>
      </c>
      <c r="D174" s="77" t="n">
        <v>2</v>
      </c>
      <c r="E174" s="78" t="n">
        <v>45869</v>
      </c>
      <c r="F174" s="76" t="s">
        <v>210</v>
      </c>
      <c r="G174" s="76" t="s">
        <v>211</v>
      </c>
      <c r="H174" s="76" t="s">
        <v>212</v>
      </c>
      <c r="I174" s="79" t="n">
        <v>46743</v>
      </c>
      <c r="J174" s="79" t="n">
        <v>33853</v>
      </c>
      <c r="K174" s="80" t="n">
        <v>1.05</v>
      </c>
      <c r="L174" s="79" t="n">
        <v>24532</v>
      </c>
      <c r="M174" s="79" t="n">
        <v>100131</v>
      </c>
      <c r="N174" s="80" t="n">
        <v>0.01</v>
      </c>
      <c r="O174" s="80" t="n">
        <v>177.869995117188</v>
      </c>
      <c r="P174" s="47" t="n">
        <v>5</v>
      </c>
      <c r="Q174" s="66" t="s">
        <v>412</v>
      </c>
    </row>
    <row r="175" customFormat="false" ht="15" hidden="false" customHeight="false" outlineLevel="0" collapsed="false">
      <c r="A175" s="76" t="s">
        <v>172</v>
      </c>
      <c r="B175" s="76" t="s">
        <v>214</v>
      </c>
      <c r="C175" s="77" t="n">
        <v>2026</v>
      </c>
      <c r="D175" s="77" t="n">
        <v>1</v>
      </c>
      <c r="E175" s="78" t="n">
        <v>45777</v>
      </c>
      <c r="F175" s="76" t="s">
        <v>210</v>
      </c>
      <c r="G175" s="76" t="s">
        <v>211</v>
      </c>
      <c r="H175" s="76" t="s">
        <v>212</v>
      </c>
      <c r="I175" s="79" t="n">
        <v>44062</v>
      </c>
      <c r="J175" s="79" t="n">
        <v>26668</v>
      </c>
      <c r="K175" s="80" t="n">
        <v>0.81</v>
      </c>
      <c r="L175" s="79" t="n">
        <v>24611</v>
      </c>
      <c r="M175" s="79" t="n">
        <v>83843</v>
      </c>
      <c r="N175" s="80" t="n">
        <v>0.01</v>
      </c>
      <c r="O175" s="80" t="n">
        <v>108.919998168945</v>
      </c>
      <c r="P175" s="47" t="n">
        <v>6</v>
      </c>
      <c r="Q175" s="66" t="s">
        <v>413</v>
      </c>
    </row>
    <row r="176" customFormat="false" ht="15" hidden="false" customHeight="false" outlineLevel="0" collapsed="false">
      <c r="A176" s="76" t="s">
        <v>172</v>
      </c>
      <c r="B176" s="76" t="s">
        <v>216</v>
      </c>
      <c r="C176" s="77" t="n">
        <v>2025</v>
      </c>
      <c r="D176" s="77" t="n">
        <v>4</v>
      </c>
      <c r="E176" s="78" t="n">
        <v>45688</v>
      </c>
      <c r="F176" s="76" t="s">
        <v>210</v>
      </c>
      <c r="G176" s="76" t="s">
        <v>211</v>
      </c>
      <c r="H176" s="76" t="s">
        <v>212</v>
      </c>
      <c r="I176" s="79" t="n">
        <v>39331</v>
      </c>
      <c r="J176" s="79" t="n">
        <v>28723</v>
      </c>
      <c r="K176" s="80" t="n">
        <v>0.89</v>
      </c>
      <c r="L176" s="79"/>
      <c r="M176" s="79" t="n">
        <v>79327</v>
      </c>
      <c r="N176" s="80" t="n">
        <v>0.01</v>
      </c>
      <c r="O176" s="80" t="n">
        <v>120.069999694824</v>
      </c>
      <c r="P176" s="47" t="n">
        <v>7</v>
      </c>
      <c r="Q176" s="66" t="s">
        <v>414</v>
      </c>
    </row>
    <row r="177" customFormat="false" ht="15" hidden="false" customHeight="false" outlineLevel="0" collapsed="false">
      <c r="A177" s="76" t="s">
        <v>172</v>
      </c>
      <c r="B177" s="76" t="s">
        <v>218</v>
      </c>
      <c r="C177" s="77" t="n">
        <v>2025</v>
      </c>
      <c r="D177" s="77" t="n">
        <v>3</v>
      </c>
      <c r="E177" s="78" t="n">
        <v>45596</v>
      </c>
      <c r="F177" s="76" t="s">
        <v>210</v>
      </c>
      <c r="G177" s="76" t="s">
        <v>211</v>
      </c>
      <c r="H177" s="76" t="s">
        <v>212</v>
      </c>
      <c r="I177" s="79" t="n">
        <v>35082</v>
      </c>
      <c r="J177" s="79" t="n">
        <v>26156</v>
      </c>
      <c r="K177" s="80" t="n">
        <v>0.81</v>
      </c>
      <c r="L177" s="79" t="n">
        <v>24774</v>
      </c>
      <c r="M177" s="79" t="n">
        <v>65899</v>
      </c>
      <c r="N177" s="80" t="n">
        <v>0.01</v>
      </c>
      <c r="O177" s="80" t="n">
        <v>132.759994506836</v>
      </c>
      <c r="P177" s="47" t="n">
        <v>8</v>
      </c>
      <c r="Q177" s="66" t="s">
        <v>415</v>
      </c>
    </row>
    <row r="178" customFormat="false" ht="15" hidden="false" customHeight="false" outlineLevel="0" collapsed="false">
      <c r="A178" s="76" t="s">
        <v>172</v>
      </c>
      <c r="B178" s="76" t="s">
        <v>220</v>
      </c>
      <c r="C178" s="77" t="n">
        <v>2025</v>
      </c>
      <c r="D178" s="77" t="n">
        <v>2</v>
      </c>
      <c r="E178" s="78" t="n">
        <v>45501</v>
      </c>
      <c r="F178" s="76" t="s">
        <v>210</v>
      </c>
      <c r="G178" s="76" t="s">
        <v>211</v>
      </c>
      <c r="H178" s="76" t="s">
        <v>212</v>
      </c>
      <c r="I178" s="79" t="n">
        <v>30040</v>
      </c>
      <c r="J178" s="79" t="n">
        <v>22574</v>
      </c>
      <c r="K178" s="80"/>
      <c r="L178" s="79" t="n">
        <v>24848</v>
      </c>
      <c r="M178" s="79" t="n">
        <v>58157</v>
      </c>
      <c r="N178" s="80" t="n">
        <v>0.01</v>
      </c>
      <c r="O178" s="80" t="n">
        <v>113.059997558594</v>
      </c>
      <c r="P178" s="47" t="n">
        <v>9</v>
      </c>
      <c r="Q178" s="66" t="s">
        <v>416</v>
      </c>
    </row>
    <row r="179" customFormat="false" ht="15" hidden="false" customHeight="false" outlineLevel="0" collapsed="false">
      <c r="A179" s="76" t="s">
        <v>172</v>
      </c>
      <c r="B179" s="76" t="s">
        <v>222</v>
      </c>
      <c r="C179" s="77" t="n">
        <v>2025</v>
      </c>
      <c r="D179" s="77" t="n">
        <v>1</v>
      </c>
      <c r="E179" s="78" t="n">
        <v>45410</v>
      </c>
      <c r="F179" s="76" t="s">
        <v>210</v>
      </c>
      <c r="G179" s="76" t="s">
        <v>211</v>
      </c>
      <c r="H179" s="76" t="s">
        <v>212</v>
      </c>
      <c r="I179" s="79" t="n">
        <v>26044</v>
      </c>
      <c r="J179" s="79" t="n">
        <v>20406</v>
      </c>
      <c r="K179" s="80"/>
      <c r="L179" s="79" t="n">
        <v>24890</v>
      </c>
      <c r="M179" s="79" t="n">
        <v>49142</v>
      </c>
      <c r="N179" s="80"/>
      <c r="O179" s="80" t="n">
        <v>87.7350006103516</v>
      </c>
      <c r="P179" s="47" t="n">
        <v>10</v>
      </c>
      <c r="Q179" s="66" t="s">
        <v>417</v>
      </c>
    </row>
    <row r="180" customFormat="false" ht="15" hidden="false" customHeight="false" outlineLevel="0" collapsed="false">
      <c r="A180" s="76" t="s">
        <v>172</v>
      </c>
      <c r="B180" s="76" t="s">
        <v>224</v>
      </c>
      <c r="C180" s="77" t="n">
        <v>2024</v>
      </c>
      <c r="D180" s="77" t="n">
        <v>4</v>
      </c>
      <c r="E180" s="78" t="n">
        <v>45322</v>
      </c>
      <c r="F180" s="76" t="s">
        <v>210</v>
      </c>
      <c r="G180" s="76" t="s">
        <v>211</v>
      </c>
      <c r="H180" s="76" t="s">
        <v>212</v>
      </c>
      <c r="I180" s="79" t="n">
        <v>22103</v>
      </c>
      <c r="J180" s="79" t="n">
        <v>16791</v>
      </c>
      <c r="K180" s="80" t="n">
        <v>0.52</v>
      </c>
      <c r="L180" s="79" t="n">
        <v>24940</v>
      </c>
      <c r="M180" s="79" t="n">
        <v>42978</v>
      </c>
      <c r="N180" s="80" t="n">
        <v>0.004</v>
      </c>
      <c r="O180" s="80" t="n">
        <v>61.5270004272461</v>
      </c>
      <c r="P180" s="47" t="n">
        <v>11</v>
      </c>
      <c r="Q180" s="66" t="s">
        <v>418</v>
      </c>
    </row>
    <row r="181" customFormat="false" ht="15" hidden="false" customHeight="false" outlineLevel="0" collapsed="false">
      <c r="A181" s="76" t="s">
        <v>172</v>
      </c>
      <c r="B181" s="76" t="s">
        <v>226</v>
      </c>
      <c r="C181" s="77" t="n">
        <v>2024</v>
      </c>
      <c r="D181" s="77" t="n">
        <v>3</v>
      </c>
      <c r="E181" s="78" t="n">
        <v>45230</v>
      </c>
      <c r="F181" s="76" t="s">
        <v>210</v>
      </c>
      <c r="G181" s="76" t="s">
        <v>211</v>
      </c>
      <c r="H181" s="76" t="s">
        <v>212</v>
      </c>
      <c r="I181" s="79" t="n">
        <v>18120</v>
      </c>
      <c r="J181" s="79" t="n">
        <v>13400</v>
      </c>
      <c r="K181" s="80" t="n">
        <v>0.4</v>
      </c>
      <c r="L181" s="79" t="n">
        <v>24897.5</v>
      </c>
      <c r="M181" s="79" t="n">
        <v>33265</v>
      </c>
      <c r="N181" s="80" t="n">
        <v>0.004</v>
      </c>
      <c r="O181" s="80" t="n">
        <v>40.7799987792969</v>
      </c>
      <c r="P181" s="47" t="n">
        <v>12</v>
      </c>
      <c r="Q181" s="66" t="s">
        <v>419</v>
      </c>
    </row>
    <row r="182" customFormat="false" ht="15" hidden="false" customHeight="false" outlineLevel="0" collapsed="false">
      <c r="A182" s="76" t="s">
        <v>172</v>
      </c>
      <c r="B182" s="76" t="s">
        <v>228</v>
      </c>
      <c r="C182" s="77" t="n">
        <v>2024</v>
      </c>
      <c r="D182" s="77" t="n">
        <v>2</v>
      </c>
      <c r="E182" s="78" t="n">
        <v>45138</v>
      </c>
      <c r="F182" s="76" t="s">
        <v>210</v>
      </c>
      <c r="G182" s="76" t="s">
        <v>211</v>
      </c>
      <c r="H182" s="76" t="s">
        <v>212</v>
      </c>
      <c r="I182" s="79" t="n">
        <v>13507</v>
      </c>
      <c r="J182" s="79" t="n">
        <v>9462</v>
      </c>
      <c r="K182" s="80" t="n">
        <v>0.27</v>
      </c>
      <c r="L182" s="79" t="n">
        <v>24994</v>
      </c>
      <c r="M182" s="79" t="n">
        <v>27501</v>
      </c>
      <c r="N182" s="80" t="n">
        <v>0.004</v>
      </c>
      <c r="O182" s="80" t="n">
        <v>46.7290000915527</v>
      </c>
      <c r="P182" s="47" t="n">
        <v>13</v>
      </c>
      <c r="Q182" s="66" t="s">
        <v>420</v>
      </c>
    </row>
    <row r="183" customFormat="false" ht="15" hidden="false" customHeight="false" outlineLevel="0" collapsed="false">
      <c r="A183" s="76" t="s">
        <v>172</v>
      </c>
      <c r="B183" s="76" t="s">
        <v>230</v>
      </c>
      <c r="C183" s="77" t="n">
        <v>2024</v>
      </c>
      <c r="D183" s="77" t="n">
        <v>1</v>
      </c>
      <c r="E183" s="78" t="n">
        <v>45046</v>
      </c>
      <c r="F183" s="76" t="s">
        <v>210</v>
      </c>
      <c r="G183" s="76" t="s">
        <v>211</v>
      </c>
      <c r="H183" s="76" t="s">
        <v>212</v>
      </c>
      <c r="I183" s="79" t="n">
        <v>7192</v>
      </c>
      <c r="J183" s="79" t="n">
        <v>4648</v>
      </c>
      <c r="K183" s="80" t="n">
        <v>0.11</v>
      </c>
      <c r="L183" s="79" t="n">
        <v>24900</v>
      </c>
      <c r="M183" s="79" t="n">
        <v>24520</v>
      </c>
      <c r="N183" s="80" t="n">
        <v>0.004</v>
      </c>
      <c r="O183" s="80" t="n">
        <v>27.7490005493164</v>
      </c>
      <c r="P183" s="47" t="n">
        <v>14</v>
      </c>
      <c r="Q183" s="66" t="s">
        <v>421</v>
      </c>
    </row>
    <row r="184" customFormat="false" ht="15" hidden="false" customHeight="false" outlineLevel="0" collapsed="false">
      <c r="A184" s="76" t="s">
        <v>172</v>
      </c>
      <c r="B184" s="76" t="s">
        <v>232</v>
      </c>
      <c r="C184" s="77" t="n">
        <v>2023</v>
      </c>
      <c r="D184" s="77" t="n">
        <v>4</v>
      </c>
      <c r="E184" s="78" t="n">
        <v>44957</v>
      </c>
      <c r="F184" s="76" t="s">
        <v>210</v>
      </c>
      <c r="G184" s="76" t="s">
        <v>211</v>
      </c>
      <c r="H184" s="76" t="s">
        <v>212</v>
      </c>
      <c r="I184" s="79" t="n">
        <v>6051</v>
      </c>
      <c r="J184" s="79" t="n">
        <v>3833</v>
      </c>
      <c r="K184" s="80" t="n">
        <v>0.09</v>
      </c>
      <c r="L184" s="79"/>
      <c r="M184" s="79" t="n">
        <v>22101</v>
      </c>
      <c r="N184" s="80" t="n">
        <v>0.004</v>
      </c>
      <c r="O184" s="80" t="n">
        <v>19.5370006561279</v>
      </c>
      <c r="P184" s="47" t="n">
        <v>15</v>
      </c>
      <c r="Q184" s="66" t="s">
        <v>422</v>
      </c>
    </row>
    <row r="185" customFormat="false" ht="15" hidden="false" customHeight="false" outlineLevel="0" collapsed="false">
      <c r="A185" s="76" t="s">
        <v>172</v>
      </c>
      <c r="B185" s="76" t="s">
        <v>234</v>
      </c>
      <c r="C185" s="77" t="n">
        <v>2023</v>
      </c>
      <c r="D185" s="77" t="n">
        <v>3</v>
      </c>
      <c r="E185" s="78" t="n">
        <v>44865</v>
      </c>
      <c r="F185" s="76" t="s">
        <v>210</v>
      </c>
      <c r="G185" s="76" t="s">
        <v>211</v>
      </c>
      <c r="H185" s="76" t="s">
        <v>212</v>
      </c>
      <c r="I185" s="79" t="n">
        <v>5931</v>
      </c>
      <c r="J185" s="79" t="n">
        <v>3177</v>
      </c>
      <c r="K185" s="80" t="n">
        <v>0.06</v>
      </c>
      <c r="L185" s="79" t="n">
        <v>24990</v>
      </c>
      <c r="M185" s="79" t="n">
        <v>21349</v>
      </c>
      <c r="N185" s="80" t="n">
        <v>0.004</v>
      </c>
      <c r="O185" s="80" t="n">
        <v>13.4969997406006</v>
      </c>
      <c r="P185" s="47" t="n">
        <v>16</v>
      </c>
      <c r="Q185" s="66" t="s">
        <v>423</v>
      </c>
    </row>
    <row r="186" customFormat="false" ht="15" hidden="false" customHeight="false" outlineLevel="0" collapsed="false">
      <c r="A186" s="76" t="s">
        <v>172</v>
      </c>
      <c r="B186" s="76" t="s">
        <v>236</v>
      </c>
      <c r="C186" s="77" t="n">
        <v>2023</v>
      </c>
      <c r="D186" s="77" t="n">
        <v>2</v>
      </c>
      <c r="E186" s="78" t="n">
        <v>44773</v>
      </c>
      <c r="F186" s="76" t="s">
        <v>210</v>
      </c>
      <c r="G186" s="76" t="s">
        <v>211</v>
      </c>
      <c r="H186" s="76" t="s">
        <v>212</v>
      </c>
      <c r="I186" s="79" t="n">
        <v>6704</v>
      </c>
      <c r="J186" s="79" t="n">
        <v>2915</v>
      </c>
      <c r="K186" s="80" t="n">
        <v>0.05</v>
      </c>
      <c r="L186" s="79" t="n">
        <v>25160</v>
      </c>
      <c r="M186" s="79" t="n">
        <v>23851</v>
      </c>
      <c r="N186" s="80" t="n">
        <v>0.004</v>
      </c>
      <c r="O186" s="80" t="n">
        <v>18.1630001068115</v>
      </c>
      <c r="P186" s="47" t="n">
        <v>17</v>
      </c>
      <c r="Q186" s="66" t="s">
        <v>424</v>
      </c>
    </row>
    <row r="187" customFormat="false" ht="15" hidden="false" customHeight="false" outlineLevel="0" collapsed="false">
      <c r="A187" s="76" t="s">
        <v>172</v>
      </c>
      <c r="B187" s="76" t="s">
        <v>238</v>
      </c>
      <c r="C187" s="77" t="n">
        <v>2023</v>
      </c>
      <c r="D187" s="77" t="n">
        <v>1</v>
      </c>
      <c r="E187" s="78" t="n">
        <v>44681</v>
      </c>
      <c r="F187" s="76" t="s">
        <v>210</v>
      </c>
      <c r="G187" s="76" t="s">
        <v>211</v>
      </c>
      <c r="H187" s="76" t="s">
        <v>212</v>
      </c>
      <c r="I187" s="79" t="n">
        <v>8288</v>
      </c>
      <c r="J187" s="79" t="n">
        <v>5431</v>
      </c>
      <c r="K187" s="80" t="n">
        <v>0.14</v>
      </c>
      <c r="L187" s="79" t="n">
        <v>25370</v>
      </c>
      <c r="M187" s="79" t="n">
        <v>26320</v>
      </c>
      <c r="N187" s="80" t="n">
        <v>0.004</v>
      </c>
      <c r="O187" s="80" t="n">
        <v>18.5470008850098</v>
      </c>
      <c r="P187" s="47" t="n">
        <v>18</v>
      </c>
      <c r="Q187" s="66" t="s">
        <v>425</v>
      </c>
    </row>
    <row r="188" customFormat="false" ht="15" hidden="false" customHeight="false" outlineLevel="0" collapsed="false">
      <c r="A188" s="76" t="s">
        <v>172</v>
      </c>
      <c r="B188" s="76" t="s">
        <v>240</v>
      </c>
      <c r="C188" s="77" t="n">
        <v>2022</v>
      </c>
      <c r="D188" s="77" t="n">
        <v>4</v>
      </c>
      <c r="E188" s="78" t="n">
        <v>44592</v>
      </c>
      <c r="F188" s="76" t="s">
        <v>210</v>
      </c>
      <c r="G188" s="76" t="s">
        <v>211</v>
      </c>
      <c r="H188" s="76" t="s">
        <v>212</v>
      </c>
      <c r="I188" s="79" t="n">
        <v>7643</v>
      </c>
      <c r="J188" s="79" t="n">
        <v>4999</v>
      </c>
      <c r="K188" s="80" t="n">
        <v>0.13</v>
      </c>
      <c r="L188" s="79"/>
      <c r="M188" s="79" t="n">
        <v>26612</v>
      </c>
      <c r="N188" s="80" t="n">
        <v>0.004</v>
      </c>
      <c r="O188" s="80" t="n">
        <v>24.4860000610352</v>
      </c>
      <c r="P188" s="47" t="n">
        <v>19</v>
      </c>
      <c r="Q188" s="66" t="s">
        <v>426</v>
      </c>
    </row>
    <row r="189" customFormat="false" ht="15" hidden="false" customHeight="false" outlineLevel="0" collapsed="false">
      <c r="A189" s="76" t="s">
        <v>172</v>
      </c>
      <c r="B189" s="76" t="s">
        <v>242</v>
      </c>
      <c r="C189" s="77" t="n">
        <v>2022</v>
      </c>
      <c r="D189" s="77" t="n">
        <v>3</v>
      </c>
      <c r="E189" s="78" t="n">
        <v>44500</v>
      </c>
      <c r="F189" s="76" t="s">
        <v>210</v>
      </c>
      <c r="G189" s="76" t="s">
        <v>211</v>
      </c>
      <c r="H189" s="76" t="s">
        <v>212</v>
      </c>
      <c r="I189" s="79" t="n">
        <v>7103</v>
      </c>
      <c r="J189" s="79" t="n">
        <v>4631</v>
      </c>
      <c r="K189" s="80" t="n">
        <v>0.12</v>
      </c>
      <c r="L189" s="79" t="n">
        <v>25380</v>
      </c>
      <c r="M189" s="79" t="n">
        <v>23798</v>
      </c>
      <c r="N189" s="80" t="n">
        <v>0.004</v>
      </c>
      <c r="O189" s="80" t="n">
        <v>25.5669994354248</v>
      </c>
      <c r="P189" s="47" t="n">
        <v>20</v>
      </c>
      <c r="Q189" s="66" t="s">
        <v>427</v>
      </c>
    </row>
    <row r="190" customFormat="false" ht="15" hidden="false" customHeight="false" outlineLevel="0" collapsed="false">
      <c r="A190" s="76" t="s">
        <v>172</v>
      </c>
      <c r="B190" s="76" t="s">
        <v>244</v>
      </c>
      <c r="C190" s="77" t="n">
        <v>2022</v>
      </c>
      <c r="D190" s="77" t="n">
        <v>2</v>
      </c>
      <c r="E190" s="78" t="n">
        <v>44408</v>
      </c>
      <c r="F190" s="76" t="s">
        <v>210</v>
      </c>
      <c r="G190" s="76" t="s">
        <v>211</v>
      </c>
      <c r="H190" s="76" t="s">
        <v>212</v>
      </c>
      <c r="I190" s="79" t="n">
        <v>6507</v>
      </c>
      <c r="J190" s="79" t="n">
        <v>4215</v>
      </c>
      <c r="K190" s="80" t="n">
        <v>0.1</v>
      </c>
      <c r="L190" s="79" t="n">
        <v>25320</v>
      </c>
      <c r="M190" s="79" t="n">
        <v>21147</v>
      </c>
      <c r="N190" s="80" t="n">
        <v>0.004</v>
      </c>
      <c r="O190" s="80" t="n">
        <v>19.4990005493164</v>
      </c>
      <c r="P190" s="47" t="n">
        <v>21</v>
      </c>
      <c r="Q190" s="66" t="s">
        <v>428</v>
      </c>
    </row>
    <row r="191" customFormat="false" ht="15" hidden="false" customHeight="false" outlineLevel="0" collapsed="false">
      <c r="A191" s="76" t="s">
        <v>172</v>
      </c>
      <c r="B191" s="76" t="s">
        <v>246</v>
      </c>
      <c r="C191" s="77" t="n">
        <v>2022</v>
      </c>
      <c r="D191" s="77" t="n">
        <v>1</v>
      </c>
      <c r="E191" s="78" t="n">
        <v>44316</v>
      </c>
      <c r="F191" s="76" t="s">
        <v>210</v>
      </c>
      <c r="G191" s="76" t="s">
        <v>211</v>
      </c>
      <c r="H191" s="76" t="s">
        <v>212</v>
      </c>
      <c r="I191" s="79" t="n">
        <v>5661</v>
      </c>
      <c r="J191" s="79" t="n">
        <v>3629</v>
      </c>
      <c r="K191" s="80" t="n">
        <v>0.09</v>
      </c>
      <c r="L191" s="79" t="n">
        <v>25280</v>
      </c>
      <c r="M191" s="79" t="n">
        <v>18774</v>
      </c>
      <c r="N191" s="80" t="n">
        <v>0.004</v>
      </c>
      <c r="O191" s="80" t="n">
        <v>15.0094995498657</v>
      </c>
      <c r="P191" s="47" t="n">
        <v>22</v>
      </c>
      <c r="Q191" s="66" t="s">
        <v>429</v>
      </c>
    </row>
    <row r="192" customFormat="false" ht="15" hidden="false" customHeight="false" outlineLevel="0" collapsed="false">
      <c r="A192" s="76" t="s">
        <v>172</v>
      </c>
      <c r="B192" s="76" t="s">
        <v>248</v>
      </c>
      <c r="C192" s="77" t="n">
        <v>2021</v>
      </c>
      <c r="D192" s="77" t="n">
        <v>4</v>
      </c>
      <c r="E192" s="78" t="n">
        <v>44227</v>
      </c>
      <c r="F192" s="76" t="s">
        <v>210</v>
      </c>
      <c r="G192" s="76" t="s">
        <v>211</v>
      </c>
      <c r="H192" s="76" t="s">
        <v>212</v>
      </c>
      <c r="I192" s="79" t="n">
        <v>5003</v>
      </c>
      <c r="J192" s="79" t="n">
        <v>3156</v>
      </c>
      <c r="K192" s="80" t="n">
        <v>0.08</v>
      </c>
      <c r="L192" s="79"/>
      <c r="M192" s="79" t="n">
        <v>16893</v>
      </c>
      <c r="N192" s="80" t="n">
        <v>0.004</v>
      </c>
      <c r="O192" s="80" t="n">
        <v>12.9897499084473</v>
      </c>
      <c r="P192" s="47" t="n">
        <v>23</v>
      </c>
      <c r="Q192" s="66" t="s">
        <v>430</v>
      </c>
    </row>
    <row r="193" customFormat="false" ht="15" hidden="false" customHeight="false" outlineLevel="0" collapsed="false">
      <c r="A193" s="76" t="s">
        <v>172</v>
      </c>
      <c r="B193" s="76" t="s">
        <v>250</v>
      </c>
      <c r="C193" s="77" t="n">
        <v>2021</v>
      </c>
      <c r="D193" s="77" t="n">
        <v>3</v>
      </c>
      <c r="E193" s="78" t="n">
        <v>44135</v>
      </c>
      <c r="F193" s="76" t="s">
        <v>210</v>
      </c>
      <c r="G193" s="76" t="s">
        <v>211</v>
      </c>
      <c r="H193" s="76" t="s">
        <v>212</v>
      </c>
      <c r="I193" s="79" t="n">
        <v>4726</v>
      </c>
      <c r="J193" s="79" t="n">
        <v>2960</v>
      </c>
      <c r="K193" s="80" t="n">
        <v>0.07</v>
      </c>
      <c r="L193" s="79" t="n">
        <v>25200</v>
      </c>
      <c r="M193" s="79" t="n">
        <v>15334</v>
      </c>
      <c r="N193" s="80" t="n">
        <v>0.004</v>
      </c>
      <c r="O193" s="80" t="n">
        <v>12.5340003967285</v>
      </c>
      <c r="P193" s="47" t="n">
        <v>24</v>
      </c>
      <c r="Q193" s="66" t="s">
        <v>431</v>
      </c>
    </row>
    <row r="194" customFormat="false" ht="15" hidden="false" customHeight="false" outlineLevel="0" collapsed="false">
      <c r="A194" s="76" t="s">
        <v>172</v>
      </c>
      <c r="B194" s="76" t="s">
        <v>252</v>
      </c>
      <c r="C194" s="77" t="n">
        <v>2021</v>
      </c>
      <c r="D194" s="77" t="n">
        <v>2</v>
      </c>
      <c r="E194" s="78" t="n">
        <v>44043</v>
      </c>
      <c r="F194" s="76" t="s">
        <v>210</v>
      </c>
      <c r="G194" s="76" t="s">
        <v>211</v>
      </c>
      <c r="H194" s="76" t="s">
        <v>212</v>
      </c>
      <c r="I194" s="79" t="n">
        <v>3866</v>
      </c>
      <c r="J194" s="79" t="n">
        <v>2275</v>
      </c>
      <c r="K194" s="80" t="n">
        <v>0.05</v>
      </c>
      <c r="L194" s="79" t="n">
        <v>25040</v>
      </c>
      <c r="M194" s="79" t="n">
        <v>13914</v>
      </c>
      <c r="N194" s="80"/>
      <c r="O194" s="80" t="n">
        <v>10.6147499084473</v>
      </c>
      <c r="P194" s="47" t="n">
        <v>25</v>
      </c>
      <c r="Q194" s="66" t="s">
        <v>432</v>
      </c>
    </row>
    <row r="195" customFormat="false" ht="15" hidden="false" customHeight="false" outlineLevel="0" collapsed="false">
      <c r="A195" s="76" t="s">
        <v>189</v>
      </c>
      <c r="B195" s="76" t="s">
        <v>209</v>
      </c>
      <c r="C195" s="77" t="n">
        <v>2026</v>
      </c>
      <c r="D195" s="77" t="n">
        <v>2</v>
      </c>
      <c r="E195" s="78" t="n">
        <v>46203</v>
      </c>
      <c r="F195" s="76" t="s">
        <v>210</v>
      </c>
      <c r="G195" s="76" t="s">
        <v>211</v>
      </c>
      <c r="H195" s="76" t="s">
        <v>212</v>
      </c>
      <c r="I195" s="79" t="n">
        <v>1328.99</v>
      </c>
      <c r="J195" s="79" t="n">
        <v>794.618</v>
      </c>
      <c r="K195" s="80" t="n">
        <v>2.47</v>
      </c>
      <c r="L195" s="79" t="n">
        <v>157.693</v>
      </c>
      <c r="M195" s="79" t="n">
        <v>3437.162</v>
      </c>
      <c r="N195" s="80" t="n">
        <v>0.13</v>
      </c>
      <c r="O195" s="80" t="n">
        <v>483.839996337891</v>
      </c>
      <c r="P195" s="47" t="n">
        <v>1</v>
      </c>
      <c r="Q195" s="66" t="s">
        <v>433</v>
      </c>
    </row>
    <row r="196" customFormat="false" ht="15" hidden="false" customHeight="false" outlineLevel="0" collapsed="false">
      <c r="A196" s="76" t="s">
        <v>189</v>
      </c>
      <c r="B196" s="76" t="s">
        <v>214</v>
      </c>
      <c r="C196" s="77" t="n">
        <v>2026</v>
      </c>
      <c r="D196" s="77" t="n">
        <v>1</v>
      </c>
      <c r="E196" s="78" t="n">
        <v>46112</v>
      </c>
      <c r="F196" s="76" t="s">
        <v>210</v>
      </c>
      <c r="G196" s="76" t="s">
        <v>211</v>
      </c>
      <c r="H196" s="76" t="s">
        <v>212</v>
      </c>
      <c r="I196" s="79" t="n">
        <v>1282.494</v>
      </c>
      <c r="J196" s="79" t="n">
        <v>780.949</v>
      </c>
      <c r="K196" s="80" t="n">
        <v>2.56</v>
      </c>
      <c r="L196" s="79" t="n">
        <v>157.636</v>
      </c>
      <c r="M196" s="79" t="n">
        <v>3143.816</v>
      </c>
      <c r="N196" s="80" t="n">
        <v>0.13</v>
      </c>
      <c r="O196" s="80" t="n">
        <v>296.459991455078</v>
      </c>
      <c r="P196" s="47" t="n">
        <v>2</v>
      </c>
      <c r="Q196" s="66" t="s">
        <v>434</v>
      </c>
    </row>
    <row r="197" customFormat="false" ht="15" hidden="false" customHeight="false" outlineLevel="0" collapsed="false">
      <c r="A197" s="76" t="s">
        <v>189</v>
      </c>
      <c r="B197" s="76" t="s">
        <v>216</v>
      </c>
      <c r="C197" s="77" t="n">
        <v>2025</v>
      </c>
      <c r="D197" s="77" t="n">
        <v>4</v>
      </c>
      <c r="E197" s="78" t="n">
        <v>46022</v>
      </c>
      <c r="F197" s="76" t="s">
        <v>210</v>
      </c>
      <c r="G197" s="76" t="s">
        <v>211</v>
      </c>
      <c r="H197" s="76" t="s">
        <v>212</v>
      </c>
      <c r="I197" s="79" t="n">
        <v>1083.337</v>
      </c>
      <c r="J197" s="79" t="n">
        <v>619.69</v>
      </c>
      <c r="K197" s="80" t="n">
        <v>1.8</v>
      </c>
      <c r="L197" s="79" t="n">
        <v>157.651</v>
      </c>
      <c r="M197" s="79" t="n">
        <v>2795.752</v>
      </c>
      <c r="N197" s="80" t="n">
        <v>0.12</v>
      </c>
      <c r="O197" s="80" t="n">
        <v>193.559997558594</v>
      </c>
      <c r="P197" s="47" t="n">
        <v>3</v>
      </c>
      <c r="Q197" s="66" t="s">
        <v>435</v>
      </c>
    </row>
    <row r="198" customFormat="false" ht="15" hidden="false" customHeight="false" outlineLevel="0" collapsed="false">
      <c r="A198" s="76" t="s">
        <v>189</v>
      </c>
      <c r="B198" s="76" t="s">
        <v>218</v>
      </c>
      <c r="C198" s="77" t="n">
        <v>2025</v>
      </c>
      <c r="D198" s="77" t="n">
        <v>3</v>
      </c>
      <c r="E198" s="78" t="n">
        <v>45930</v>
      </c>
      <c r="F198" s="76" t="s">
        <v>210</v>
      </c>
      <c r="G198" s="76" t="s">
        <v>211</v>
      </c>
      <c r="H198" s="76" t="s">
        <v>212</v>
      </c>
      <c r="I198" s="79" t="n">
        <v>769.21</v>
      </c>
      <c r="J198" s="79" t="n">
        <v>449.306</v>
      </c>
      <c r="K198" s="80" t="n">
        <v>0.85</v>
      </c>
      <c r="L198" s="79" t="n">
        <v>159.097</v>
      </c>
      <c r="M198" s="79" t="n">
        <v>2717.275</v>
      </c>
      <c r="N198" s="80" t="n">
        <v>0.12</v>
      </c>
      <c r="O198" s="80" t="n">
        <v>137.639999389648</v>
      </c>
      <c r="P198" s="47" t="n">
        <v>4</v>
      </c>
      <c r="Q198" s="66" t="s">
        <v>436</v>
      </c>
    </row>
    <row r="199" customFormat="false" ht="15" hidden="false" customHeight="false" outlineLevel="0" collapsed="false">
      <c r="A199" s="76" t="s">
        <v>189</v>
      </c>
      <c r="B199" s="76" t="s">
        <v>220</v>
      </c>
      <c r="C199" s="77" t="n">
        <v>2025</v>
      </c>
      <c r="D199" s="77" t="n">
        <v>2</v>
      </c>
      <c r="E199" s="78" t="n">
        <v>45838</v>
      </c>
      <c r="F199" s="76" t="s">
        <v>210</v>
      </c>
      <c r="G199" s="76" t="s">
        <v>211</v>
      </c>
      <c r="H199" s="76" t="s">
        <v>212</v>
      </c>
      <c r="I199" s="79" t="n">
        <v>651.797</v>
      </c>
      <c r="J199" s="79" t="n">
        <v>373.012</v>
      </c>
      <c r="K199" s="80" t="n">
        <v>0.57</v>
      </c>
      <c r="L199" s="79" t="n">
        <v>160.135</v>
      </c>
      <c r="M199" s="79" t="n">
        <v>2837.301</v>
      </c>
      <c r="N199" s="80" t="n">
        <v>0.12</v>
      </c>
      <c r="O199" s="80" t="n">
        <v>89.9199981689453</v>
      </c>
      <c r="P199" s="47" t="n">
        <v>5</v>
      </c>
      <c r="Q199" s="66" t="s">
        <v>437</v>
      </c>
    </row>
    <row r="200" customFormat="false" ht="15" hidden="false" customHeight="false" outlineLevel="0" collapsed="false">
      <c r="A200" s="76" t="s">
        <v>189</v>
      </c>
      <c r="B200" s="76" t="s">
        <v>222</v>
      </c>
      <c r="C200" s="77" t="n">
        <v>2025</v>
      </c>
      <c r="D200" s="77" t="n">
        <v>1</v>
      </c>
      <c r="E200" s="78" t="n">
        <v>45747</v>
      </c>
      <c r="F200" s="76" t="s">
        <v>210</v>
      </c>
      <c r="G200" s="76" t="s">
        <v>211</v>
      </c>
      <c r="H200" s="76" t="s">
        <v>212</v>
      </c>
      <c r="I200" s="79" t="n">
        <v>685.68</v>
      </c>
      <c r="J200" s="79" t="n">
        <v>415.336</v>
      </c>
      <c r="K200" s="80" t="n">
        <v>0.75</v>
      </c>
      <c r="L200" s="79" t="n">
        <v>163.226</v>
      </c>
      <c r="M200" s="79" t="n">
        <v>2797.499</v>
      </c>
      <c r="N200" s="80" t="n">
        <v>0.12</v>
      </c>
      <c r="O200" s="80" t="n">
        <v>82.5999984741211</v>
      </c>
      <c r="P200" s="47" t="n">
        <v>6</v>
      </c>
      <c r="Q200" s="66" t="s">
        <v>438</v>
      </c>
    </row>
    <row r="201" customFormat="false" ht="15" hidden="false" customHeight="false" outlineLevel="0" collapsed="false">
      <c r="A201" s="76" t="s">
        <v>189</v>
      </c>
      <c r="B201" s="76" t="s">
        <v>224</v>
      </c>
      <c r="C201" s="77" t="n">
        <v>2024</v>
      </c>
      <c r="D201" s="77" t="n">
        <v>4</v>
      </c>
      <c r="E201" s="78" t="n">
        <v>45657</v>
      </c>
      <c r="F201" s="76" t="s">
        <v>210</v>
      </c>
      <c r="G201" s="76" t="s">
        <v>211</v>
      </c>
      <c r="H201" s="76" t="s">
        <v>212</v>
      </c>
      <c r="I201" s="79" t="n">
        <v>752.884</v>
      </c>
      <c r="J201" s="79" t="n">
        <v>447.288</v>
      </c>
      <c r="K201" s="80" t="n">
        <v>0.95</v>
      </c>
      <c r="L201" s="79" t="n">
        <v>163.314</v>
      </c>
      <c r="M201" s="79" t="n">
        <v>2819.294</v>
      </c>
      <c r="N201" s="80" t="n">
        <v>0.12</v>
      </c>
      <c r="O201" s="80" t="n">
        <v>125.919998168945</v>
      </c>
      <c r="P201" s="47" t="n">
        <v>7</v>
      </c>
      <c r="Q201" s="66" t="s">
        <v>439</v>
      </c>
    </row>
    <row r="202" customFormat="false" ht="15" hidden="false" customHeight="false" outlineLevel="0" collapsed="false">
      <c r="A202" s="76" t="s">
        <v>189</v>
      </c>
      <c r="B202" s="76" t="s">
        <v>226</v>
      </c>
      <c r="C202" s="77" t="n">
        <v>2024</v>
      </c>
      <c r="D202" s="77" t="n">
        <v>3</v>
      </c>
      <c r="E202" s="78" t="n">
        <v>45565</v>
      </c>
      <c r="F202" s="76" t="s">
        <v>210</v>
      </c>
      <c r="G202" s="76" t="s">
        <v>211</v>
      </c>
      <c r="H202" s="76" t="s">
        <v>212</v>
      </c>
      <c r="I202" s="79" t="n">
        <v>737.298</v>
      </c>
      <c r="J202" s="79" t="n">
        <v>436.514</v>
      </c>
      <c r="K202" s="80" t="n">
        <v>0.9</v>
      </c>
      <c r="L202" s="79" t="n">
        <v>163.044</v>
      </c>
      <c r="M202" s="79" t="n">
        <v>2902.542</v>
      </c>
      <c r="N202" s="80" t="n">
        <v>0.12</v>
      </c>
      <c r="O202" s="80" t="n">
        <v>133.929992675781</v>
      </c>
      <c r="P202" s="47" t="n">
        <v>8</v>
      </c>
      <c r="Q202" s="66" t="s">
        <v>440</v>
      </c>
    </row>
    <row r="203" customFormat="false" ht="15" hidden="false" customHeight="false" outlineLevel="0" collapsed="false">
      <c r="A203" s="76" t="s">
        <v>189</v>
      </c>
      <c r="B203" s="76" t="s">
        <v>228</v>
      </c>
      <c r="C203" s="77" t="n">
        <v>2024</v>
      </c>
      <c r="D203" s="77" t="n">
        <v>2</v>
      </c>
      <c r="E203" s="78" t="n">
        <v>45473</v>
      </c>
      <c r="F203" s="76" t="s">
        <v>210</v>
      </c>
      <c r="G203" s="76" t="s">
        <v>211</v>
      </c>
      <c r="H203" s="76" t="s">
        <v>212</v>
      </c>
      <c r="I203" s="79" t="n">
        <v>729.879</v>
      </c>
      <c r="J203" s="79" t="n">
        <v>425.844</v>
      </c>
      <c r="K203" s="80" t="n">
        <v>0.86</v>
      </c>
      <c r="L203" s="79" t="n">
        <v>162.9935</v>
      </c>
      <c r="M203" s="79" t="n">
        <v>2730.812</v>
      </c>
      <c r="N203" s="80" t="n">
        <v>0.12</v>
      </c>
      <c r="O203" s="80" t="n">
        <v>148.289993286133</v>
      </c>
      <c r="P203" s="47" t="n">
        <v>9</v>
      </c>
      <c r="Q203" s="66" t="s">
        <v>441</v>
      </c>
    </row>
    <row r="204" customFormat="false" ht="15" hidden="false" customHeight="false" outlineLevel="0" collapsed="false">
      <c r="A204" s="76" t="s">
        <v>189</v>
      </c>
      <c r="B204" s="76" t="s">
        <v>230</v>
      </c>
      <c r="C204" s="77" t="n">
        <v>2024</v>
      </c>
      <c r="D204" s="77" t="n">
        <v>1</v>
      </c>
      <c r="E204" s="78" t="n">
        <v>45382</v>
      </c>
      <c r="F204" s="76" t="s">
        <v>210</v>
      </c>
      <c r="G204" s="76" t="s">
        <v>211</v>
      </c>
      <c r="H204" s="76" t="s">
        <v>212</v>
      </c>
      <c r="I204" s="79" t="n">
        <v>599.819</v>
      </c>
      <c r="J204" s="79" t="n">
        <v>339.282</v>
      </c>
      <c r="K204" s="80" t="n">
        <v>0.51</v>
      </c>
      <c r="L204" s="79" t="n">
        <v>163.314</v>
      </c>
      <c r="M204" s="79" t="n">
        <v>2557.829</v>
      </c>
      <c r="N204" s="80" t="n">
        <v>0.12</v>
      </c>
      <c r="O204" s="80" t="n">
        <v>112.830001831055</v>
      </c>
      <c r="P204" s="47" t="n">
        <v>10</v>
      </c>
      <c r="Q204" s="66" t="s">
        <v>442</v>
      </c>
    </row>
    <row r="205" customFormat="false" ht="15" hidden="false" customHeight="false" outlineLevel="0" collapsed="false">
      <c r="A205" s="76" t="s">
        <v>189</v>
      </c>
      <c r="B205" s="76" t="s">
        <v>232</v>
      </c>
      <c r="C205" s="77" t="n">
        <v>2023</v>
      </c>
      <c r="D205" s="77" t="n">
        <v>4</v>
      </c>
      <c r="E205" s="78" t="n">
        <v>45291</v>
      </c>
      <c r="F205" s="76" t="s">
        <v>210</v>
      </c>
      <c r="G205" s="76" t="s">
        <v>211</v>
      </c>
      <c r="H205" s="76" t="s">
        <v>212</v>
      </c>
      <c r="I205" s="79" t="n">
        <v>670.599</v>
      </c>
      <c r="J205" s="79" t="n">
        <v>379.544</v>
      </c>
      <c r="K205" s="80" t="n">
        <v>0.79</v>
      </c>
      <c r="L205" s="79" t="n">
        <v>164.304</v>
      </c>
      <c r="M205" s="79" t="n">
        <v>2525.897</v>
      </c>
      <c r="N205" s="80" t="n">
        <v>0.11</v>
      </c>
      <c r="O205" s="80" t="n">
        <v>108.519996643066</v>
      </c>
      <c r="P205" s="47" t="n">
        <v>11</v>
      </c>
      <c r="Q205" s="66" t="s">
        <v>443</v>
      </c>
    </row>
    <row r="206" customFormat="false" ht="15" hidden="false" customHeight="false" outlineLevel="0" collapsed="false">
      <c r="A206" s="76" t="s">
        <v>189</v>
      </c>
      <c r="B206" s="76" t="s">
        <v>234</v>
      </c>
      <c r="C206" s="77" t="n">
        <v>2023</v>
      </c>
      <c r="D206" s="77" t="n">
        <v>3</v>
      </c>
      <c r="E206" s="78" t="n">
        <v>45199</v>
      </c>
      <c r="F206" s="76" t="s">
        <v>210</v>
      </c>
      <c r="G206" s="76" t="s">
        <v>211</v>
      </c>
      <c r="H206" s="76" t="s">
        <v>212</v>
      </c>
      <c r="I206" s="79" t="n">
        <v>703.732</v>
      </c>
      <c r="J206" s="79" t="n">
        <v>398.291</v>
      </c>
      <c r="K206" s="80" t="n">
        <v>0.8</v>
      </c>
      <c r="L206" s="79" t="n">
        <v>166.41675</v>
      </c>
      <c r="M206" s="79" t="n">
        <v>2441.3</v>
      </c>
      <c r="N206" s="80" t="n">
        <v>0.11</v>
      </c>
      <c r="O206" s="80" t="n">
        <v>100.459999084473</v>
      </c>
      <c r="P206" s="47" t="n">
        <v>12</v>
      </c>
      <c r="Q206" s="66" t="s">
        <v>444</v>
      </c>
    </row>
    <row r="207" customFormat="false" ht="15" hidden="false" customHeight="false" outlineLevel="0" collapsed="false">
      <c r="A207" s="76" t="s">
        <v>189</v>
      </c>
      <c r="B207" s="76" t="s">
        <v>236</v>
      </c>
      <c r="C207" s="77" t="n">
        <v>2023</v>
      </c>
      <c r="D207" s="77" t="n">
        <v>2</v>
      </c>
      <c r="E207" s="78" t="n">
        <v>45107</v>
      </c>
      <c r="F207" s="76" t="s">
        <v>210</v>
      </c>
      <c r="G207" s="76" t="s">
        <v>211</v>
      </c>
      <c r="H207" s="76" t="s">
        <v>212</v>
      </c>
      <c r="I207" s="79" t="n">
        <v>684.437</v>
      </c>
      <c r="J207" s="79" t="n">
        <v>402.492</v>
      </c>
      <c r="K207" s="80" t="n">
        <v>0.79</v>
      </c>
      <c r="L207" s="79" t="n">
        <v>164.751</v>
      </c>
      <c r="M207" s="79" t="n">
        <v>2434.883</v>
      </c>
      <c r="N207" s="80" t="n">
        <v>0.11</v>
      </c>
      <c r="O207" s="80" t="n">
        <v>111.330001831055</v>
      </c>
      <c r="P207" s="47" t="n">
        <v>13</v>
      </c>
      <c r="Q207" s="66" t="s">
        <v>445</v>
      </c>
    </row>
    <row r="208" customFormat="false" ht="15" hidden="false" customHeight="false" outlineLevel="0" collapsed="false">
      <c r="A208" s="76" t="s">
        <v>189</v>
      </c>
      <c r="B208" s="76" t="s">
        <v>238</v>
      </c>
      <c r="C208" s="77" t="n">
        <v>2023</v>
      </c>
      <c r="D208" s="77" t="n">
        <v>1</v>
      </c>
      <c r="E208" s="78" t="n">
        <v>45016</v>
      </c>
      <c r="F208" s="76" t="s">
        <v>210</v>
      </c>
      <c r="G208" s="76" t="s">
        <v>211</v>
      </c>
      <c r="H208" s="76" t="s">
        <v>212</v>
      </c>
      <c r="I208" s="79" t="n">
        <v>617.529</v>
      </c>
      <c r="J208" s="79" t="n">
        <v>356.42</v>
      </c>
      <c r="K208" s="80" t="n">
        <v>0.55</v>
      </c>
      <c r="L208" s="79" t="n">
        <v>166.308</v>
      </c>
      <c r="M208" s="79" t="n">
        <v>2449.462</v>
      </c>
      <c r="N208" s="80" t="n">
        <v>0.11</v>
      </c>
      <c r="O208" s="80" t="n">
        <v>107.510002136231</v>
      </c>
      <c r="P208" s="47" t="n">
        <v>14</v>
      </c>
      <c r="Q208" s="66" t="s">
        <v>446</v>
      </c>
    </row>
    <row r="209" customFormat="false" ht="15" hidden="false" customHeight="false" outlineLevel="0" collapsed="false">
      <c r="A209" s="76" t="s">
        <v>189</v>
      </c>
      <c r="B209" s="76" t="s">
        <v>240</v>
      </c>
      <c r="C209" s="77" t="n">
        <v>2022</v>
      </c>
      <c r="D209" s="77" t="n">
        <v>4</v>
      </c>
      <c r="E209" s="78" t="n">
        <v>44926</v>
      </c>
      <c r="F209" s="76" t="s">
        <v>210</v>
      </c>
      <c r="G209" s="76" t="s">
        <v>211</v>
      </c>
      <c r="H209" s="76" t="s">
        <v>212</v>
      </c>
      <c r="I209" s="79" t="n">
        <v>731.836</v>
      </c>
      <c r="J209" s="79" t="n">
        <v>420.45</v>
      </c>
      <c r="K209" s="80" t="n">
        <v>0.92</v>
      </c>
      <c r="L209" s="79"/>
      <c r="M209" s="79" t="n">
        <v>2451.294</v>
      </c>
      <c r="N209" s="80" t="n">
        <v>0.11</v>
      </c>
      <c r="O209" s="80" t="n">
        <v>87.3499984741211</v>
      </c>
      <c r="P209" s="47" t="n">
        <v>15</v>
      </c>
      <c r="Q209" s="66" t="s">
        <v>447</v>
      </c>
    </row>
    <row r="210" customFormat="false" ht="15" hidden="false" customHeight="false" outlineLevel="0" collapsed="false">
      <c r="A210" s="76" t="s">
        <v>189</v>
      </c>
      <c r="B210" s="76" t="s">
        <v>242</v>
      </c>
      <c r="C210" s="77" t="n">
        <v>2022</v>
      </c>
      <c r="D210" s="77" t="n">
        <v>3</v>
      </c>
      <c r="E210" s="78" t="n">
        <v>44834</v>
      </c>
      <c r="F210" s="76" t="s">
        <v>210</v>
      </c>
      <c r="G210" s="76" t="s">
        <v>211</v>
      </c>
      <c r="H210" s="76" t="s">
        <v>212</v>
      </c>
      <c r="I210" s="79" t="n">
        <v>827.073</v>
      </c>
      <c r="J210" s="79" t="n">
        <v>485.379</v>
      </c>
      <c r="K210" s="80" t="n">
        <v>1.15</v>
      </c>
      <c r="L210" s="79" t="n">
        <v>0.166733</v>
      </c>
      <c r="M210" s="79" t="n">
        <v>2254.125</v>
      </c>
      <c r="N210" s="80" t="n">
        <v>0.11</v>
      </c>
      <c r="O210" s="80" t="n">
        <v>75.1500015258789</v>
      </c>
      <c r="P210" s="47" t="n">
        <v>16</v>
      </c>
      <c r="Q210" s="66" t="s">
        <v>448</v>
      </c>
    </row>
    <row r="211" customFormat="false" ht="15" hidden="false" customHeight="false" outlineLevel="0" collapsed="false">
      <c r="A211" s="76" t="s">
        <v>189</v>
      </c>
      <c r="B211" s="76" t="s">
        <v>244</v>
      </c>
      <c r="C211" s="77" t="n">
        <v>2022</v>
      </c>
      <c r="D211" s="77" t="n">
        <v>2</v>
      </c>
      <c r="E211" s="78" t="n">
        <v>44742</v>
      </c>
      <c r="F211" s="76" t="s">
        <v>210</v>
      </c>
      <c r="G211" s="76" t="s">
        <v>211</v>
      </c>
      <c r="H211" s="76" t="s">
        <v>212</v>
      </c>
      <c r="I211" s="79" t="n">
        <v>840.766</v>
      </c>
      <c r="J211" s="79" t="n">
        <v>506.389</v>
      </c>
      <c r="K211" s="80" t="n">
        <v>1.21</v>
      </c>
      <c r="L211" s="79" t="n">
        <v>171.159</v>
      </c>
      <c r="M211" s="79" t="n">
        <v>2298.596</v>
      </c>
      <c r="N211" s="80" t="n">
        <v>0.11</v>
      </c>
      <c r="O211" s="80" t="n">
        <v>89.5500030517578</v>
      </c>
      <c r="P211" s="47" t="n">
        <v>17</v>
      </c>
      <c r="Q211" s="66" t="s">
        <v>449</v>
      </c>
    </row>
    <row r="212" customFormat="false" ht="15" hidden="false" customHeight="false" outlineLevel="0" collapsed="false">
      <c r="A212" s="76" t="s">
        <v>189</v>
      </c>
      <c r="B212" s="76" t="s">
        <v>246</v>
      </c>
      <c r="C212" s="77" t="n">
        <v>2022</v>
      </c>
      <c r="D212" s="77" t="n">
        <v>1</v>
      </c>
      <c r="E212" s="78" t="n">
        <v>44651</v>
      </c>
      <c r="F212" s="76" t="s">
        <v>210</v>
      </c>
      <c r="G212" s="76" t="s">
        <v>211</v>
      </c>
      <c r="H212" s="76" t="s">
        <v>212</v>
      </c>
      <c r="I212" s="79" t="n">
        <v>755.37</v>
      </c>
      <c r="J212" s="79" t="n">
        <v>454.933</v>
      </c>
      <c r="K212" s="80" t="n">
        <v>0.98</v>
      </c>
      <c r="L212" s="79" t="n">
        <v>175.575</v>
      </c>
      <c r="M212" s="79" t="n">
        <v>2474.532</v>
      </c>
      <c r="N212" s="80" t="n">
        <v>0.11</v>
      </c>
      <c r="O212" s="80" t="n">
        <v>118.230003356934</v>
      </c>
      <c r="P212" s="47" t="n">
        <v>18</v>
      </c>
      <c r="Q212" s="66" t="s">
        <v>450</v>
      </c>
    </row>
    <row r="213" customFormat="false" ht="15" hidden="false" customHeight="false" outlineLevel="0" collapsed="false">
      <c r="A213" s="76" t="s">
        <v>189</v>
      </c>
      <c r="B213" s="76" t="s">
        <v>248</v>
      </c>
      <c r="C213" s="77" t="n">
        <v>2021</v>
      </c>
      <c r="D213" s="77" t="n">
        <v>4</v>
      </c>
      <c r="E213" s="78" t="n">
        <v>44561</v>
      </c>
      <c r="F213" s="76" t="s">
        <v>210</v>
      </c>
      <c r="G213" s="76" t="s">
        <v>211</v>
      </c>
      <c r="H213" s="76" t="s">
        <v>212</v>
      </c>
      <c r="I213" s="79" t="n">
        <v>885.046</v>
      </c>
      <c r="J213" s="79" t="n">
        <v>527.048</v>
      </c>
      <c r="K213" s="80" t="n">
        <v>1.37</v>
      </c>
      <c r="L213" s="79"/>
      <c r="M213" s="79" t="n">
        <v>2563.956</v>
      </c>
      <c r="N213" s="80" t="n">
        <v>0.1</v>
      </c>
      <c r="O213" s="80" t="n">
        <v>163.529998779297</v>
      </c>
      <c r="P213" s="47" t="n">
        <v>19</v>
      </c>
      <c r="Q213" s="66" t="s">
        <v>451</v>
      </c>
    </row>
    <row r="214" customFormat="false" ht="15" hidden="false" customHeight="false" outlineLevel="0" collapsed="false">
      <c r="A214" s="76" t="s">
        <v>189</v>
      </c>
      <c r="B214" s="76" t="s">
        <v>250</v>
      </c>
      <c r="C214" s="77" t="n">
        <v>2021</v>
      </c>
      <c r="D214" s="77" t="n">
        <v>3</v>
      </c>
      <c r="E214" s="78" t="n">
        <v>44469</v>
      </c>
      <c r="F214" s="76" t="s">
        <v>210</v>
      </c>
      <c r="G214" s="76" t="s">
        <v>211</v>
      </c>
      <c r="H214" s="76" t="s">
        <v>212</v>
      </c>
      <c r="I214" s="79" t="n">
        <v>950.501</v>
      </c>
      <c r="J214" s="79" t="n">
        <v>571.001</v>
      </c>
      <c r="K214" s="80" t="n">
        <v>1.59</v>
      </c>
      <c r="L214" s="79" t="n">
        <v>181.987</v>
      </c>
      <c r="M214" s="79" t="n">
        <v>2540.374</v>
      </c>
      <c r="N214" s="80" t="n">
        <v>0.1</v>
      </c>
      <c r="O214" s="80" t="n">
        <v>109.169998168945</v>
      </c>
      <c r="P214" s="47" t="n">
        <v>20</v>
      </c>
      <c r="Q214" s="66" t="s">
        <v>452</v>
      </c>
    </row>
    <row r="215" customFormat="false" ht="15" hidden="false" customHeight="false" outlineLevel="0" collapsed="false">
      <c r="A215" s="76" t="s">
        <v>189</v>
      </c>
      <c r="B215" s="76" t="s">
        <v>252</v>
      </c>
      <c r="C215" s="77" t="n">
        <v>2021</v>
      </c>
      <c r="D215" s="77" t="n">
        <v>2</v>
      </c>
      <c r="E215" s="78" t="n">
        <v>44377</v>
      </c>
      <c r="F215" s="76" t="s">
        <v>210</v>
      </c>
      <c r="G215" s="76" t="s">
        <v>211</v>
      </c>
      <c r="H215" s="76" t="s">
        <v>212</v>
      </c>
      <c r="I215" s="79" t="n">
        <v>1085.728</v>
      </c>
      <c r="J215" s="79" t="n">
        <v>646.989</v>
      </c>
      <c r="K215" s="80" t="n">
        <v>1.91</v>
      </c>
      <c r="L215" s="79" t="n">
        <v>186.75</v>
      </c>
      <c r="M215" s="79" t="n">
        <v>2514.642</v>
      </c>
      <c r="N215" s="80" t="n">
        <v>0.1</v>
      </c>
      <c r="O215" s="80" t="n">
        <v>133.960006713867</v>
      </c>
      <c r="P215" s="47" t="n">
        <v>21</v>
      </c>
      <c r="Q215" s="66" t="s">
        <v>453</v>
      </c>
    </row>
    <row r="216" customFormat="false" ht="15" hidden="false" customHeight="false" outlineLevel="0" collapsed="false">
      <c r="A216" s="76" t="s">
        <v>189</v>
      </c>
      <c r="B216" s="76" t="s">
        <v>254</v>
      </c>
      <c r="C216" s="77" t="n">
        <v>2021</v>
      </c>
      <c r="D216" s="77" t="n">
        <v>1</v>
      </c>
      <c r="E216" s="78" t="n">
        <v>44286</v>
      </c>
      <c r="F216" s="76" t="s">
        <v>210</v>
      </c>
      <c r="G216" s="76" t="s">
        <v>211</v>
      </c>
      <c r="H216" s="76" t="s">
        <v>212</v>
      </c>
      <c r="I216" s="79" t="n">
        <v>781.606</v>
      </c>
      <c r="J216" s="79" t="n">
        <v>461.618</v>
      </c>
      <c r="K216" s="80" t="n">
        <v>1.11</v>
      </c>
      <c r="L216" s="79" t="n">
        <v>187.74</v>
      </c>
      <c r="M216" s="79" t="n">
        <v>2325.786</v>
      </c>
      <c r="N216" s="80" t="n">
        <v>0.1</v>
      </c>
      <c r="O216" s="80" t="n">
        <v>121.680000305176</v>
      </c>
      <c r="P216" s="47" t="n">
        <v>22</v>
      </c>
      <c r="Q216" s="66" t="s">
        <v>454</v>
      </c>
    </row>
    <row r="217" customFormat="false" ht="15" hidden="false" customHeight="false" outlineLevel="0" collapsed="false">
      <c r="A217" s="76" t="s">
        <v>189</v>
      </c>
      <c r="B217" s="76" t="s">
        <v>256</v>
      </c>
      <c r="C217" s="77" t="n">
        <v>2020</v>
      </c>
      <c r="D217" s="77" t="n">
        <v>4</v>
      </c>
      <c r="E217" s="78" t="n">
        <v>44196</v>
      </c>
      <c r="F217" s="76" t="s">
        <v>210</v>
      </c>
      <c r="G217" s="76" t="s">
        <v>211</v>
      </c>
      <c r="H217" s="76" t="s">
        <v>212</v>
      </c>
      <c r="I217" s="79" t="n">
        <v>758.969</v>
      </c>
      <c r="J217" s="79" t="n">
        <v>449.79</v>
      </c>
      <c r="K217" s="80" t="n">
        <v>1.1</v>
      </c>
      <c r="L217" s="79"/>
      <c r="M217" s="79" t="n">
        <v>2210.805</v>
      </c>
      <c r="N217" s="80" t="n">
        <v>0.1</v>
      </c>
      <c r="O217" s="80" t="n">
        <v>119.889999389648</v>
      </c>
      <c r="P217" s="47" t="n">
        <v>23</v>
      </c>
      <c r="Q217" s="66" t="s">
        <v>455</v>
      </c>
    </row>
    <row r="218" customFormat="false" ht="15" hidden="false" customHeight="false" outlineLevel="0" collapsed="false">
      <c r="A218" s="76" t="s">
        <v>189</v>
      </c>
      <c r="B218" s="76" t="s">
        <v>258</v>
      </c>
      <c r="C218" s="77" t="n">
        <v>2020</v>
      </c>
      <c r="D218" s="77" t="n">
        <v>3</v>
      </c>
      <c r="E218" s="78" t="n">
        <v>44104</v>
      </c>
      <c r="F218" s="76" t="s">
        <v>210</v>
      </c>
      <c r="G218" s="76" t="s">
        <v>211</v>
      </c>
      <c r="H218" s="76" t="s">
        <v>212</v>
      </c>
      <c r="I218" s="79" t="n">
        <v>819.484</v>
      </c>
      <c r="J218" s="79" t="n">
        <v>458.928</v>
      </c>
      <c r="K218" s="80" t="n">
        <v>1.18</v>
      </c>
      <c r="L218" s="79" t="n">
        <v>184.338</v>
      </c>
      <c r="M218" s="79" t="n">
        <v>1993.544</v>
      </c>
      <c r="N218" s="80"/>
      <c r="O218" s="80" t="n">
        <v>79.4599990844727</v>
      </c>
      <c r="P218" s="47" t="n">
        <v>24</v>
      </c>
      <c r="Q218" s="66" t="s">
        <v>456</v>
      </c>
    </row>
    <row r="219" customFormat="false" ht="15" hidden="false" customHeight="false" outlineLevel="0" collapsed="false">
      <c r="A219" s="76" t="s">
        <v>180</v>
      </c>
      <c r="B219" s="76" t="s">
        <v>457</v>
      </c>
      <c r="C219" s="77" t="n">
        <v>2026</v>
      </c>
      <c r="D219" s="77" t="n">
        <v>3</v>
      </c>
      <c r="E219" s="78" t="n">
        <v>46294</v>
      </c>
      <c r="F219" s="76" t="s">
        <v>458</v>
      </c>
      <c r="G219" s="76" t="s">
        <v>459</v>
      </c>
      <c r="H219" s="76" t="s">
        <v>212</v>
      </c>
      <c r="I219" s="79"/>
      <c r="J219" s="79"/>
      <c r="K219" s="80" t="n">
        <v>0.14333</v>
      </c>
      <c r="L219" s="79"/>
      <c r="M219" s="79"/>
      <c r="N219" s="80"/>
      <c r="O219" s="80"/>
      <c r="P219" s="47" t="n">
        <v>0</v>
      </c>
      <c r="Q219" s="66" t="s">
        <v>460</v>
      </c>
    </row>
    <row r="220" customFormat="false" ht="15" hidden="false" customHeight="false" outlineLevel="0" collapsed="false">
      <c r="A220" s="76" t="s">
        <v>84</v>
      </c>
      <c r="B220" s="76" t="s">
        <v>461</v>
      </c>
      <c r="C220" s="77" t="n">
        <v>2026</v>
      </c>
      <c r="D220" s="77" t="n">
        <v>4</v>
      </c>
      <c r="E220" s="78" t="n">
        <v>46294</v>
      </c>
      <c r="F220" s="76" t="s">
        <v>458</v>
      </c>
      <c r="G220" s="76" t="s">
        <v>459</v>
      </c>
      <c r="H220" s="76" t="s">
        <v>212</v>
      </c>
      <c r="I220" s="79"/>
      <c r="J220" s="79"/>
      <c r="K220" s="80" t="n">
        <v>1.97656</v>
      </c>
      <c r="L220" s="79"/>
      <c r="M220" s="79"/>
      <c r="N220" s="80"/>
      <c r="O220" s="80"/>
      <c r="P220" s="47" t="n">
        <v>0</v>
      </c>
      <c r="Q220" s="66" t="s">
        <v>462</v>
      </c>
    </row>
    <row r="221" customFormat="false" ht="15" hidden="false" customHeight="false" outlineLevel="0" collapsed="false">
      <c r="A221" s="76" t="s">
        <v>178</v>
      </c>
      <c r="B221" s="76" t="s">
        <v>457</v>
      </c>
      <c r="C221" s="77" t="n">
        <v>2026</v>
      </c>
      <c r="D221" s="77" t="n">
        <v>3</v>
      </c>
      <c r="E221" s="78" t="n">
        <v>46264</v>
      </c>
      <c r="F221" s="76" t="s">
        <v>458</v>
      </c>
      <c r="G221" s="76" t="s">
        <v>459</v>
      </c>
      <c r="H221" s="76" t="s">
        <v>212</v>
      </c>
      <c r="I221" s="79"/>
      <c r="J221" s="79"/>
      <c r="K221" s="80" t="n">
        <v>6.07854</v>
      </c>
      <c r="L221" s="79"/>
      <c r="M221" s="79"/>
      <c r="N221" s="80"/>
      <c r="O221" s="80"/>
      <c r="P221" s="47" t="n">
        <v>0</v>
      </c>
      <c r="Q221" s="66" t="s">
        <v>463</v>
      </c>
    </row>
    <row r="222" customFormat="false" ht="15" hidden="false" customHeight="false" outlineLevel="0" collapsed="false">
      <c r="A222" s="76" t="s">
        <v>175</v>
      </c>
      <c r="B222" s="76" t="s">
        <v>461</v>
      </c>
      <c r="C222" s="77" t="n">
        <v>2026</v>
      </c>
      <c r="D222" s="77" t="n">
        <v>4</v>
      </c>
      <c r="E222" s="78" t="n">
        <v>46264</v>
      </c>
      <c r="F222" s="76" t="s">
        <v>458</v>
      </c>
      <c r="G222" s="76" t="s">
        <v>459</v>
      </c>
      <c r="H222" s="76" t="s">
        <v>212</v>
      </c>
      <c r="I222" s="79"/>
      <c r="J222" s="79"/>
      <c r="K222" s="80" t="n">
        <v>6.56439</v>
      </c>
      <c r="L222" s="79"/>
      <c r="M222" s="79"/>
      <c r="N222" s="80"/>
      <c r="O222" s="80"/>
      <c r="P222" s="47" t="n">
        <v>0</v>
      </c>
      <c r="Q222" s="66" t="s">
        <v>464</v>
      </c>
    </row>
    <row r="223" customFormat="false" ht="15" hidden="false" customHeight="false" outlineLevel="0" collapsed="false">
      <c r="A223" s="76" t="s">
        <v>184</v>
      </c>
      <c r="B223" s="76" t="s">
        <v>465</v>
      </c>
      <c r="C223" s="77" t="n">
        <v>2027</v>
      </c>
      <c r="D223" s="77" t="n">
        <v>3</v>
      </c>
      <c r="E223" s="78" t="n">
        <v>46325</v>
      </c>
      <c r="F223" s="76" t="s">
        <v>458</v>
      </c>
      <c r="G223" s="76" t="s">
        <v>459</v>
      </c>
      <c r="H223" s="76" t="s">
        <v>212</v>
      </c>
      <c r="I223" s="79"/>
      <c r="J223" s="79"/>
      <c r="K223" s="80" t="n">
        <v>1.09842</v>
      </c>
      <c r="L223" s="79"/>
      <c r="M223" s="79"/>
      <c r="N223" s="80"/>
      <c r="O223" s="80"/>
      <c r="P223" s="47" t="n">
        <v>0</v>
      </c>
      <c r="Q223" s="66" t="s">
        <v>466</v>
      </c>
    </row>
    <row r="224" customFormat="false" ht="15" hidden="false" customHeight="false" outlineLevel="0" collapsed="false">
      <c r="A224" s="76" t="s">
        <v>169</v>
      </c>
      <c r="B224" s="76" t="s">
        <v>467</v>
      </c>
      <c r="C224" s="77" t="n">
        <v>2027</v>
      </c>
      <c r="D224" s="77" t="n">
        <v>1</v>
      </c>
      <c r="E224" s="78" t="n">
        <v>46294</v>
      </c>
      <c r="F224" s="76" t="s">
        <v>458</v>
      </c>
      <c r="G224" s="76" t="s">
        <v>459</v>
      </c>
      <c r="H224" s="76" t="s">
        <v>212</v>
      </c>
      <c r="I224" s="79"/>
      <c r="J224" s="79"/>
      <c r="K224" s="80" t="n">
        <v>4.72092</v>
      </c>
      <c r="L224" s="79"/>
      <c r="M224" s="79"/>
      <c r="N224" s="80"/>
      <c r="O224" s="80"/>
      <c r="P224" s="47" t="n">
        <v>0</v>
      </c>
      <c r="Q224" s="66" t="s">
        <v>468</v>
      </c>
    </row>
    <row r="225" customFormat="false" ht="15" hidden="false" customHeight="false" outlineLevel="0" collapsed="false">
      <c r="A225" s="76" t="s">
        <v>187</v>
      </c>
      <c r="B225" s="76" t="s">
        <v>461</v>
      </c>
      <c r="C225" s="77" t="n">
        <v>2026</v>
      </c>
      <c r="D225" s="77" t="n">
        <v>4</v>
      </c>
      <c r="E225" s="78" t="n">
        <v>46264</v>
      </c>
      <c r="F225" s="76" t="s">
        <v>458</v>
      </c>
      <c r="G225" s="76" t="s">
        <v>459</v>
      </c>
      <c r="H225" s="76" t="s">
        <v>212</v>
      </c>
      <c r="I225" s="79"/>
      <c r="J225" s="79"/>
      <c r="K225" s="80" t="n">
        <v>31.28341</v>
      </c>
      <c r="L225" s="79"/>
      <c r="M225" s="79"/>
      <c r="N225" s="80"/>
      <c r="O225" s="80"/>
      <c r="P225" s="47" t="n">
        <v>0</v>
      </c>
      <c r="Q225" s="66" t="s">
        <v>469</v>
      </c>
    </row>
    <row r="226" customFormat="false" ht="15" hidden="false" customHeight="false" outlineLevel="0" collapsed="false">
      <c r="A226" s="76" t="s">
        <v>172</v>
      </c>
      <c r="B226" s="76" t="s">
        <v>465</v>
      </c>
      <c r="C226" s="77" t="n">
        <v>2027</v>
      </c>
      <c r="D226" s="77" t="n">
        <v>3</v>
      </c>
      <c r="E226" s="78" t="n">
        <v>46325</v>
      </c>
      <c r="F226" s="76" t="s">
        <v>458</v>
      </c>
      <c r="G226" s="76" t="s">
        <v>459</v>
      </c>
      <c r="H226" s="76" t="s">
        <v>212</v>
      </c>
      <c r="I226" s="79"/>
      <c r="J226" s="79"/>
      <c r="K226" s="80" t="n">
        <v>2.34</v>
      </c>
      <c r="L226" s="79"/>
      <c r="M226" s="79"/>
      <c r="N226" s="80"/>
      <c r="O226" s="80"/>
      <c r="P226" s="47" t="n">
        <v>0</v>
      </c>
      <c r="Q226" s="66" t="s">
        <v>470</v>
      </c>
    </row>
    <row r="227" customFormat="false" ht="15" hidden="false" customHeight="false" outlineLevel="0" collapsed="false">
      <c r="A227" s="76" t="s">
        <v>189</v>
      </c>
      <c r="B227" s="76" t="s">
        <v>457</v>
      </c>
      <c r="C227" s="77" t="n">
        <v>2026</v>
      </c>
      <c r="D227" s="77" t="n">
        <v>3</v>
      </c>
      <c r="E227" s="78" t="n">
        <v>46294</v>
      </c>
      <c r="F227" s="76" t="s">
        <v>458</v>
      </c>
      <c r="G227" s="76" t="s">
        <v>459</v>
      </c>
      <c r="H227" s="76" t="s">
        <v>212</v>
      </c>
      <c r="I227" s="79"/>
      <c r="J227" s="79"/>
      <c r="K227" s="80" t="n">
        <v>2.05052</v>
      </c>
      <c r="L227" s="79"/>
      <c r="M227" s="79"/>
      <c r="N227" s="80"/>
      <c r="O227" s="80"/>
      <c r="P227" s="47" t="n">
        <v>0</v>
      </c>
      <c r="Q227" s="66" t="s">
        <v>471</v>
      </c>
    </row>
    <row r="229" customFormat="false" ht="15" hidden="false" customHeight="false" outlineLevel="0" collapsed="false">
      <c r="A229" s="81" t="s">
        <v>472</v>
      </c>
    </row>
    <row r="230" customFormat="false" ht="15" hidden="false" customHeight="false" outlineLevel="0" collapsed="false">
      <c r="A230" s="41" t="s">
        <v>473</v>
      </c>
    </row>
    <row r="231" customFormat="false" ht="15" hidden="false" customHeight="false" outlineLevel="0" collapsed="false">
      <c r="A231" s="82" t="s">
        <v>474</v>
      </c>
      <c r="C231" s="24" t="s">
        <v>475</v>
      </c>
    </row>
    <row r="232" customFormat="false" ht="15" hidden="false" customHeight="false" outlineLevel="0" collapsed="false">
      <c r="A232" s="82" t="s">
        <v>476</v>
      </c>
      <c r="C232" s="24" t="s">
        <v>475</v>
      </c>
    </row>
    <row r="233" customFormat="false" ht="15" hidden="false" customHeight="false" outlineLevel="0" collapsed="false">
      <c r="A233" s="82" t="s">
        <v>477</v>
      </c>
      <c r="C233" s="24" t="s">
        <v>475</v>
      </c>
    </row>
    <row r="234" customFormat="false" ht="15" hidden="false" customHeight="false" outlineLevel="0" collapsed="false">
      <c r="A234" s="82" t="s">
        <v>478</v>
      </c>
      <c r="C234" s="24" t="s">
        <v>475</v>
      </c>
    </row>
    <row r="235" customFormat="false" ht="15" hidden="false" customHeight="false" outlineLevel="0" collapsed="false">
      <c r="A235" s="82" t="s">
        <v>479</v>
      </c>
      <c r="C235" s="24" t="s">
        <v>475</v>
      </c>
    </row>
    <row r="236" customFormat="false" ht="15" hidden="false" customHeight="false" outlineLevel="0" collapsed="false">
      <c r="A236" s="82" t="s">
        <v>480</v>
      </c>
      <c r="C236" s="24" t="s">
        <v>481</v>
      </c>
    </row>
    <row r="237" customFormat="false" ht="15" hidden="false" customHeight="false" outlineLevel="0" collapsed="false">
      <c r="A237" s="82" t="s">
        <v>482</v>
      </c>
      <c r="C237" s="24" t="s">
        <v>481</v>
      </c>
    </row>
    <row r="238" customFormat="false" ht="15" hidden="false" customHeight="false" outlineLevel="0" collapsed="false">
      <c r="A238" s="82" t="s">
        <v>483</v>
      </c>
      <c r="C238" s="25" t="s">
        <v>484</v>
      </c>
    </row>
    <row r="239" customFormat="false" ht="15" hidden="false" customHeight="false" outlineLevel="0" collapsed="false">
      <c r="A239" s="82" t="s">
        <v>485</v>
      </c>
      <c r="C239" s="24" t="s">
        <v>486</v>
      </c>
    </row>
    <row r="240" customFormat="false" ht="15" hidden="false" customHeight="false" outlineLevel="0" collapsed="false">
      <c r="A240" s="82" t="s">
        <v>487</v>
      </c>
      <c r="C240" s="24" t="s">
        <v>488</v>
      </c>
    </row>
    <row r="241" customFormat="false" ht="15" hidden="false" customHeight="false" outlineLevel="0" collapsed="false">
      <c r="A241" s="82" t="s">
        <v>489</v>
      </c>
      <c r="C241" s="25" t="s">
        <v>490</v>
      </c>
    </row>
    <row r="242" customFormat="false" ht="15" hidden="false" customHeight="false" outlineLevel="0" collapsed="false">
      <c r="A242" s="82" t="s">
        <v>491</v>
      </c>
      <c r="C242" s="24" t="s">
        <v>492</v>
      </c>
    </row>
    <row r="243" customFormat="false" ht="15" hidden="false" customHeight="false" outlineLevel="0" collapsed="false">
      <c r="A243" s="82" t="s">
        <v>493</v>
      </c>
      <c r="C243" s="25" t="s">
        <v>494</v>
      </c>
    </row>
    <row r="244" customFormat="false" ht="15" hidden="false" customHeight="false" outlineLevel="0" collapsed="false">
      <c r="A244" s="82" t="s">
        <v>495</v>
      </c>
      <c r="C244" s="24" t="s">
        <v>47</v>
      </c>
    </row>
    <row r="245" customFormat="false" ht="15" hidden="false" customHeight="false" outlineLevel="0" collapsed="false">
      <c r="A245" s="82" t="s">
        <v>496</v>
      </c>
      <c r="C245" s="24" t="s">
        <v>497</v>
      </c>
    </row>
    <row r="247" customFormat="false" ht="15" hidden="false" customHeight="false" outlineLevel="0" collapsed="false">
      <c r="A247" s="24" t="s">
        <v>498</v>
      </c>
    </row>
  </sheetData>
  <autoFilter ref="A1:Q2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499</v>
      </c>
      <c r="C1" s="14" t="s">
        <v>500</v>
      </c>
      <c r="D1" s="14" t="s">
        <v>501</v>
      </c>
      <c r="E1" s="14" t="s">
        <v>502</v>
      </c>
      <c r="F1" s="14" t="s">
        <v>503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46265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46265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46265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46265</v>
      </c>
    </row>
    <row r="6" customFormat="false" ht="15" hidden="false" customHeight="false" outlineLevel="0" collapsed="false">
      <c r="A6" s="76" t="s">
        <v>184</v>
      </c>
      <c r="B6" s="80" t="n">
        <v>4.20087</v>
      </c>
      <c r="C6" s="80" t="n">
        <v>6.64435</v>
      </c>
      <c r="D6" s="78" t="n">
        <v>46418</v>
      </c>
      <c r="E6" s="77" t="n">
        <v>30</v>
      </c>
      <c r="F6" s="78" t="n">
        <v>46265</v>
      </c>
    </row>
    <row r="7" customFormat="false" ht="15" hidden="false" customHeight="false" outlineLevel="0" collapsed="false">
      <c r="A7" s="76" t="s">
        <v>169</v>
      </c>
      <c r="B7" s="80" t="n">
        <v>19.75306</v>
      </c>
      <c r="C7" s="80" t="n">
        <v>23.57328</v>
      </c>
      <c r="D7" s="78" t="n">
        <v>46568</v>
      </c>
      <c r="E7" s="77" t="n">
        <v>25</v>
      </c>
      <c r="F7" s="78" t="n">
        <v>46265</v>
      </c>
    </row>
    <row r="8" customFormat="false" ht="15" hidden="false" customHeight="false" outlineLevel="0" collapsed="false">
      <c r="A8" s="76" t="s">
        <v>187</v>
      </c>
      <c r="B8" s="80" t="n">
        <v>73.40044</v>
      </c>
      <c r="C8" s="80" t="n">
        <v>155.02524</v>
      </c>
      <c r="D8" s="78" t="n">
        <v>46265</v>
      </c>
      <c r="E8" s="77" t="n">
        <v>33</v>
      </c>
      <c r="F8" s="78" t="n">
        <v>46265</v>
      </c>
    </row>
    <row r="9" customFormat="false" ht="15" hidden="false" customHeight="false" outlineLevel="0" collapsed="false">
      <c r="A9" s="76" t="s">
        <v>172</v>
      </c>
      <c r="B9" s="80" t="n">
        <v>9.28846</v>
      </c>
      <c r="C9" s="80" t="n">
        <v>15.30598</v>
      </c>
      <c r="D9" s="78" t="n">
        <v>46418</v>
      </c>
      <c r="E9" s="77" t="n">
        <v>42</v>
      </c>
      <c r="F9" s="78" t="n">
        <v>46265</v>
      </c>
    </row>
    <row r="10" customFormat="false" ht="15" hidden="false" customHeight="false" outlineLevel="0" collapsed="false">
      <c r="A10" s="76" t="s">
        <v>189</v>
      </c>
      <c r="B10" s="80" t="n">
        <v>9.09129</v>
      </c>
      <c r="C10" s="80" t="n">
        <v>11.65247</v>
      </c>
      <c r="D10" s="78" t="n">
        <v>46387</v>
      </c>
      <c r="E10" s="77" t="n">
        <v>15</v>
      </c>
      <c r="F10" s="78" t="n">
        <v>46265</v>
      </c>
    </row>
    <row r="12" customFormat="false" ht="15" hidden="false" customHeight="false" outlineLevel="0" collapsed="false">
      <c r="A12" s="25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505</v>
      </c>
      <c r="C1" s="14" t="s">
        <v>506</v>
      </c>
      <c r="D1" s="14" t="s">
        <v>507</v>
      </c>
      <c r="E1" s="14" t="s">
        <v>503</v>
      </c>
    </row>
    <row r="2" customFormat="false" ht="15" hidden="false" customHeight="false" outlineLevel="0" collapsed="false">
      <c r="A2" s="76" t="s">
        <v>180</v>
      </c>
      <c r="B2" s="80" t="n">
        <v>105.368400573731</v>
      </c>
      <c r="C2" s="78" t="n">
        <v>46265</v>
      </c>
      <c r="D2" s="78" t="n">
        <v>46331</v>
      </c>
      <c r="E2" s="78" t="n">
        <v>46265</v>
      </c>
    </row>
    <row r="3" customFormat="false" ht="15" hidden="false" customHeight="false" outlineLevel="0" collapsed="false">
      <c r="A3" s="76" t="s">
        <v>84</v>
      </c>
      <c r="B3" s="80" t="n">
        <v>314.940002441406</v>
      </c>
      <c r="C3" s="78" t="n">
        <v>46265</v>
      </c>
      <c r="D3" s="78" t="n">
        <v>46324</v>
      </c>
      <c r="E3" s="78" t="n">
        <v>46265</v>
      </c>
    </row>
    <row r="4" customFormat="false" ht="15" hidden="false" customHeight="false" outlineLevel="0" collapsed="false">
      <c r="A4" s="76" t="s">
        <v>178</v>
      </c>
      <c r="B4" s="80" t="n">
        <v>290.799987792969</v>
      </c>
      <c r="C4" s="78" t="n">
        <v>46265</v>
      </c>
      <c r="D4" s="78" t="n">
        <v>46275</v>
      </c>
      <c r="E4" s="78" t="n">
        <v>46265</v>
      </c>
    </row>
    <row r="5" customFormat="false" ht="15" hidden="false" customHeight="false" outlineLevel="0" collapsed="false">
      <c r="A5" s="76" t="s">
        <v>175</v>
      </c>
      <c r="B5" s="80" t="n">
        <v>945.525024414062</v>
      </c>
      <c r="C5" s="78" t="n">
        <v>46265</v>
      </c>
      <c r="D5" s="78" t="n">
        <v>46289</v>
      </c>
      <c r="E5" s="78" t="n">
        <v>46265</v>
      </c>
    </row>
    <row r="6" customFormat="false" ht="15" hidden="false" customHeight="false" outlineLevel="0" collapsed="false">
      <c r="A6" s="76" t="s">
        <v>184</v>
      </c>
      <c r="B6" s="80" t="n">
        <v>211.634994506836</v>
      </c>
      <c r="C6" s="78" t="n">
        <v>46265</v>
      </c>
      <c r="D6" s="78" t="n">
        <v>46261</v>
      </c>
      <c r="E6" s="78" t="n">
        <v>46265</v>
      </c>
    </row>
    <row r="7" customFormat="false" ht="15" hidden="false" customHeight="false" outlineLevel="0" collapsed="false">
      <c r="A7" s="76" t="s">
        <v>169</v>
      </c>
      <c r="B7" s="80" t="n">
        <v>509.140014648438</v>
      </c>
      <c r="C7" s="78" t="n">
        <v>46265</v>
      </c>
      <c r="D7" s="78" t="n">
        <v>46323</v>
      </c>
      <c r="E7" s="78" t="n">
        <v>46265</v>
      </c>
    </row>
    <row r="8" customFormat="false" ht="15" hidden="false" customHeight="false" outlineLevel="0" collapsed="false">
      <c r="A8" s="76" t="s">
        <v>187</v>
      </c>
      <c r="B8" s="80" t="n">
        <v>942.932495117188</v>
      </c>
      <c r="C8" s="78" t="n">
        <v>46265</v>
      </c>
      <c r="D8" s="78" t="n">
        <v>46295</v>
      </c>
      <c r="E8" s="78" t="n">
        <v>46265</v>
      </c>
    </row>
    <row r="9" customFormat="false" ht="15" hidden="false" customHeight="false" outlineLevel="0" collapsed="false">
      <c r="A9" s="76" t="s">
        <v>172</v>
      </c>
      <c r="B9" s="80" t="n">
        <v>220.389999389648</v>
      </c>
      <c r="C9" s="78" t="n">
        <v>46265</v>
      </c>
      <c r="D9" s="78" t="n">
        <v>46343</v>
      </c>
      <c r="E9" s="78" t="n">
        <v>46265</v>
      </c>
    </row>
    <row r="10" customFormat="false" ht="15" hidden="false" customHeight="false" outlineLevel="0" collapsed="false">
      <c r="A10" s="76" t="s">
        <v>189</v>
      </c>
      <c r="B10" s="80" t="n">
        <v>355.410003662109</v>
      </c>
      <c r="C10" s="78" t="n">
        <v>46265</v>
      </c>
      <c r="D10" s="78" t="n">
        <v>46316</v>
      </c>
      <c r="E10" s="78" t="n">
        <v>46265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508</v>
      </c>
      <c r="F1" s="14" t="s">
        <v>509</v>
      </c>
      <c r="G1" s="14" t="s">
        <v>510</v>
      </c>
      <c r="H1" s="14" t="s">
        <v>511</v>
      </c>
      <c r="I1" s="14" t="s">
        <v>68</v>
      </c>
      <c r="J1" s="14" t="s">
        <v>56</v>
      </c>
      <c r="K1" s="14" t="s">
        <v>512</v>
      </c>
      <c r="L1" s="14" t="s">
        <v>513</v>
      </c>
      <c r="M1" s="14" t="s">
        <v>514</v>
      </c>
      <c r="N1" s="14" t="s">
        <v>58</v>
      </c>
      <c r="O1" s="14" t="s">
        <v>59</v>
      </c>
      <c r="P1" s="14" t="s">
        <v>515</v>
      </c>
      <c r="Q1" s="15" t="s">
        <v>47</v>
      </c>
      <c r="R1" s="15" t="s">
        <v>60</v>
      </c>
      <c r="S1" s="15" t="s">
        <v>516</v>
      </c>
      <c r="T1" s="15" t="s">
        <v>517</v>
      </c>
      <c r="U1" s="15" t="s">
        <v>518</v>
      </c>
      <c r="V1" s="15" t="s">
        <v>519</v>
      </c>
      <c r="W1" s="15" t="s">
        <v>64</v>
      </c>
      <c r="X1" s="15" t="s">
        <v>65</v>
      </c>
      <c r="Y1" s="14" t="s">
        <v>520</v>
      </c>
      <c r="Z1" s="15" t="s">
        <v>521</v>
      </c>
      <c r="AA1" s="15" t="s">
        <v>522</v>
      </c>
      <c r="AB1" s="14" t="s">
        <v>523</v>
      </c>
      <c r="AC1" s="14" t="s">
        <v>71</v>
      </c>
      <c r="AD1" s="15" t="s">
        <v>106</v>
      </c>
      <c r="AE1" s="15" t="s">
        <v>524</v>
      </c>
      <c r="AF1" s="14" t="s">
        <v>72</v>
      </c>
      <c r="AG1" s="14" t="s">
        <v>73</v>
      </c>
      <c r="AH1" s="14" t="s">
        <v>525</v>
      </c>
      <c r="AI1" s="15" t="s">
        <v>75</v>
      </c>
      <c r="AJ1" s="15" t="s">
        <v>76</v>
      </c>
      <c r="AK1" s="15" t="s">
        <v>526</v>
      </c>
      <c r="AL1" s="15" t="s">
        <v>86</v>
      </c>
      <c r="AM1" s="15" t="s">
        <v>87</v>
      </c>
      <c r="AN1" s="15" t="s">
        <v>88</v>
      </c>
      <c r="AO1" s="14" t="s">
        <v>527</v>
      </c>
      <c r="AP1" s="14" t="s">
        <v>528</v>
      </c>
      <c r="AQ1" s="14" t="s">
        <v>529</v>
      </c>
      <c r="AR1" s="14" t="s">
        <v>530</v>
      </c>
      <c r="AS1" s="14" t="s">
        <v>531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314.940002441406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9.47219219178082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36.116972757042</v>
      </c>
      <c r="K2" s="52" t="n">
        <f aca="false">IF($A2="","",IFERROR(IF(G2&lt;=0,"N/M",D2/G2),"N/M"))</f>
        <v>35.6002788023148</v>
      </c>
      <c r="L2" s="52" t="n">
        <f aca="false">IF($A2="","",IFERROR(IF(H2&lt;=0,"N/M",D2/H2),"N/M"))</f>
        <v>33.2489033230011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1.11742183318736</v>
      </c>
      <c r="O2" s="51" t="n">
        <f aca="false">IF($A2="","",IFERROR(IF(OR(NOT(ISNUMBER(L2)),M2&lt;Config!$B$6),"N/M",L2/(M2*100)),"N/M"))</f>
        <v>4.0764298957249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0.00333396834908373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509.140014648438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20.4019740821918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29.4641212180809</v>
      </c>
      <c r="K3" s="52" t="n">
        <f aca="false">IF($A3="","",IFERROR(IF(G3&lt;=0,"N/M",D3/G3),"N/M"))</f>
        <v>28.4898603232759</v>
      </c>
      <c r="L3" s="52" t="n">
        <f aca="false">IF($A3="","",IFERROR(IF(H3&lt;=0,"N/M",D3/H3),"N/M"))</f>
        <v>24.9554289500274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1.10409509179842</v>
      </c>
      <c r="O3" s="51" t="n">
        <f aca="false">IF($A3="","",IFERROR(IF(OR(NOT(ISNUMBER(L3)),M3&lt;Config!$B$6),"N/M",L3/(M3*100)),"N/M"))</f>
        <v>1.29036046451678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0.00699218269547757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220.389999389648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12.7835675068493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31.4393722381809</v>
      </c>
      <c r="K4" s="52" t="n">
        <f aca="false">IF($A4="","",IFERROR(IF(G4&lt;=0,"N/M",D4/G4),"N/M"))</f>
        <v>27.3776396757327</v>
      </c>
      <c r="L4" s="52" t="n">
        <f aca="false">IF($A4="","",IFERROR(IF(H4&lt;=0,"N/M",D4/H4),"N/M"))</f>
        <v>17.2401013466363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0.324417870051954</v>
      </c>
      <c r="O4" s="51" t="n">
        <f aca="false">IF($A4="","",IFERROR(IF(OR(NOT(ISNUMBER(L4)),M4&lt;Config!$B$6),"N/M",L4/(M4*100)),"N/M"))</f>
        <v>0.266112936482433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0.00127047507044529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945.525024414062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22.70548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47.5616209463814</v>
      </c>
      <c r="K5" s="52" t="n">
        <f aca="false">IF($A5="","",IFERROR(IF(G5&lt;=0,"N/M",D5/G5),"N/M"))</f>
        <v>45.9564062124837</v>
      </c>
      <c r="L5" s="52" t="n">
        <f aca="false">IF($A5="","",IFERROR(IF(H5&lt;=0,"N/M",D5/H5),"N/M"))</f>
        <v>41.6430317444979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3.48055544080423</v>
      </c>
      <c r="O5" s="51" t="n">
        <f aca="false">IF($A5="","",IFERROR(IF(OR(NOT(ISNUMBER(L5)),M5&lt;Config!$B$6),"N/M",L5/(M5*100)),"N/M"))</f>
        <v>4.05411603653946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0.00567938432230048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290.799987792969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26.7228710684932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12.7376253961003</v>
      </c>
      <c r="K6" s="52" t="n">
        <f aca="false">IF($A6="","",IFERROR(IF(G6&lt;=0,"N/M",D6/G6),"N/M"))</f>
        <v>12.3227957235053</v>
      </c>
      <c r="L6" s="52" t="n">
        <f aca="false">IF($A6="","",IFERROR(IF(H6&lt;=0,"N/M",D6/H6),"N/M"))</f>
        <v>10.8820637964993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0.772933305769552</v>
      </c>
      <c r="O6" s="51" t="n">
        <f aca="false">IF($A6="","",IFERROR(IF(OR(NOT(ISNUMBER(L6)),M6&lt;Config!$B$6),"N/M",L6/(M6*100)),"N/M"))</f>
        <v>0.862922763130496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105.368400573731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3.29108493150685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854.361473880893</v>
      </c>
      <c r="L7" s="52" t="n">
        <f aca="false">IF($A7="","",IFERROR(IF(H7&lt;=0,"N/M",D7/H7),"N/M"))</f>
        <v>32.0163115709951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0.0555101781445097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211.634994506836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5.62009673972603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64.131816517223</v>
      </c>
      <c r="K8" s="52" t="n">
        <f aca="false">IF($A8="","",IFERROR(IF(G8&lt;=0,"N/M",D8/G8),"N/M"))</f>
        <v>58.1667302034498</v>
      </c>
      <c r="L8" s="52" t="n">
        <f aca="false">IF($A8="","",IFERROR(IF(H8&lt;=0,"N/M",D8/H8),"N/M"))</f>
        <v>37.6568241273998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1.51822259510161</v>
      </c>
      <c r="O8" s="51" t="n">
        <f aca="false">IF($A8="","",IFERROR(IF(OR(NOT(ISNUMBER(L8)),M8&lt;Config!$B$6),"N/M",L8/(M8*100)),"N/M"))</f>
        <v>0.647402159101241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0.00113402795487231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942.932495117188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155.02524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20.8983265761788</v>
      </c>
      <c r="K9" s="52" t="n">
        <f aca="false">IF($A9="","",IFERROR(IF(G9&lt;=0,"N/M",D9/G9),"N/M"))</f>
        <v>12.8511472359972</v>
      </c>
      <c r="L9" s="52" t="n">
        <f aca="false">IF($A9="","",IFERROR(IF(H9&lt;=0,"N/M",D9/H9),"N/M"))</f>
        <v>6.0824449948743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0.0347945251164921</v>
      </c>
      <c r="O9" s="51" t="n">
        <f aca="false">IF($A9="","",IFERROR(IF(OR(NOT(ISNUMBER(L9)),M9&lt;Config!$B$6),"N/M",L9/(M9*100)),"N/M"))</f>
        <v>0.0546958937601773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0.000524958045844503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46265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>TER</v>
      </c>
      <c r="B10" s="66" t="str">
        <f aca="false">IF($A10="","",IFERROR(INDEX(Tickers!$B$2:$B$100,MATCH($A10,Tickers!$A$2:$A$100,0)),""))</f>
        <v>Teradyne,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355.410003662109</v>
      </c>
      <c r="E10" s="48" t="n">
        <f aca="false">IF($A10="","",IFERROR(SUMIFS(Raw_Q!$I$2:$I$600,Raw_Q!$A$2:$A$600,$A10,Raw_Q!$P$2:$P$600,"&gt;=1",Raw_Q!$P$2:$P$600,"&lt;=4"),""))</f>
        <v>4464.031</v>
      </c>
      <c r="F10" s="51" t="n">
        <f aca="false">IF($A10="","",IFERROR(SUMIFS(Raw_Q!$K$2:$K$600,Raw_Q!$A$2:$A$600,$A10,Raw_Q!$P$2:$P$600,"&gt;=1",Raw_Q!$P$2:$P$600,"&lt;=4"),""))</f>
        <v>7.68</v>
      </c>
      <c r="G10" s="51" t="n">
        <f aca="false">IF($A10="","",IFERROR(SUMIFS(Raw_Q!$K$2:$K$600,Raw_Q!$A$2:$A$600,$A10,Raw_Q!$P$2:$P$600,"&gt;=0",Raw_Q!$P$2:$P$600,"&lt;=3"),""))</f>
        <v>8.88052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10.7964043561644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1.42271293375394</v>
      </c>
      <c r="J10" s="52" t="n">
        <f aca="false">IF($A10="","",IFERROR(IF(F10&lt;=0,"N/M",D10/F10),"N/M"))</f>
        <v>46.2773442268372</v>
      </c>
      <c r="K10" s="52" t="n">
        <f aca="false">IF($A10="","",IFERROR(IF(G10&lt;=0,"N/M",D10/G10),"N/M"))</f>
        <v>40.0213054710883</v>
      </c>
      <c r="L10" s="52" t="n">
        <f aca="false">IF($A10="","",IFERROR(IF(H10&lt;=0,"N/M",D10/H10),"N/M"))</f>
        <v>32.9192934922989</v>
      </c>
      <c r="M10" s="49" t="n">
        <f aca="false">IF($A10="","",IFERROR(INDEX(Raw_Est!$C$2:$C$100,MATCH($A10,Raw_Est!$A$2:$A$100,0))/INDEX(Raw_Est!$B$2:$B$100,MATCH($A10,Raw_Est!$A$2:$A$100,0))-1,""))</f>
        <v>0.281717996015967</v>
      </c>
      <c r="N10" s="51" t="n">
        <f aca="false">IF($A10="","",IFERROR(IF(OR(NOT(ISNUMBER(J10)),I10&lt;Config!$B$6),"N/M",J10/(I10*100)),"N/M"))</f>
        <v>0.32527534633941</v>
      </c>
      <c r="O10" s="51" t="n">
        <f aca="false">IF($A10="","",IFERROR(IF(OR(NOT(ISNUMBER(L10)),M10&lt;Config!$B$6),"N/M",L10/(M10*100)),"N/M"))</f>
        <v>1.16851936893776</v>
      </c>
      <c r="P10" s="51" t="n">
        <f aca="false">IF($A10="","",IFERROR(SUMIFS(Raw_Q!$N$2:$N$600,Raw_Q!$A$2:$A$600,$A10,Raw_Q!$P$2:$P$600,"&gt;=1",Raw_Q!$P$2:$P$600,"&lt;=4"),""))</f>
        <v>0.5</v>
      </c>
      <c r="Q10" s="49" t="n">
        <f aca="false">IF($A10="","",IFERROR(IF(P10=0,"不配息",P10/D10),""))</f>
        <v>0.00140682590486494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0.0416666666666667</v>
      </c>
      <c r="S10" s="49" t="n">
        <f aca="false">IF($A10="","",IFERROR(SUMIFS(Raw_Q!$I$2:$I$600,Raw_Q!$A$2:$A$600,$A10,Raw_Q!$P$2:$P$600,1)/SUMIFS(Raw_Q!$I$2:$I$600,Raw_Q!$A$2:$A$600,$A10,Raw_Q!$P$2:$P$600,5)-1,""))</f>
        <v>1.03896305137949</v>
      </c>
      <c r="T10" s="49" t="n">
        <f aca="false">IF($A10="","",IFERROR(SUMIFS(Raw_Q!$I$2:$I$600,Raw_Q!$A$2:$A$600,$A10,Raw_Q!$P$2:$P$600,1)/SUMIFS(Raw_Q!$I$2:$I$600,Raw_Q!$A$2:$A$600,$A10,Raw_Q!$P$2:$P$600,2)-1,""))</f>
        <v>0.0362543606441825</v>
      </c>
      <c r="U10" s="49" t="n">
        <f aca="false">IF($A10="","",IFERROR(SUMIFS(Raw_Q!$I$2:$I$600,Raw_Q!$A$2:$A$600,$A10,Raw_Q!$P$2:$P$600,2)/SUMIFS(Raw_Q!$I$2:$I$600,Raw_Q!$A$2:$A$600,$A10,Raw_Q!$P$2:$P$600,3)-1,""))</f>
        <v>0.183836608553017</v>
      </c>
      <c r="V10" s="68" t="n">
        <f aca="false">IF($A10="","",IFERROR((T10-U10)*100,""))</f>
        <v>-14.7582247908835</v>
      </c>
      <c r="W10" s="66" t="str">
        <f aca="false">IF($A10="","",IFERROR(IF(NOT(ISNUMBER(T10)),"",IF(T10&gt;0,IF(V10&gt;0,"成長且加速","成長但減速"),IF(V10&gt;0,"衰退但收斂","衰退且惡化"))),""))</f>
        <v>成長但減速</v>
      </c>
      <c r="X10" s="68" t="n">
        <f aca="false">IF($A10="","",IFERROR((T10-(SUMIFS(Raw_Q!$I$2:$I$600,Raw_Q!$A$2:$A$600,$A10,Raw_Q!$P$2:$P$600,5)/SUMIFS(Raw_Q!$I$2:$I$600,Raw_Q!$A$2:$A$600,$A10,Raw_Q!$P$2:$P$600,6)-1))*100,""))</f>
        <v>8.56695397364704</v>
      </c>
      <c r="Y10" s="49" t="n">
        <f aca="false">IF($A10="","",IFERROR(SUMIFS(Raw_Q!$K$2:$K$600,Raw_Q!$A$2:$A$600,$A10,Raw_Q!$P$2:$P$600,1)/SUMIFS(Raw_Q!$K$2:$K$600,Raw_Q!$A$2:$A$600,$A10,Raw_Q!$P$2:$P$600,5)-1,""))</f>
        <v>3.33333333333333</v>
      </c>
      <c r="Z10" s="49" t="n">
        <f aca="false">IF($A10="","",IFERROR(SUMIFS(Raw_Q!$J$2:$J$600,Raw_Q!$A$2:$A$600,$A10,Raw_Q!$P$2:$P$600,"&gt;=1",Raw_Q!$P$2:$P$600,"&lt;=4")/E10,""))</f>
        <v>0.592415912882325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0.588385499583535</v>
      </c>
      <c r="AB10" s="50" t="n">
        <f aca="false">IF($A10="","",IFERROR((Z10-AA10)*10000,""))</f>
        <v>40.3041329879061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256.287212686569</v>
      </c>
      <c r="AD10" s="51" t="n">
        <f aca="false">IF($A10="","",IFERROR(SUMIFS(Raw_Q!$M$2:$M$600,Raw_Q!$A$2:$A$600,$A10,Raw_Q!$P$2:$P$600,1)/SUMIFS(Raw_Q!$L$2:$L$600,Raw_Q!$A$2:$A$600,$A10,Raw_Q!$P$2:$P$600,1),""))</f>
        <v>21.7965413810378</v>
      </c>
      <c r="AE10" s="48" t="n">
        <f aca="false">IF($A10="","",IFERROR(SUMPRODUCT((Raw_Q!$A$2:$A$600=$A10)*(Raw_Q!$P$2:$P$600&gt;=1)*(Raw_Q!$P$2:$P$600&lt;=4)*Raw_Q!$K$2:$K$600*Raw_Q!$L$2:$L$600),""))</f>
        <v>1212.05412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0.386345132643224</v>
      </c>
      <c r="AG10" s="49" t="n">
        <f aca="false">IF($A10="","",IFERROR(AVERAGE(AO10:AS10),""))</f>
        <v>0.226272609179427</v>
      </c>
      <c r="AH10" s="49" t="n">
        <f aca="false">IF($A10="","",IFERROR(IF(AD10&lt;=0,"N/M",INDEX(Raw_Est!$B$2:$B$100,MATCH($A10,Raw_Est!$A$2:$A$100,0))/AD10),"N/M"))</f>
        <v>0.417097824882854</v>
      </c>
      <c r="AI10" s="51" t="n">
        <f aca="false">IF($A10="","",IFERROR(SUMIFS(Raw_Q!$K$2:$K$600,Raw_Q!$A$2:$A$600,$A10,Raw_Q!$P$2:$P$600,0),""))</f>
        <v>2.05052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15</v>
      </c>
      <c r="AM10" s="67" t="n">
        <f aca="false">IF($A10="","",IFERROR(INDEX(Raw_Price!$D$2:$D$100,MATCH($A10,Raw_Price!$A$2:$A$100,0)),""))</f>
        <v>46316</v>
      </c>
      <c r="AN10" s="67" t="n">
        <f aca="false">IF($A10="","",IFERROR(INDEX(Raw_Price!$E$2:$E$100,MATCH($A10,Raw_Price!$A$2:$A$100,0)),""))</f>
        <v>46265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0.386345132643224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0.185191769635422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0.188318555392837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0.0937215240418306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0.27778606418382</v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533</v>
      </c>
    </row>
    <row r="3" customFormat="false" ht="31.5" hidden="false" customHeight="true" outlineLevel="0" collapsed="false">
      <c r="A3" s="15" t="s">
        <v>534</v>
      </c>
      <c r="B3" s="15" t="s">
        <v>535</v>
      </c>
      <c r="C3" s="15" t="s">
        <v>536</v>
      </c>
    </row>
    <row r="4" customFormat="false" ht="15" hidden="false" customHeight="false" outlineLevel="0" collapsed="false">
      <c r="A4" s="5" t="s">
        <v>537</v>
      </c>
      <c r="B4" s="83" t="n">
        <v>24</v>
      </c>
      <c r="C4" s="25" t="s">
        <v>538</v>
      </c>
    </row>
    <row r="5" customFormat="false" ht="15" hidden="false" customHeight="false" outlineLevel="0" collapsed="false">
      <c r="A5" s="5" t="s">
        <v>539</v>
      </c>
      <c r="B5" s="83" t="n">
        <v>20</v>
      </c>
      <c r="C5" s="25" t="s">
        <v>540</v>
      </c>
    </row>
    <row r="6" customFormat="false" ht="15" hidden="false" customHeight="false" outlineLevel="0" collapsed="false">
      <c r="A6" s="2" t="s">
        <v>541</v>
      </c>
      <c r="B6" s="84" t="n">
        <v>0.05</v>
      </c>
      <c r="C6" s="24" t="s">
        <v>542</v>
      </c>
    </row>
    <row r="7" customFormat="false" ht="15" hidden="false" customHeight="false" outlineLevel="0" collapsed="false">
      <c r="A7" s="5" t="s">
        <v>543</v>
      </c>
      <c r="B7" s="83" t="n">
        <v>5</v>
      </c>
      <c r="C7" s="24" t="s">
        <v>544</v>
      </c>
    </row>
    <row r="8" customFormat="false" ht="15" hidden="false" customHeight="false" outlineLevel="0" collapsed="false">
      <c r="A8" s="2" t="s">
        <v>545</v>
      </c>
      <c r="B8" s="83" t="n">
        <v>365</v>
      </c>
      <c r="C8" s="25" t="s">
        <v>546</v>
      </c>
    </row>
    <row r="11" customFormat="false" ht="15" hidden="false" customHeight="false" outlineLevel="0" collapsed="false">
      <c r="A11" s="24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2026-08-31T14:38:23Z</dcterms:created>
  <dc:creator>openpyxl</dc:creator>
  <dc:description/>
  <dc:language>en-US</dc:language>
  <cp:lastModifiedBy/>
  <dcterms:modified xsi:type="dcterms:W3CDTF">2026-08-31T14:38:24Z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