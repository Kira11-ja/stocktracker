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<sst xmlns="http://schemas.openxmlformats.org/spreadsheetml/2006/main" count="1255" uniqueCount="452">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</sst>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33.7654675622355</v>
      </c>
      <c r="G3" s="17" t="n">
        <f aca="false">IF(Calc!$A$2="","",Calc!N$2)</f>
        <v>1.1343105700803</v>
      </c>
      <c r="H3" s="17" t="n">
        <f aca="false">IF(Calc!$A$2="","",Calc!O$2)</f>
        <v>4.13976244800253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25.1964568432808</v>
      </c>
      <c r="G4" s="17" t="n">
        <f aca="false">IF(Calc!$A$3="","",Calc!N$3)</f>
        <v>1.11361505386545</v>
      </c>
      <c r="H4" s="17" t="n">
        <f aca="false">IF(Calc!$A$3="","",Calc!O$3)</f>
        <v>1.30282319817376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19.0887870486652</v>
      </c>
      <c r="G5" s="17" t="n">
        <f aca="false">IF(Calc!$A$4="","",Calc!N$4)</f>
        <v>0.320237346591518</v>
      </c>
      <c r="H5" s="17" t="n">
        <f aca="false">IF(Calc!$A$4="","",Calc!O$4)</f>
        <v>0.423904234054482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41.6618716771883</v>
      </c>
      <c r="G6" s="17" t="n">
        <f aca="false">IF(Calc!$A$5="","",Calc!N$5)</f>
        <v>3.48035278356282</v>
      </c>
      <c r="H6" s="17" t="n">
        <f aca="false">IF(Calc!$A$5="","",Calc!O$5)</f>
        <v>4.05595017949322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10.9158976072654</v>
      </c>
      <c r="G7" s="17" t="n">
        <f aca="false">IF(Calc!$A$6="","",Calc!N$6)</f>
        <v>0.774847036674081</v>
      </c>
      <c r="H7" s="17" t="n">
        <f aca="false">IF(Calc!$A$6="","",Calc!O$6)</f>
        <v>0.865605706919416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n">
        <f aca="false">IF(Calc!$A$7="","",Calc!C$7)</f>
        <v>0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32.4902683465259</v>
      </c>
      <c r="G8" s="17" t="str">
        <f aca="false">IF(Calc!$A$7="","",Calc!N$7)</f>
        <v>N/M</v>
      </c>
      <c r="H8" s="17" t="n">
        <f aca="false">IF(Calc!$A$7="","",Calc!O$7)</f>
        <v>0.0563319288007079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4">
      <formula>"N/M"</formula>
    </cfRule>
  </conditionalFormatting>
  <conditionalFormatting sqref="G3:G22">
    <cfRule type="cellIs" priority="11" operator="lessThan" aboveAverage="0" equalAverage="0" bottom="0" percent="0" rank="0" text="" dxfId="35">
      <formula>1.5</formula>
    </cfRule>
  </conditionalFormatting>
  <conditionalFormatting sqref="H3:H22">
    <cfRule type="cellIs" priority="12" operator="lessThan" aboveAverage="0" equalAverage="0" bottom="0" percent="0" rank="0" text="" dxfId="35">
      <formula>1.5</formula>
    </cfRule>
  </conditionalFormatting>
  <conditionalFormatting sqref="N3:N22">
    <cfRule type="cellIs" priority="13" operator="equal" aboveAverage="0" equalAverage="0" bottom="0" percent="0" rank="0" text="" dxfId="35">
      <formula>"成長且加速"</formula>
    </cfRule>
    <cfRule type="cellIs" priority="14" operator="equal" aboveAverage="0" equalAverage="0" bottom="0" percent="0" rank="0" text="" dxfId="36">
      <formula>"成長但減速"</formula>
    </cfRule>
    <cfRule type="cellIs" priority="15" operator="equal" aboveAverage="0" equalAverage="0" bottom="0" percent="0" rank="0" text="" dxfId="36">
      <formula>"衰退但收斂"</formula>
    </cfRule>
    <cfRule type="cellIs" priority="16" operator="equal" aboveAverage="0" equalAverage="0" bottom="0" percent="0" rank="0" text="" dxfId="37">
      <formula>"衰退且惡化"</formula>
    </cfRule>
  </conditionalFormatting>
  <conditionalFormatting sqref="A3:AC22">
    <cfRule type="expression" priority="17" aboveAverage="0" equalAverage="0" bottom="0" percent="0" rank="0" text="" dxfId="3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33.7654675622355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4.13976244800253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33.7654675622355</v>
      </c>
      <c r="N13" s="57" t="n">
        <f aca="false">IF(Stock_Card!$B$2="","",IFERROR(INDEX(Calc!$O$2:$O$100,MATCH(Stock_Card!$B$2,Calc!$A$2:$A$100,0)),""))</f>
        <v>4.13976244800253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{32DC2370-41B4-42B1-8A44-B0E094A18797}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5">
      <formula>"成長且加速"</formula>
    </cfRule>
    <cfRule type="cellIs" priority="5" operator="equal" aboveAverage="0" equalAverage="0" bottom="0" percent="0" rank="0" text="" dxfId="36">
      <formula>"成長但減速"</formula>
    </cfRule>
    <cfRule type="cellIs" priority="6" operator="equal" aboveAverage="0" equalAverage="0" bottom="0" percent="0" rank="0" text="" dxfId="36">
      <formula>"衰退但收斂"</formula>
    </cfRule>
    <cfRule type="cellIs" priority="7" operator="equal" aboveAverage="0" equalAverage="0" bottom="0" percent="0" rank="0" text="" dxfId="3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9">
      <formula>$O5="預估"</formula>
    </cfRule>
  </conditionalFormatting>
  <conditionalFormatting sqref="B24:B28">
    <cfRule type="expression" priority="12" aboveAverage="0" equalAverage="0" bottom="0" percent="0" rank="0" text="" dxfId="3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DC2370-41B4-42B1-8A44-B0E094A1879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68</v>
      </c>
      <c r="I9" s="67" t="n">
        <f aca="false">IF($A9="","",IFERROR(INDEX(Raw_Price!$E$2:$E$100,MATCH($A9,Raw_Price!$A$2:$A$100,0)),""))</f>
        <v>46263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0">
      <formula>"OK"</formula>
    </cfRule>
    <cfRule type="cellIs" priority="3" operator="equal" aboveAverage="0" equalAverage="0" bottom="0" percent="0" rank="0" text="" dxfId="41">
      <formula>"待更新財報"</formula>
    </cfRule>
    <cfRule type="expression" priority="4" aboveAverage="0" equalAverage="0" bottom="0" percent="0" rank="0" text="" dxfId="42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4"/>
      <c r="F2" s="73"/>
    </row>
    <row r="3" customFormat="false" ht="15" hidden="false" customHeight="false" outlineLevel="0" collapsed="false">
      <c r="A3" s="73" t="s">
        <v>166</v>
      </c>
      <c r="B3" s="73"/>
      <c r="C3" s="73"/>
      <c r="D3" s="73"/>
      <c r="E3" s="74"/>
      <c r="F3" s="73"/>
    </row>
    <row r="4" customFormat="false" ht="15" hidden="false" customHeight="false" outlineLevel="0" collapsed="false">
      <c r="A4" s="73" t="s">
        <v>167</v>
      </c>
      <c r="B4" s="73"/>
      <c r="C4" s="73"/>
      <c r="D4" s="73"/>
      <c r="E4" s="74"/>
      <c r="F4" s="73"/>
    </row>
    <row r="5" customFormat="false" ht="15" hidden="false" customHeight="false" outlineLevel="0" collapsed="false">
      <c r="A5" s="73" t="s">
        <v>168</v>
      </c>
      <c r="B5" s="73"/>
      <c r="C5" s="73"/>
      <c r="D5" s="73"/>
      <c r="E5" s="74"/>
      <c r="F5" s="73"/>
    </row>
    <row r="6" customFormat="false" ht="15" hidden="false" customHeight="false" outlineLevel="0" collapsed="false">
      <c r="A6" s="73" t="s">
        <v>169</v>
      </c>
      <c r="B6" s="73"/>
      <c r="C6" s="73"/>
      <c r="D6" s="73"/>
      <c r="E6" s="74"/>
      <c r="F6" s="73"/>
    </row>
    <row r="7" customFormat="false" ht="15" hidden="false" customHeight="false" outlineLevel="0" collapsed="false">
      <c r="A7" s="73" t="s">
        <v>170</v>
      </c>
      <c r="B7" s="73"/>
      <c r="C7" s="73"/>
      <c r="D7" s="73"/>
      <c r="E7" s="74"/>
      <c r="F7" s="73"/>
    </row>
    <row r="8" customFormat="false" ht="15" hidden="false" customHeight="false" outlineLevel="0" collapsed="false">
      <c r="A8" s="73"/>
      <c r="B8" s="73"/>
      <c r="C8" s="73"/>
      <c r="D8" s="73"/>
      <c r="E8" s="74"/>
      <c r="F8" s="73"/>
    </row>
    <row r="9" customFormat="false" ht="15" hidden="false" customHeight="false" outlineLevel="0" collapsed="false">
      <c r="A9" s="73"/>
      <c r="B9" s="73"/>
      <c r="C9" s="73"/>
      <c r="D9" s="73"/>
      <c r="E9" s="74"/>
      <c r="F9" s="73"/>
    </row>
    <row r="10" customFormat="false" ht="15" hidden="false" customHeight="false" outlineLevel="0" collapsed="false">
      <c r="A10" s="73"/>
      <c r="B10" s="73"/>
      <c r="C10" s="73"/>
      <c r="D10" s="73"/>
      <c r="E10" s="74"/>
      <c r="F10" s="73"/>
    </row>
    <row r="11" customFormat="false" ht="15" hidden="false" customHeight="false" outlineLevel="0" collapsed="false">
      <c r="A11" s="73"/>
      <c r="B11" s="73"/>
      <c r="C11" s="73"/>
      <c r="D11" s="73"/>
      <c r="E11" s="74"/>
      <c r="F11" s="73"/>
    </row>
    <row r="12" customFormat="false" ht="15" hidden="false" customHeight="false" outlineLevel="0" collapsed="false">
      <c r="A12" s="73"/>
      <c r="B12" s="73"/>
      <c r="C12" s="73"/>
      <c r="D12" s="73"/>
      <c r="E12" s="74"/>
      <c r="F12" s="73"/>
    </row>
    <row r="13" customFormat="false" ht="15" hidden="false" customHeight="false" outlineLevel="0" collapsed="false">
      <c r="A13" s="73"/>
      <c r="B13" s="73"/>
      <c r="C13" s="73"/>
      <c r="D13" s="73"/>
      <c r="E13" s="74"/>
      <c r="F13" s="73"/>
    </row>
    <row r="14" customFormat="false" ht="15" hidden="false" customHeight="false" outlineLevel="0" collapsed="false">
      <c r="A14" s="73"/>
      <c r="B14" s="73"/>
      <c r="C14" s="73"/>
      <c r="D14" s="73"/>
      <c r="E14" s="74"/>
      <c r="F14" s="73"/>
    </row>
    <row r="15" customFormat="false" ht="15" hidden="false" customHeight="false" outlineLevel="0" collapsed="false">
      <c r="A15" s="73"/>
      <c r="B15" s="73"/>
      <c r="C15" s="73"/>
      <c r="D15" s="73"/>
      <c r="E15" s="74"/>
      <c r="F15" s="73"/>
    </row>
    <row r="16" customFormat="false" ht="15" hidden="false" customHeight="false" outlineLevel="0" collapsed="false">
      <c r="A16" s="73"/>
      <c r="B16" s="73"/>
      <c r="C16" s="73"/>
      <c r="D16" s="73"/>
      <c r="E16" s="74"/>
      <c r="F16" s="73"/>
    </row>
    <row r="17" customFormat="false" ht="15" hidden="false" customHeight="false" outlineLevel="0" collapsed="false">
      <c r="A17" s="73"/>
      <c r="B17" s="73"/>
      <c r="C17" s="73"/>
      <c r="D17" s="73"/>
      <c r="E17" s="74"/>
      <c r="F17" s="73"/>
    </row>
    <row r="18" customFormat="false" ht="15" hidden="false" customHeight="false" outlineLevel="0" collapsed="false">
      <c r="A18" s="73"/>
      <c r="B18" s="73"/>
      <c r="C18" s="73"/>
      <c r="D18" s="73"/>
      <c r="E18" s="74"/>
      <c r="F18" s="73"/>
    </row>
    <row r="19" customFormat="false" ht="15" hidden="false" customHeight="false" outlineLevel="0" collapsed="false">
      <c r="A19" s="73"/>
      <c r="B19" s="73"/>
      <c r="C19" s="73"/>
      <c r="D19" s="73"/>
      <c r="E19" s="74"/>
      <c r="F19" s="73"/>
    </row>
    <row r="20" customFormat="false" ht="15" hidden="false" customHeight="false" outlineLevel="0" collapsed="false">
      <c r="A20" s="73"/>
      <c r="B20" s="73"/>
      <c r="C20" s="73"/>
      <c r="D20" s="73"/>
      <c r="E20" s="74"/>
      <c r="F20" s="73"/>
    </row>
    <row r="21" customFormat="false" ht="15" hidden="false" customHeight="false" outlineLevel="0" collapsed="false">
      <c r="A21" s="73"/>
      <c r="B21" s="73"/>
      <c r="C21" s="73"/>
      <c r="D21" s="73"/>
      <c r="E21" s="74"/>
      <c r="F21" s="73"/>
    </row>
    <row r="24" customFormat="false" ht="15" hidden="false" customHeight="false" outlineLevel="0" collapsed="false">
      <c r="A24" s="24" t="s">
        <v>171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172</v>
      </c>
      <c r="C1" s="14" t="s">
        <v>173</v>
      </c>
      <c r="D1" s="14" t="s">
        <v>174</v>
      </c>
      <c r="E1" s="14" t="s">
        <v>175</v>
      </c>
      <c r="F1" s="14" t="s">
        <v>176</v>
      </c>
      <c r="G1" s="14" t="s">
        <v>177</v>
      </c>
      <c r="H1" s="14" t="s">
        <v>178</v>
      </c>
      <c r="I1" s="14" t="s">
        <v>179</v>
      </c>
      <c r="J1" s="14" t="s">
        <v>180</v>
      </c>
      <c r="K1" s="14" t="s">
        <v>181</v>
      </c>
      <c r="L1" s="14" t="s">
        <v>182</v>
      </c>
      <c r="M1" s="14" t="s">
        <v>183</v>
      </c>
      <c r="N1" s="14" t="s">
        <v>184</v>
      </c>
      <c r="O1" s="14" t="s">
        <v>185</v>
      </c>
      <c r="P1" s="14" t="s">
        <v>186</v>
      </c>
      <c r="Q1" s="14" t="s">
        <v>187</v>
      </c>
    </row>
    <row r="2" customFormat="false" ht="15" hidden="false" customHeight="false" outlineLevel="0" collapsed="false">
      <c r="A2" s="75" t="s">
        <v>170</v>
      </c>
      <c r="B2" s="75" t="s">
        <v>188</v>
      </c>
      <c r="C2" s="76" t="n">
        <v>2026</v>
      </c>
      <c r="D2" s="76" t="n">
        <v>3</v>
      </c>
      <c r="E2" s="77" t="n">
        <v>46294</v>
      </c>
      <c r="F2" s="75" t="s">
        <v>189</v>
      </c>
      <c r="G2" s="75" t="s">
        <v>190</v>
      </c>
      <c r="H2" s="75" t="s">
        <v>191</v>
      </c>
      <c r="I2" s="78"/>
      <c r="J2" s="78"/>
      <c r="K2" s="79" t="n">
        <v>0.14333</v>
      </c>
      <c r="L2" s="78"/>
      <c r="M2" s="78"/>
      <c r="N2" s="79"/>
      <c r="O2" s="79"/>
      <c r="P2" s="47" t="n">
        <v>0</v>
      </c>
      <c r="Q2" s="66" t="s">
        <v>192</v>
      </c>
    </row>
    <row r="3" customFormat="false" ht="15" hidden="false" customHeight="false" outlineLevel="0" collapsed="false">
      <c r="A3" s="75" t="s">
        <v>170</v>
      </c>
      <c r="B3" s="75" t="s">
        <v>193</v>
      </c>
      <c r="C3" s="76" t="n">
        <v>2026</v>
      </c>
      <c r="D3" s="76" t="n">
        <v>2</v>
      </c>
      <c r="E3" s="77" t="n">
        <v>46203</v>
      </c>
      <c r="F3" s="75" t="s">
        <v>194</v>
      </c>
      <c r="G3" s="75" t="s">
        <v>195</v>
      </c>
      <c r="H3" s="75" t="s">
        <v>191</v>
      </c>
      <c r="I3" s="78" t="n">
        <v>191.922</v>
      </c>
      <c r="J3" s="78" t="n">
        <v>53.207</v>
      </c>
      <c r="K3" s="79" t="n">
        <v>0.06</v>
      </c>
      <c r="L3" s="78" t="n">
        <v>81.568</v>
      </c>
      <c r="M3" s="78" t="n">
        <v>1668.025</v>
      </c>
      <c r="N3" s="79"/>
      <c r="O3" s="79" t="n">
        <v>148.160003662109</v>
      </c>
      <c r="P3" s="47" t="n">
        <v>1</v>
      </c>
      <c r="Q3" s="66" t="s">
        <v>196</v>
      </c>
    </row>
    <row r="4" customFormat="false" ht="15" hidden="false" customHeight="false" outlineLevel="0" collapsed="false">
      <c r="A4" s="75" t="s">
        <v>170</v>
      </c>
      <c r="B4" s="75" t="s">
        <v>197</v>
      </c>
      <c r="C4" s="76" t="n">
        <v>2026</v>
      </c>
      <c r="D4" s="76" t="n">
        <v>1</v>
      </c>
      <c r="E4" s="77" t="n">
        <v>46112</v>
      </c>
      <c r="F4" s="75" t="s">
        <v>194</v>
      </c>
      <c r="G4" s="75" t="s">
        <v>195</v>
      </c>
      <c r="H4" s="75" t="s">
        <v>191</v>
      </c>
      <c r="I4" s="78" t="n">
        <v>151.144</v>
      </c>
      <c r="J4" s="78" t="n">
        <v>43.916</v>
      </c>
      <c r="K4" s="79" t="n">
        <v>-0.07</v>
      </c>
      <c r="L4" s="78" t="n">
        <v>75.98</v>
      </c>
      <c r="M4" s="78" t="n">
        <v>1105.952</v>
      </c>
      <c r="N4" s="79"/>
      <c r="O4" s="79" t="n">
        <v>84.5899963378906</v>
      </c>
      <c r="P4" s="47" t="n">
        <v>2</v>
      </c>
      <c r="Q4" s="66" t="s">
        <v>198</v>
      </c>
    </row>
    <row r="5" customFormat="false" ht="15" hidden="false" customHeight="false" outlineLevel="0" collapsed="false">
      <c r="A5" s="75" t="s">
        <v>170</v>
      </c>
      <c r="B5" s="75" t="s">
        <v>199</v>
      </c>
      <c r="C5" s="76" t="n">
        <v>2025</v>
      </c>
      <c r="D5" s="76" t="n">
        <v>4</v>
      </c>
      <c r="E5" s="77" t="n">
        <v>46022</v>
      </c>
      <c r="F5" s="75" t="s">
        <v>194</v>
      </c>
      <c r="G5" s="75" t="s">
        <v>195</v>
      </c>
      <c r="H5" s="75" t="s">
        <v>191</v>
      </c>
      <c r="I5" s="78" t="n">
        <v>134.274</v>
      </c>
      <c r="J5" s="78" t="n">
        <v>41.944</v>
      </c>
      <c r="K5" s="79" t="n">
        <v>-0.01</v>
      </c>
      <c r="L5" s="78" t="n">
        <v>70.336</v>
      </c>
      <c r="M5" s="78" t="n">
        <v>733.918</v>
      </c>
      <c r="N5" s="79"/>
      <c r="O5" s="79" t="n">
        <v>34.8600006103516</v>
      </c>
      <c r="P5" s="47" t="n">
        <v>3</v>
      </c>
      <c r="Q5" s="66" t="s">
        <v>200</v>
      </c>
    </row>
    <row r="6" customFormat="false" ht="15" hidden="false" customHeight="false" outlineLevel="0" collapsed="false">
      <c r="A6" s="75" t="s">
        <v>170</v>
      </c>
      <c r="B6" s="75" t="s">
        <v>201</v>
      </c>
      <c r="C6" s="76" t="n">
        <v>2025</v>
      </c>
      <c r="D6" s="76" t="n">
        <v>3</v>
      </c>
      <c r="E6" s="77" t="n">
        <v>45930</v>
      </c>
      <c r="F6" s="75" t="s">
        <v>194</v>
      </c>
      <c r="G6" s="75" t="s">
        <v>195</v>
      </c>
      <c r="H6" s="75" t="s">
        <v>191</v>
      </c>
      <c r="I6" s="78" t="n">
        <v>118.63</v>
      </c>
      <c r="J6" s="78" t="n">
        <v>33.263</v>
      </c>
      <c r="K6" s="79" t="n">
        <v>-0.09</v>
      </c>
      <c r="L6" s="78" t="n">
        <v>63.329</v>
      </c>
      <c r="M6" s="78" t="n">
        <v>559.085</v>
      </c>
      <c r="N6" s="79"/>
      <c r="O6" s="79" t="n">
        <v>25.9300003051758</v>
      </c>
      <c r="P6" s="47" t="n">
        <v>4</v>
      </c>
      <c r="Q6" s="66" t="s">
        <v>202</v>
      </c>
    </row>
    <row r="7" customFormat="false" ht="15" hidden="false" customHeight="false" outlineLevel="0" collapsed="false">
      <c r="A7" s="75" t="s">
        <v>170</v>
      </c>
      <c r="B7" s="75" t="s">
        <v>203</v>
      </c>
      <c r="C7" s="76" t="n">
        <v>2025</v>
      </c>
      <c r="D7" s="76" t="n">
        <v>2</v>
      </c>
      <c r="E7" s="77" t="n">
        <v>45838</v>
      </c>
      <c r="F7" s="75" t="s">
        <v>194</v>
      </c>
      <c r="G7" s="75" t="s">
        <v>195</v>
      </c>
      <c r="H7" s="75" t="s">
        <v>191</v>
      </c>
      <c r="I7" s="78" t="n">
        <v>102.952</v>
      </c>
      <c r="J7" s="78" t="n">
        <v>31.162</v>
      </c>
      <c r="K7" s="79" t="n">
        <v>-0.16</v>
      </c>
      <c r="L7" s="78" t="n">
        <v>56.772</v>
      </c>
      <c r="M7" s="78" t="n">
        <v>424.981</v>
      </c>
      <c r="N7" s="79"/>
      <c r="O7" s="79" t="n">
        <v>25.6900005340576</v>
      </c>
      <c r="P7" s="47" t="n">
        <v>5</v>
      </c>
      <c r="Q7" s="66" t="s">
        <v>204</v>
      </c>
    </row>
    <row r="8" customFormat="false" ht="15" hidden="false" customHeight="false" outlineLevel="0" collapsed="false">
      <c r="A8" s="75" t="s">
        <v>170</v>
      </c>
      <c r="B8" s="75" t="s">
        <v>205</v>
      </c>
      <c r="C8" s="76" t="n">
        <v>2025</v>
      </c>
      <c r="D8" s="76" t="n">
        <v>1</v>
      </c>
      <c r="E8" s="77" t="n">
        <v>45747</v>
      </c>
      <c r="F8" s="75" t="s">
        <v>194</v>
      </c>
      <c r="G8" s="75" t="s">
        <v>195</v>
      </c>
      <c r="H8" s="75" t="s">
        <v>191</v>
      </c>
      <c r="I8" s="78" t="n">
        <v>99.859</v>
      </c>
      <c r="J8" s="78" t="n">
        <v>30.544</v>
      </c>
      <c r="K8" s="79" t="n">
        <v>-0.02</v>
      </c>
      <c r="L8" s="78" t="n">
        <v>44.458301</v>
      </c>
      <c r="M8" s="78" t="n">
        <v>309.013</v>
      </c>
      <c r="N8" s="79"/>
      <c r="O8" s="79" t="n">
        <v>15.3500003814697</v>
      </c>
      <c r="P8" s="47" t="n">
        <v>6</v>
      </c>
      <c r="Q8" s="66" t="s">
        <v>206</v>
      </c>
    </row>
    <row r="9" customFormat="false" ht="15" hidden="false" customHeight="false" outlineLevel="0" collapsed="false">
      <c r="A9" s="75" t="s">
        <v>170</v>
      </c>
      <c r="B9" s="75" t="s">
        <v>207</v>
      </c>
      <c r="C9" s="76" t="n">
        <v>2024</v>
      </c>
      <c r="D9" s="76" t="n">
        <v>4</v>
      </c>
      <c r="E9" s="77" t="n">
        <v>45657</v>
      </c>
      <c r="F9" s="75" t="s">
        <v>194</v>
      </c>
      <c r="G9" s="75" t="s">
        <v>195</v>
      </c>
      <c r="H9" s="75" t="s">
        <v>191</v>
      </c>
      <c r="I9" s="78" t="n">
        <v>100.271</v>
      </c>
      <c r="J9" s="78" t="n">
        <v>28.729</v>
      </c>
      <c r="K9" s="79" t="n">
        <v>-0.02</v>
      </c>
      <c r="L9" s="78" t="n">
        <v>83.077102</v>
      </c>
      <c r="M9" s="78" t="n">
        <v>229.112</v>
      </c>
      <c r="N9" s="79"/>
      <c r="O9" s="79" t="n">
        <v>36.8600006103516</v>
      </c>
      <c r="P9" s="47" t="n">
        <v>7</v>
      </c>
      <c r="Q9" s="66" t="s">
        <v>208</v>
      </c>
    </row>
    <row r="10" customFormat="false" ht="15" hidden="false" customHeight="false" outlineLevel="0" collapsed="false">
      <c r="A10" s="75" t="s">
        <v>170</v>
      </c>
      <c r="B10" s="75" t="s">
        <v>209</v>
      </c>
      <c r="C10" s="76" t="n">
        <v>2024</v>
      </c>
      <c r="D10" s="76" t="n">
        <v>3</v>
      </c>
      <c r="E10" s="77" t="n">
        <v>45565</v>
      </c>
      <c r="F10" s="75" t="s">
        <v>194</v>
      </c>
      <c r="G10" s="75" t="s">
        <v>195</v>
      </c>
      <c r="H10" s="75" t="s">
        <v>191</v>
      </c>
      <c r="I10" s="78" t="n">
        <v>65.151</v>
      </c>
      <c r="J10" s="78" t="n">
        <v>15.917</v>
      </c>
      <c r="K10" s="79" t="n">
        <v>-0.21</v>
      </c>
      <c r="L10" s="78" t="n">
        <v>39.16587</v>
      </c>
      <c r="M10" s="78" t="n">
        <v>212.086</v>
      </c>
      <c r="N10" s="79"/>
      <c r="O10" s="79" t="n">
        <v>14.3100004196167</v>
      </c>
      <c r="P10" s="47" t="n">
        <v>8</v>
      </c>
      <c r="Q10" s="66" t="s">
        <v>210</v>
      </c>
    </row>
    <row r="11" customFormat="false" ht="15" hidden="false" customHeight="false" outlineLevel="0" collapsed="false">
      <c r="A11" s="75" t="s">
        <v>170</v>
      </c>
      <c r="B11" s="75" t="s">
        <v>211</v>
      </c>
      <c r="C11" s="76" t="n">
        <v>2024</v>
      </c>
      <c r="D11" s="76" t="n">
        <v>2</v>
      </c>
      <c r="E11" s="77" t="n">
        <v>45473</v>
      </c>
      <c r="F11" s="75" t="s">
        <v>194</v>
      </c>
      <c r="G11" s="75" t="s">
        <v>195</v>
      </c>
      <c r="H11" s="75" t="s">
        <v>191</v>
      </c>
      <c r="I11" s="78" t="n">
        <v>43.27</v>
      </c>
      <c r="J11" s="78" t="n">
        <v>9.562</v>
      </c>
      <c r="K11" s="79" t="n">
        <v>-0.28</v>
      </c>
      <c r="L11" s="78" t="n">
        <v>36.78515</v>
      </c>
      <c r="M11" s="78" t="n">
        <v>186.494</v>
      </c>
      <c r="N11" s="79"/>
      <c r="O11" s="79" t="n">
        <v>8.28999996185303</v>
      </c>
      <c r="P11" s="47" t="n">
        <v>9</v>
      </c>
      <c r="Q11" s="66" t="s">
        <v>212</v>
      </c>
    </row>
    <row r="12" customFormat="false" ht="15" hidden="false" customHeight="false" outlineLevel="0" collapsed="false">
      <c r="A12" s="75" t="s">
        <v>170</v>
      </c>
      <c r="B12" s="75" t="s">
        <v>213</v>
      </c>
      <c r="C12" s="76" t="n">
        <v>2024</v>
      </c>
      <c r="D12" s="76" t="n">
        <v>1</v>
      </c>
      <c r="E12" s="77" t="n">
        <v>45382</v>
      </c>
      <c r="F12" s="75" t="s">
        <v>194</v>
      </c>
      <c r="G12" s="75" t="s">
        <v>195</v>
      </c>
      <c r="H12" s="75" t="s">
        <v>191</v>
      </c>
      <c r="I12" s="78" t="n">
        <v>40.673</v>
      </c>
      <c r="J12" s="78" t="n">
        <v>7.591</v>
      </c>
      <c r="K12" s="79" t="n">
        <v>-0.31</v>
      </c>
      <c r="L12" s="78" t="n">
        <v>34.316824</v>
      </c>
      <c r="M12" s="78" t="n">
        <v>195.726</v>
      </c>
      <c r="N12" s="79"/>
      <c r="O12" s="79" t="n">
        <v>13.8599996566773</v>
      </c>
      <c r="P12" s="47" t="n">
        <v>10</v>
      </c>
      <c r="Q12" s="66" t="s">
        <v>214</v>
      </c>
    </row>
    <row r="13" customFormat="false" ht="15" hidden="false" customHeight="false" outlineLevel="0" collapsed="false">
      <c r="A13" s="75" t="s">
        <v>170</v>
      </c>
      <c r="B13" s="75" t="s">
        <v>215</v>
      </c>
      <c r="C13" s="76" t="n">
        <v>2023</v>
      </c>
      <c r="D13" s="76" t="n">
        <v>4</v>
      </c>
      <c r="E13" s="77" t="n">
        <v>45291</v>
      </c>
      <c r="F13" s="75" t="s">
        <v>194</v>
      </c>
      <c r="G13" s="75" t="s">
        <v>195</v>
      </c>
      <c r="H13" s="75" t="s">
        <v>191</v>
      </c>
      <c r="I13" s="78" t="n">
        <v>60.453</v>
      </c>
      <c r="J13" s="78" t="n">
        <v>21.604</v>
      </c>
      <c r="K13" s="79" t="n">
        <v>0.04</v>
      </c>
      <c r="L13" s="78" t="n">
        <v>31.944259</v>
      </c>
      <c r="M13" s="78" t="n">
        <v>214.869</v>
      </c>
      <c r="N13" s="79"/>
      <c r="O13" s="79" t="n">
        <v>19.3199996948242</v>
      </c>
      <c r="P13" s="47" t="n">
        <v>11</v>
      </c>
      <c r="Q13" s="66" t="s">
        <v>216</v>
      </c>
    </row>
    <row r="14" customFormat="false" ht="15" hidden="false" customHeight="false" outlineLevel="0" collapsed="false">
      <c r="A14" s="75" t="s">
        <v>170</v>
      </c>
      <c r="B14" s="75" t="s">
        <v>217</v>
      </c>
      <c r="C14" s="76" t="n">
        <v>2023</v>
      </c>
      <c r="D14" s="76" t="n">
        <v>3</v>
      </c>
      <c r="E14" s="77" t="n">
        <v>45199</v>
      </c>
      <c r="F14" s="75" t="s">
        <v>194</v>
      </c>
      <c r="G14" s="75" t="s">
        <v>195</v>
      </c>
      <c r="H14" s="75" t="s">
        <v>191</v>
      </c>
      <c r="I14" s="78" t="n">
        <v>62.547</v>
      </c>
      <c r="J14" s="78" t="n">
        <v>20.174</v>
      </c>
      <c r="K14" s="79" t="n">
        <v>-0.05</v>
      </c>
      <c r="L14" s="78" t="n">
        <v>29.910996</v>
      </c>
      <c r="M14" s="78" t="n">
        <v>178.353</v>
      </c>
      <c r="N14" s="79"/>
      <c r="O14" s="79" t="n">
        <v>10.9700002670288</v>
      </c>
      <c r="P14" s="47" t="n">
        <v>12</v>
      </c>
      <c r="Q14" s="66" t="s">
        <v>218</v>
      </c>
    </row>
    <row r="15" customFormat="false" ht="15" hidden="false" customHeight="false" outlineLevel="0" collapsed="false">
      <c r="A15" s="75" t="s">
        <v>170</v>
      </c>
      <c r="B15" s="75" t="s">
        <v>219</v>
      </c>
      <c r="C15" s="76" t="n">
        <v>2023</v>
      </c>
      <c r="D15" s="76" t="n">
        <v>2</v>
      </c>
      <c r="E15" s="77" t="n">
        <v>45107</v>
      </c>
      <c r="F15" s="75" t="s">
        <v>194</v>
      </c>
      <c r="G15" s="75" t="s">
        <v>195</v>
      </c>
      <c r="H15" s="75" t="s">
        <v>191</v>
      </c>
      <c r="I15" s="78" t="n">
        <v>41.615</v>
      </c>
      <c r="J15" s="78" t="n">
        <v>7.898</v>
      </c>
      <c r="K15" s="79" t="n">
        <v>-0.21</v>
      </c>
      <c r="L15" s="78" t="n">
        <v>29.488561</v>
      </c>
      <c r="M15" s="78" t="n">
        <v>163.259</v>
      </c>
      <c r="N15" s="79"/>
      <c r="O15" s="79" t="n">
        <v>5.96000003814697</v>
      </c>
      <c r="P15" s="47" t="n">
        <v>13</v>
      </c>
      <c r="Q15" s="66" t="s">
        <v>220</v>
      </c>
    </row>
    <row r="16" customFormat="false" ht="15" hidden="false" customHeight="false" outlineLevel="0" collapsed="false">
      <c r="A16" s="75" t="s">
        <v>170</v>
      </c>
      <c r="B16" s="75" t="s">
        <v>221</v>
      </c>
      <c r="C16" s="76" t="n">
        <v>2023</v>
      </c>
      <c r="D16" s="76" t="n">
        <v>1</v>
      </c>
      <c r="E16" s="77" t="n">
        <v>45016</v>
      </c>
      <c r="F16" s="75" t="s">
        <v>194</v>
      </c>
      <c r="G16" s="75" t="s">
        <v>195</v>
      </c>
      <c r="H16" s="75" t="s">
        <v>191</v>
      </c>
      <c r="I16" s="78" t="n">
        <v>53.03</v>
      </c>
      <c r="J16" s="78" t="n">
        <v>9.244</v>
      </c>
      <c r="K16" s="79" t="n">
        <v>-0.25</v>
      </c>
      <c r="L16" s="78" t="n">
        <v>28.871857</v>
      </c>
      <c r="M16" s="78" t="n">
        <v>172.637</v>
      </c>
      <c r="N16" s="79"/>
      <c r="O16" s="79" t="n">
        <v>2.21000003814697</v>
      </c>
      <c r="P16" s="47" t="n">
        <v>14</v>
      </c>
      <c r="Q16" s="66" t="s">
        <v>222</v>
      </c>
    </row>
    <row r="17" customFormat="false" ht="15" hidden="false" customHeight="false" outlineLevel="0" collapsed="false">
      <c r="A17" s="75" t="s">
        <v>170</v>
      </c>
      <c r="B17" s="75" t="s">
        <v>223</v>
      </c>
      <c r="C17" s="76" t="n">
        <v>2022</v>
      </c>
      <c r="D17" s="76" t="n">
        <v>4</v>
      </c>
      <c r="E17" s="77" t="n">
        <v>44926</v>
      </c>
      <c r="F17" s="75" t="s">
        <v>194</v>
      </c>
      <c r="G17" s="75" t="s">
        <v>195</v>
      </c>
      <c r="H17" s="75" t="s">
        <v>191</v>
      </c>
      <c r="I17" s="78" t="n">
        <v>61.585</v>
      </c>
      <c r="J17" s="78" t="n">
        <v>6.226</v>
      </c>
      <c r="K17" s="79" t="n">
        <v>-0.19</v>
      </c>
      <c r="L17" s="78"/>
      <c r="M17" s="78" t="n">
        <v>184.67</v>
      </c>
      <c r="N17" s="79"/>
      <c r="O17" s="79" t="n">
        <v>1.88999998569489</v>
      </c>
      <c r="P17" s="47" t="n">
        <v>15</v>
      </c>
      <c r="Q17" s="66" t="s">
        <v>224</v>
      </c>
    </row>
    <row r="18" customFormat="false" ht="15" hidden="false" customHeight="false" outlineLevel="0" collapsed="false">
      <c r="A18" s="75" t="s">
        <v>170</v>
      </c>
      <c r="B18" s="75" t="s">
        <v>225</v>
      </c>
      <c r="C18" s="76" t="n">
        <v>2022</v>
      </c>
      <c r="D18" s="76" t="n">
        <v>3</v>
      </c>
      <c r="E18" s="77" t="n">
        <v>44834</v>
      </c>
      <c r="F18" s="75" t="s">
        <v>194</v>
      </c>
      <c r="G18" s="75" t="s">
        <v>195</v>
      </c>
      <c r="H18" s="75" t="s">
        <v>191</v>
      </c>
      <c r="I18" s="78" t="n">
        <v>56.693</v>
      </c>
      <c r="J18" s="78" t="n">
        <v>9.749</v>
      </c>
      <c r="K18" s="79" t="n">
        <v>-0.26</v>
      </c>
      <c r="L18" s="78" t="n">
        <v>83.517735</v>
      </c>
      <c r="M18" s="78" t="n">
        <v>198.538</v>
      </c>
      <c r="N18" s="79"/>
      <c r="O18" s="79" t="n">
        <v>2.72000002861023</v>
      </c>
      <c r="P18" s="47" t="n">
        <v>16</v>
      </c>
      <c r="Q18" s="66" t="s">
        <v>226</v>
      </c>
    </row>
    <row r="19" customFormat="false" ht="15" hidden="false" customHeight="false" outlineLevel="0" collapsed="false">
      <c r="A19" s="75" t="s">
        <v>170</v>
      </c>
      <c r="B19" s="75" t="s">
        <v>227</v>
      </c>
      <c r="C19" s="76" t="n">
        <v>2022</v>
      </c>
      <c r="D19" s="76" t="n">
        <v>2</v>
      </c>
      <c r="E19" s="77" t="n">
        <v>44742</v>
      </c>
      <c r="F19" s="75" t="s">
        <v>194</v>
      </c>
      <c r="G19" s="75" t="s">
        <v>195</v>
      </c>
      <c r="H19" s="75" t="s">
        <v>191</v>
      </c>
      <c r="I19" s="78" t="n">
        <v>52.299</v>
      </c>
      <c r="J19" s="78" t="n">
        <v>8.628</v>
      </c>
      <c r="K19" s="79" t="n">
        <v>-0.28</v>
      </c>
      <c r="L19" s="78" t="n">
        <v>82.836945</v>
      </c>
      <c r="M19" s="78" t="n">
        <v>219.594</v>
      </c>
      <c r="N19" s="79"/>
      <c r="O19" s="79" t="n">
        <v>1.54999995231628</v>
      </c>
      <c r="P19" s="47" t="n">
        <v>17</v>
      </c>
      <c r="Q19" s="66" t="s">
        <v>228</v>
      </c>
    </row>
    <row r="20" customFormat="false" ht="15" hidden="false" customHeight="false" outlineLevel="0" collapsed="false">
      <c r="A20" s="75" t="s">
        <v>170</v>
      </c>
      <c r="B20" s="75" t="s">
        <v>229</v>
      </c>
      <c r="C20" s="76" t="n">
        <v>2022</v>
      </c>
      <c r="D20" s="76" t="n">
        <v>1</v>
      </c>
      <c r="E20" s="77" t="n">
        <v>44651</v>
      </c>
      <c r="F20" s="75" t="s">
        <v>194</v>
      </c>
      <c r="G20" s="75" t="s">
        <v>195</v>
      </c>
      <c r="H20" s="75" t="s">
        <v>191</v>
      </c>
      <c r="I20" s="78" t="n">
        <v>52.242</v>
      </c>
      <c r="J20" s="78" t="n">
        <v>9.025</v>
      </c>
      <c r="K20" s="79" t="n">
        <v>-0.29</v>
      </c>
      <c r="L20" s="78" t="n">
        <v>82.389963</v>
      </c>
      <c r="M20" s="78" t="n">
        <v>239.577</v>
      </c>
      <c r="N20" s="79"/>
      <c r="O20" s="79" t="n">
        <v>3.65000009536743</v>
      </c>
      <c r="P20" s="47" t="n">
        <v>18</v>
      </c>
      <c r="Q20" s="66" t="s">
        <v>230</v>
      </c>
    </row>
    <row r="21" customFormat="false" ht="15" hidden="false" customHeight="false" outlineLevel="0" collapsed="false">
      <c r="A21" s="75" t="s">
        <v>170</v>
      </c>
      <c r="B21" s="75" t="s">
        <v>231</v>
      </c>
      <c r="C21" s="76" t="n">
        <v>2021</v>
      </c>
      <c r="D21" s="76" t="n">
        <v>4</v>
      </c>
      <c r="E21" s="77" t="n">
        <v>44561</v>
      </c>
      <c r="F21" s="75" t="s">
        <v>194</v>
      </c>
      <c r="G21" s="75" t="s">
        <v>195</v>
      </c>
      <c r="H21" s="75" t="s">
        <v>191</v>
      </c>
      <c r="I21" s="78" t="n">
        <v>54.408</v>
      </c>
      <c r="J21" s="78" t="n">
        <v>8.095</v>
      </c>
      <c r="K21" s="79" t="n">
        <v>-0.2</v>
      </c>
      <c r="L21" s="78"/>
      <c r="M21" s="78" t="n">
        <v>254.57</v>
      </c>
      <c r="N21" s="79"/>
      <c r="O21" s="79" t="n">
        <v>5.1399998664856</v>
      </c>
      <c r="P21" s="47" t="n">
        <v>19</v>
      </c>
      <c r="Q21" s="66" t="s">
        <v>232</v>
      </c>
    </row>
    <row r="22" customFormat="false" ht="15" hidden="false" customHeight="false" outlineLevel="0" collapsed="false">
      <c r="A22" s="75" t="s">
        <v>170</v>
      </c>
      <c r="B22" s="75" t="s">
        <v>233</v>
      </c>
      <c r="C22" s="76" t="n">
        <v>2021</v>
      </c>
      <c r="D22" s="76" t="n">
        <v>3</v>
      </c>
      <c r="E22" s="77" t="n">
        <v>44469</v>
      </c>
      <c r="F22" s="75" t="s">
        <v>194</v>
      </c>
      <c r="G22" s="75" t="s">
        <v>195</v>
      </c>
      <c r="H22" s="75" t="s">
        <v>191</v>
      </c>
      <c r="I22" s="78" t="n">
        <v>53.267</v>
      </c>
      <c r="J22" s="78" t="n">
        <v>8.124</v>
      </c>
      <c r="K22" s="79" t="n">
        <v>-0.2</v>
      </c>
      <c r="L22" s="78" t="n">
        <v>81.292116</v>
      </c>
      <c r="M22" s="78" t="n">
        <v>263.968</v>
      </c>
      <c r="N22" s="79"/>
      <c r="O22" s="79" t="n">
        <v>7.17999982833862</v>
      </c>
      <c r="P22" s="47" t="n">
        <v>20</v>
      </c>
      <c r="Q22" s="66" t="s">
        <v>234</v>
      </c>
    </row>
    <row r="23" customFormat="false" ht="15" hidden="false" customHeight="false" outlineLevel="0" collapsed="false">
      <c r="A23" s="75" t="s">
        <v>170</v>
      </c>
      <c r="B23" s="75" t="s">
        <v>235</v>
      </c>
      <c r="C23" s="76" t="n">
        <v>2021</v>
      </c>
      <c r="D23" s="76" t="n">
        <v>2</v>
      </c>
      <c r="E23" s="77" t="n">
        <v>44377</v>
      </c>
      <c r="F23" s="75" t="s">
        <v>194</v>
      </c>
      <c r="G23" s="75" t="s">
        <v>195</v>
      </c>
      <c r="H23" s="75" t="s">
        <v>191</v>
      </c>
      <c r="I23" s="78" t="n">
        <v>54.189</v>
      </c>
      <c r="J23" s="78" t="n">
        <v>10.778</v>
      </c>
      <c r="K23" s="79" t="n">
        <v>-0.15</v>
      </c>
      <c r="L23" s="78" t="n">
        <v>80.550096</v>
      </c>
      <c r="M23" s="78" t="n">
        <v>277.291</v>
      </c>
      <c r="N23" s="79"/>
      <c r="O23" s="79" t="n">
        <v>8.47000026702881</v>
      </c>
      <c r="P23" s="47" t="n">
        <v>21</v>
      </c>
      <c r="Q23" s="66" t="s">
        <v>236</v>
      </c>
    </row>
    <row r="24" customFormat="false" ht="15" hidden="false" customHeight="false" outlineLevel="0" collapsed="false">
      <c r="A24" s="75" t="s">
        <v>170</v>
      </c>
      <c r="B24" s="75" t="s">
        <v>237</v>
      </c>
      <c r="C24" s="76" t="n">
        <v>2021</v>
      </c>
      <c r="D24" s="76" t="n">
        <v>1</v>
      </c>
      <c r="E24" s="77" t="n">
        <v>44286</v>
      </c>
      <c r="F24" s="75" t="s">
        <v>194</v>
      </c>
      <c r="G24" s="75" t="s">
        <v>195</v>
      </c>
      <c r="H24" s="75" t="s">
        <v>191</v>
      </c>
      <c r="I24" s="78" t="n">
        <v>49.701</v>
      </c>
      <c r="J24" s="78" t="n">
        <v>10.719</v>
      </c>
      <c r="K24" s="79" t="n">
        <v>-0.21</v>
      </c>
      <c r="L24" s="78" t="n">
        <v>79.314213</v>
      </c>
      <c r="M24" s="78" t="n">
        <v>278.472</v>
      </c>
      <c r="N24" s="79"/>
      <c r="O24" s="79" t="n">
        <v>8.35999965667725</v>
      </c>
      <c r="P24" s="47" t="n">
        <v>22</v>
      </c>
      <c r="Q24" s="66" t="s">
        <v>238</v>
      </c>
    </row>
    <row r="25" customFormat="false" ht="15" hidden="false" customHeight="false" outlineLevel="0" collapsed="false">
      <c r="A25" s="75" t="s">
        <v>170</v>
      </c>
      <c r="B25" s="75" t="s">
        <v>239</v>
      </c>
      <c r="C25" s="76" t="n">
        <v>2020</v>
      </c>
      <c r="D25" s="76" t="n">
        <v>4</v>
      </c>
      <c r="E25" s="77" t="n">
        <v>44196</v>
      </c>
      <c r="F25" s="75" t="s">
        <v>194</v>
      </c>
      <c r="G25" s="75" t="s">
        <v>195</v>
      </c>
      <c r="H25" s="75" t="s">
        <v>191</v>
      </c>
      <c r="I25" s="78" t="n">
        <v>52.325</v>
      </c>
      <c r="J25" s="78" t="n">
        <v>11.277</v>
      </c>
      <c r="K25" s="79" t="n">
        <v>-0.2</v>
      </c>
      <c r="L25" s="78"/>
      <c r="M25" s="78" t="n">
        <v>277.891</v>
      </c>
      <c r="N25" s="79"/>
      <c r="O25" s="79" t="n">
        <v>8.51000022888184</v>
      </c>
      <c r="P25" s="47" t="n">
        <v>23</v>
      </c>
      <c r="Q25" s="66" t="s">
        <v>240</v>
      </c>
    </row>
    <row r="26" customFormat="false" ht="15" hidden="false" customHeight="false" outlineLevel="0" collapsed="false">
      <c r="A26" s="75" t="s">
        <v>170</v>
      </c>
      <c r="B26" s="75" t="s">
        <v>241</v>
      </c>
      <c r="C26" s="76" t="n">
        <v>2020</v>
      </c>
      <c r="D26" s="76" t="n">
        <v>3</v>
      </c>
      <c r="E26" s="77" t="n">
        <v>44104</v>
      </c>
      <c r="F26" s="75" t="s">
        <v>194</v>
      </c>
      <c r="G26" s="75" t="s">
        <v>195</v>
      </c>
      <c r="H26" s="75" t="s">
        <v>191</v>
      </c>
      <c r="I26" s="78" t="n">
        <v>76.608</v>
      </c>
      <c r="J26" s="78" t="n">
        <v>19.19</v>
      </c>
      <c r="K26" s="79" t="n">
        <v>-0.06</v>
      </c>
      <c r="L26" s="78" t="n">
        <v>22.744361</v>
      </c>
      <c r="M26" s="78" t="n">
        <v>265.166</v>
      </c>
      <c r="N26" s="79"/>
      <c r="O26" s="79" t="n">
        <v>11.25</v>
      </c>
      <c r="P26" s="47" t="n">
        <v>24</v>
      </c>
      <c r="Q26" s="66" t="s">
        <v>242</v>
      </c>
    </row>
    <row r="27" customFormat="false" ht="15" hidden="false" customHeight="false" outlineLevel="0" collapsed="false">
      <c r="A27" s="75" t="s">
        <v>84</v>
      </c>
      <c r="B27" s="75" t="s">
        <v>243</v>
      </c>
      <c r="C27" s="76" t="n">
        <v>2026</v>
      </c>
      <c r="D27" s="76" t="n">
        <v>4</v>
      </c>
      <c r="E27" s="77" t="n">
        <v>46294</v>
      </c>
      <c r="F27" s="75" t="s">
        <v>189</v>
      </c>
      <c r="G27" s="75" t="s">
        <v>190</v>
      </c>
      <c r="H27" s="75" t="s">
        <v>191</v>
      </c>
      <c r="I27" s="78"/>
      <c r="J27" s="78"/>
      <c r="K27" s="79" t="n">
        <v>1.97656</v>
      </c>
      <c r="L27" s="78"/>
      <c r="M27" s="78"/>
      <c r="N27" s="79"/>
      <c r="O27" s="79"/>
      <c r="P27" s="47" t="n">
        <v>0</v>
      </c>
      <c r="Q27" s="66" t="s">
        <v>244</v>
      </c>
    </row>
    <row r="28" customFormat="false" ht="15" hidden="false" customHeight="false" outlineLevel="0" collapsed="false">
      <c r="A28" s="75" t="s">
        <v>84</v>
      </c>
      <c r="B28" s="75" t="s">
        <v>245</v>
      </c>
      <c r="C28" s="76" t="n">
        <v>2026</v>
      </c>
      <c r="D28" s="76" t="n">
        <v>3</v>
      </c>
      <c r="E28" s="77" t="n">
        <v>46203</v>
      </c>
      <c r="F28" s="75" t="s">
        <v>194</v>
      </c>
      <c r="G28" s="75" t="s">
        <v>195</v>
      </c>
      <c r="H28" s="75" t="s">
        <v>191</v>
      </c>
      <c r="I28" s="78" t="n">
        <v>109417</v>
      </c>
      <c r="J28" s="78" t="n">
        <v>54770</v>
      </c>
      <c r="K28" s="79" t="n">
        <v>2.02</v>
      </c>
      <c r="L28" s="78" t="n">
        <v>14714.676</v>
      </c>
      <c r="M28" s="78" t="n">
        <v>107520</v>
      </c>
      <c r="N28" s="79" t="n">
        <v>0.27</v>
      </c>
      <c r="O28" s="79" t="n">
        <v>289.359985351563</v>
      </c>
      <c r="P28" s="47" t="n">
        <v>1</v>
      </c>
      <c r="Q28" s="66" t="s">
        <v>246</v>
      </c>
    </row>
    <row r="29" customFormat="false" ht="15" hidden="false" customHeight="false" outlineLevel="0" collapsed="false">
      <c r="A29" s="75" t="s">
        <v>84</v>
      </c>
      <c r="B29" s="75" t="s">
        <v>193</v>
      </c>
      <c r="C29" s="76" t="n">
        <v>2026</v>
      </c>
      <c r="D29" s="76" t="n">
        <v>2</v>
      </c>
      <c r="E29" s="77" t="n">
        <v>46112</v>
      </c>
      <c r="F29" s="75" t="s">
        <v>194</v>
      </c>
      <c r="G29" s="75" t="s">
        <v>195</v>
      </c>
      <c r="H29" s="75" t="s">
        <v>191</v>
      </c>
      <c r="I29" s="78" t="n">
        <v>111184</v>
      </c>
      <c r="J29" s="78" t="n">
        <v>54781</v>
      </c>
      <c r="K29" s="79" t="n">
        <v>2.01</v>
      </c>
      <c r="L29" s="78" t="n">
        <v>14725.873</v>
      </c>
      <c r="M29" s="78" t="n">
        <v>106491</v>
      </c>
      <c r="N29" s="79" t="n">
        <v>0.26</v>
      </c>
      <c r="O29" s="79" t="n">
        <v>253.789993286133</v>
      </c>
      <c r="P29" s="47" t="n">
        <v>2</v>
      </c>
      <c r="Q29" s="66" t="s">
        <v>247</v>
      </c>
    </row>
    <row r="30" customFormat="false" ht="15" hidden="false" customHeight="false" outlineLevel="0" collapsed="false">
      <c r="A30" s="75" t="s">
        <v>84</v>
      </c>
      <c r="B30" s="75" t="s">
        <v>197</v>
      </c>
      <c r="C30" s="76" t="n">
        <v>2026</v>
      </c>
      <c r="D30" s="76" t="n">
        <v>1</v>
      </c>
      <c r="E30" s="77" t="n">
        <v>46022</v>
      </c>
      <c r="F30" s="75" t="s">
        <v>194</v>
      </c>
      <c r="G30" s="75" t="s">
        <v>195</v>
      </c>
      <c r="H30" s="75" t="s">
        <v>191</v>
      </c>
      <c r="I30" s="78" t="n">
        <v>143756</v>
      </c>
      <c r="J30" s="78" t="n">
        <v>69231</v>
      </c>
      <c r="K30" s="79" t="n">
        <v>2.84</v>
      </c>
      <c r="L30" s="78" t="n">
        <v>14810.356</v>
      </c>
      <c r="M30" s="78" t="n">
        <v>88190</v>
      </c>
      <c r="N30" s="79" t="n">
        <v>0.26</v>
      </c>
      <c r="O30" s="79" t="n">
        <v>271.859985351563</v>
      </c>
      <c r="P30" s="47" t="n">
        <v>3</v>
      </c>
      <c r="Q30" s="66" t="s">
        <v>248</v>
      </c>
    </row>
    <row r="31" customFormat="false" ht="15" hidden="false" customHeight="false" outlineLevel="0" collapsed="false">
      <c r="A31" s="75" t="s">
        <v>84</v>
      </c>
      <c r="B31" s="75" t="s">
        <v>199</v>
      </c>
      <c r="C31" s="76" t="n">
        <v>2025</v>
      </c>
      <c r="D31" s="76" t="n">
        <v>4</v>
      </c>
      <c r="E31" s="77" t="n">
        <v>45930</v>
      </c>
      <c r="F31" s="75" t="s">
        <v>194</v>
      </c>
      <c r="G31" s="75" t="s">
        <v>195</v>
      </c>
      <c r="H31" s="75" t="s">
        <v>191</v>
      </c>
      <c r="I31" s="78" t="n">
        <v>102466</v>
      </c>
      <c r="J31" s="78" t="n">
        <v>48341</v>
      </c>
      <c r="K31" s="79" t="n">
        <v>1.85</v>
      </c>
      <c r="L31" s="78" t="n">
        <v>14863.609</v>
      </c>
      <c r="M31" s="78" t="n">
        <v>73733</v>
      </c>
      <c r="N31" s="79" t="n">
        <v>0.26</v>
      </c>
      <c r="O31" s="79" t="n">
        <v>254.630004882813</v>
      </c>
      <c r="P31" s="47" t="n">
        <v>4</v>
      </c>
      <c r="Q31" s="66" t="s">
        <v>249</v>
      </c>
    </row>
    <row r="32" customFormat="false" ht="15" hidden="false" customHeight="false" outlineLevel="0" collapsed="false">
      <c r="A32" s="75" t="s">
        <v>84</v>
      </c>
      <c r="B32" s="75" t="s">
        <v>201</v>
      </c>
      <c r="C32" s="76" t="n">
        <v>2025</v>
      </c>
      <c r="D32" s="76" t="n">
        <v>3</v>
      </c>
      <c r="E32" s="77" t="n">
        <v>45838</v>
      </c>
      <c r="F32" s="75" t="s">
        <v>194</v>
      </c>
      <c r="G32" s="75" t="s">
        <v>195</v>
      </c>
      <c r="H32" s="75" t="s">
        <v>191</v>
      </c>
      <c r="I32" s="78" t="n">
        <v>94036</v>
      </c>
      <c r="J32" s="78" t="n">
        <v>43718</v>
      </c>
      <c r="K32" s="79" t="n">
        <v>1.57</v>
      </c>
      <c r="L32" s="78" t="n">
        <v>14948.179</v>
      </c>
      <c r="M32" s="78" t="n">
        <v>65830</v>
      </c>
      <c r="N32" s="79" t="n">
        <v>0.26</v>
      </c>
      <c r="O32" s="79" t="n">
        <v>205.169998168945</v>
      </c>
      <c r="P32" s="47" t="n">
        <v>5</v>
      </c>
      <c r="Q32" s="66" t="s">
        <v>250</v>
      </c>
    </row>
    <row r="33" customFormat="false" ht="15" hidden="false" customHeight="false" outlineLevel="0" collapsed="false">
      <c r="A33" s="75" t="s">
        <v>84</v>
      </c>
      <c r="B33" s="75" t="s">
        <v>203</v>
      </c>
      <c r="C33" s="76" t="n">
        <v>2025</v>
      </c>
      <c r="D33" s="76" t="n">
        <v>2</v>
      </c>
      <c r="E33" s="77" t="n">
        <v>45747</v>
      </c>
      <c r="F33" s="75" t="s">
        <v>194</v>
      </c>
      <c r="G33" s="75" t="s">
        <v>195</v>
      </c>
      <c r="H33" s="75" t="s">
        <v>191</v>
      </c>
      <c r="I33" s="78" t="n">
        <v>95359</v>
      </c>
      <c r="J33" s="78" t="n">
        <v>44867</v>
      </c>
      <c r="K33" s="79" t="n">
        <v>1.65</v>
      </c>
      <c r="L33" s="78" t="n">
        <v>15199.507</v>
      </c>
      <c r="M33" s="78" t="n">
        <v>66796</v>
      </c>
      <c r="N33" s="79" t="n">
        <v>0.25</v>
      </c>
      <c r="O33" s="79" t="n">
        <v>222.130004882813</v>
      </c>
      <c r="P33" s="47" t="n">
        <v>6</v>
      </c>
      <c r="Q33" s="66" t="s">
        <v>251</v>
      </c>
    </row>
    <row r="34" customFormat="false" ht="15" hidden="false" customHeight="false" outlineLevel="0" collapsed="false">
      <c r="A34" s="75" t="s">
        <v>84</v>
      </c>
      <c r="B34" s="75" t="s">
        <v>205</v>
      </c>
      <c r="C34" s="76" t="n">
        <v>2025</v>
      </c>
      <c r="D34" s="76" t="n">
        <v>1</v>
      </c>
      <c r="E34" s="77" t="n">
        <v>45657</v>
      </c>
      <c r="F34" s="75" t="s">
        <v>194</v>
      </c>
      <c r="G34" s="75" t="s">
        <v>195</v>
      </c>
      <c r="H34" s="75" t="s">
        <v>191</v>
      </c>
      <c r="I34" s="78" t="n">
        <v>124300</v>
      </c>
      <c r="J34" s="78" t="n">
        <v>58275</v>
      </c>
      <c r="K34" s="79" t="n">
        <v>2.4</v>
      </c>
      <c r="L34" s="78" t="n">
        <v>15301.651</v>
      </c>
      <c r="M34" s="78" t="n">
        <v>66758</v>
      </c>
      <c r="N34" s="79" t="n">
        <v>0.25</v>
      </c>
      <c r="O34" s="79" t="n">
        <v>250.419998168945</v>
      </c>
      <c r="P34" s="47" t="n">
        <v>7</v>
      </c>
      <c r="Q34" s="66" t="s">
        <v>252</v>
      </c>
    </row>
    <row r="35" customFormat="false" ht="15" hidden="false" customHeight="false" outlineLevel="0" collapsed="false">
      <c r="A35" s="75" t="s">
        <v>84</v>
      </c>
      <c r="B35" s="75" t="s">
        <v>207</v>
      </c>
      <c r="C35" s="76" t="n">
        <v>2024</v>
      </c>
      <c r="D35" s="76" t="n">
        <v>4</v>
      </c>
      <c r="E35" s="77" t="n">
        <v>45565</v>
      </c>
      <c r="F35" s="75" t="s">
        <v>194</v>
      </c>
      <c r="G35" s="75" t="s">
        <v>195</v>
      </c>
      <c r="H35" s="75" t="s">
        <v>191</v>
      </c>
      <c r="I35" s="78" t="n">
        <v>94930</v>
      </c>
      <c r="J35" s="78" t="n">
        <v>43879</v>
      </c>
      <c r="K35" s="79" t="n">
        <v>0.97</v>
      </c>
      <c r="L35" s="78" t="n">
        <v>15408.095</v>
      </c>
      <c r="M35" s="78" t="n">
        <v>56950</v>
      </c>
      <c r="N35" s="79" t="n">
        <v>0.25</v>
      </c>
      <c r="O35" s="79" t="n">
        <v>233</v>
      </c>
      <c r="P35" s="47" t="n">
        <v>8</v>
      </c>
      <c r="Q35" s="66" t="s">
        <v>253</v>
      </c>
    </row>
    <row r="36" customFormat="false" ht="15" hidden="false" customHeight="false" outlineLevel="0" collapsed="false">
      <c r="A36" s="75" t="s">
        <v>84</v>
      </c>
      <c r="B36" s="75" t="s">
        <v>209</v>
      </c>
      <c r="C36" s="76" t="n">
        <v>2024</v>
      </c>
      <c r="D36" s="76" t="n">
        <v>3</v>
      </c>
      <c r="E36" s="77" t="n">
        <v>45473</v>
      </c>
      <c r="F36" s="75" t="s">
        <v>194</v>
      </c>
      <c r="G36" s="75" t="s">
        <v>195</v>
      </c>
      <c r="H36" s="75" t="s">
        <v>191</v>
      </c>
      <c r="I36" s="78" t="n">
        <v>85777</v>
      </c>
      <c r="J36" s="78" t="n">
        <v>39678</v>
      </c>
      <c r="K36" s="79" t="n">
        <v>1.4</v>
      </c>
      <c r="L36" s="78" t="n">
        <v>15515.481</v>
      </c>
      <c r="M36" s="78" t="n">
        <v>66708</v>
      </c>
      <c r="N36" s="79" t="n">
        <v>0.25</v>
      </c>
      <c r="O36" s="79" t="n">
        <v>210.619995117188</v>
      </c>
      <c r="P36" s="47" t="n">
        <v>9</v>
      </c>
      <c r="Q36" s="66" t="s">
        <v>254</v>
      </c>
    </row>
    <row r="37" customFormat="false" ht="15" hidden="false" customHeight="false" outlineLevel="0" collapsed="false">
      <c r="A37" s="75" t="s">
        <v>84</v>
      </c>
      <c r="B37" s="75" t="s">
        <v>211</v>
      </c>
      <c r="C37" s="76" t="n">
        <v>2024</v>
      </c>
      <c r="D37" s="76" t="n">
        <v>2</v>
      </c>
      <c r="E37" s="77" t="n">
        <v>45382</v>
      </c>
      <c r="F37" s="75" t="s">
        <v>194</v>
      </c>
      <c r="G37" s="75" t="s">
        <v>195</v>
      </c>
      <c r="H37" s="75" t="s">
        <v>191</v>
      </c>
      <c r="I37" s="78" t="n">
        <v>90753</v>
      </c>
      <c r="J37" s="78" t="n">
        <v>42271</v>
      </c>
      <c r="K37" s="79" t="n">
        <v>1.53</v>
      </c>
      <c r="L37" s="78" t="n">
        <v>15622.1925</v>
      </c>
      <c r="M37" s="78" t="n">
        <v>74194</v>
      </c>
      <c r="N37" s="79" t="n">
        <v>0.24</v>
      </c>
      <c r="O37" s="79" t="n">
        <v>171.479995727539</v>
      </c>
      <c r="P37" s="47" t="n">
        <v>10</v>
      </c>
      <c r="Q37" s="66" t="s">
        <v>255</v>
      </c>
    </row>
    <row r="38" customFormat="false" ht="15" hidden="false" customHeight="false" outlineLevel="0" collapsed="false">
      <c r="A38" s="75" t="s">
        <v>84</v>
      </c>
      <c r="B38" s="75" t="s">
        <v>213</v>
      </c>
      <c r="C38" s="76" t="n">
        <v>2024</v>
      </c>
      <c r="D38" s="76" t="n">
        <v>1</v>
      </c>
      <c r="E38" s="77" t="n">
        <v>45291</v>
      </c>
      <c r="F38" s="75" t="s">
        <v>194</v>
      </c>
      <c r="G38" s="75" t="s">
        <v>195</v>
      </c>
      <c r="H38" s="75" t="s">
        <v>191</v>
      </c>
      <c r="I38" s="78" t="n">
        <v>119575</v>
      </c>
      <c r="J38" s="78" t="n">
        <v>54855</v>
      </c>
      <c r="K38" s="79" t="n">
        <v>2.18</v>
      </c>
      <c r="L38" s="78" t="n">
        <v>15717.77775</v>
      </c>
      <c r="M38" s="78" t="n">
        <v>74100</v>
      </c>
      <c r="N38" s="79" t="n">
        <v>0.24</v>
      </c>
      <c r="O38" s="79" t="n">
        <v>192.529998779297</v>
      </c>
      <c r="P38" s="47" t="n">
        <v>11</v>
      </c>
      <c r="Q38" s="66" t="s">
        <v>256</v>
      </c>
    </row>
    <row r="39" customFormat="false" ht="15" hidden="false" customHeight="false" outlineLevel="0" collapsed="false">
      <c r="A39" s="75" t="s">
        <v>84</v>
      </c>
      <c r="B39" s="75" t="s">
        <v>215</v>
      </c>
      <c r="C39" s="76" t="n">
        <v>2023</v>
      </c>
      <c r="D39" s="76" t="n">
        <v>4</v>
      </c>
      <c r="E39" s="77" t="n">
        <v>45199</v>
      </c>
      <c r="F39" s="75" t="s">
        <v>194</v>
      </c>
      <c r="G39" s="75" t="s">
        <v>195</v>
      </c>
      <c r="H39" s="75" t="s">
        <v>191</v>
      </c>
      <c r="I39" s="78" t="n">
        <v>89498</v>
      </c>
      <c r="J39" s="78" t="n">
        <v>40427</v>
      </c>
      <c r="K39" s="79" t="n">
        <v>1.46</v>
      </c>
      <c r="L39" s="78" t="n">
        <v>15812.547</v>
      </c>
      <c r="M39" s="78" t="n">
        <v>62146</v>
      </c>
      <c r="N39" s="79" t="n">
        <v>0.24</v>
      </c>
      <c r="O39" s="79" t="n">
        <v>171.210006713867</v>
      </c>
      <c r="P39" s="47" t="n">
        <v>12</v>
      </c>
      <c r="Q39" s="66" t="s">
        <v>257</v>
      </c>
    </row>
    <row r="40" customFormat="false" ht="15" hidden="false" customHeight="false" outlineLevel="0" collapsed="false">
      <c r="A40" s="75" t="s">
        <v>84</v>
      </c>
      <c r="B40" s="75" t="s">
        <v>217</v>
      </c>
      <c r="C40" s="76" t="n">
        <v>2023</v>
      </c>
      <c r="D40" s="76" t="n">
        <v>3</v>
      </c>
      <c r="E40" s="77" t="n">
        <v>45107</v>
      </c>
      <c r="F40" s="75" t="s">
        <v>194</v>
      </c>
      <c r="G40" s="75" t="s">
        <v>195</v>
      </c>
      <c r="H40" s="75" t="s">
        <v>191</v>
      </c>
      <c r="I40" s="78" t="n">
        <v>81797</v>
      </c>
      <c r="J40" s="78" t="n">
        <v>36413</v>
      </c>
      <c r="K40" s="79" t="n">
        <v>1.26</v>
      </c>
      <c r="L40" s="78" t="n">
        <v>15775.021</v>
      </c>
      <c r="M40" s="78" t="n">
        <v>60274</v>
      </c>
      <c r="N40" s="79" t="n">
        <v>0.24</v>
      </c>
      <c r="O40" s="79" t="n">
        <v>193.970001220703</v>
      </c>
      <c r="P40" s="47" t="n">
        <v>13</v>
      </c>
      <c r="Q40" s="66" t="s">
        <v>258</v>
      </c>
    </row>
    <row r="41" customFormat="false" ht="15" hidden="false" customHeight="false" outlineLevel="0" collapsed="false">
      <c r="A41" s="75" t="s">
        <v>84</v>
      </c>
      <c r="B41" s="75" t="s">
        <v>219</v>
      </c>
      <c r="C41" s="76" t="n">
        <v>2023</v>
      </c>
      <c r="D41" s="76" t="n">
        <v>2</v>
      </c>
      <c r="E41" s="77" t="n">
        <v>45016</v>
      </c>
      <c r="F41" s="75" t="s">
        <v>194</v>
      </c>
      <c r="G41" s="75" t="s">
        <v>195</v>
      </c>
      <c r="H41" s="75" t="s">
        <v>191</v>
      </c>
      <c r="I41" s="78" t="n">
        <v>94836</v>
      </c>
      <c r="J41" s="78" t="n">
        <v>41976</v>
      </c>
      <c r="K41" s="79" t="n">
        <v>1.52</v>
      </c>
      <c r="L41" s="78" t="n">
        <v>15847.05</v>
      </c>
      <c r="M41" s="78" t="n">
        <v>62158</v>
      </c>
      <c r="N41" s="79" t="n">
        <v>0.23</v>
      </c>
      <c r="O41" s="79" t="n">
        <v>164.899993896484</v>
      </c>
      <c r="P41" s="47" t="n">
        <v>14</v>
      </c>
      <c r="Q41" s="66" t="s">
        <v>259</v>
      </c>
    </row>
    <row r="42" customFormat="false" ht="15" hidden="false" customHeight="false" outlineLevel="0" collapsed="false">
      <c r="A42" s="75" t="s">
        <v>84</v>
      </c>
      <c r="B42" s="75" t="s">
        <v>221</v>
      </c>
      <c r="C42" s="76" t="n">
        <v>2023</v>
      </c>
      <c r="D42" s="76" t="n">
        <v>1</v>
      </c>
      <c r="E42" s="77" t="n">
        <v>44926</v>
      </c>
      <c r="F42" s="75" t="s">
        <v>194</v>
      </c>
      <c r="G42" s="75" t="s">
        <v>195</v>
      </c>
      <c r="H42" s="75" t="s">
        <v>191</v>
      </c>
      <c r="I42" s="78" t="n">
        <v>117154</v>
      </c>
      <c r="J42" s="78" t="n">
        <v>50332</v>
      </c>
      <c r="K42" s="79" t="n">
        <v>1.88</v>
      </c>
      <c r="L42" s="78" t="n">
        <v>15955.718</v>
      </c>
      <c r="M42" s="78" t="n">
        <v>56727</v>
      </c>
      <c r="N42" s="79" t="n">
        <v>0.23</v>
      </c>
      <c r="O42" s="79" t="n">
        <v>129.929992675781</v>
      </c>
      <c r="P42" s="47" t="n">
        <v>15</v>
      </c>
      <c r="Q42" s="66" t="s">
        <v>260</v>
      </c>
    </row>
    <row r="43" customFormat="false" ht="15" hidden="false" customHeight="false" outlineLevel="0" collapsed="false">
      <c r="A43" s="75" t="s">
        <v>84</v>
      </c>
      <c r="B43" s="75" t="s">
        <v>223</v>
      </c>
      <c r="C43" s="76" t="n">
        <v>2022</v>
      </c>
      <c r="D43" s="76" t="n">
        <v>4</v>
      </c>
      <c r="E43" s="77" t="n">
        <v>44834</v>
      </c>
      <c r="F43" s="75" t="s">
        <v>194</v>
      </c>
      <c r="G43" s="75" t="s">
        <v>195</v>
      </c>
      <c r="H43" s="75" t="s">
        <v>191</v>
      </c>
      <c r="I43" s="78" t="n">
        <v>90146</v>
      </c>
      <c r="J43" s="78" t="n">
        <v>38095</v>
      </c>
      <c r="K43" s="79" t="n">
        <v>1.29</v>
      </c>
      <c r="L43" s="78"/>
      <c r="M43" s="78" t="n">
        <v>50672</v>
      </c>
      <c r="N43" s="79" t="n">
        <v>0.23</v>
      </c>
      <c r="O43" s="79" t="n">
        <v>138.199996948242</v>
      </c>
      <c r="P43" s="47" t="n">
        <v>16</v>
      </c>
      <c r="Q43" s="66" t="s">
        <v>261</v>
      </c>
    </row>
    <row r="44" customFormat="false" ht="15" hidden="false" customHeight="false" outlineLevel="0" collapsed="false">
      <c r="A44" s="75" t="s">
        <v>84</v>
      </c>
      <c r="B44" s="75" t="s">
        <v>225</v>
      </c>
      <c r="C44" s="76" t="n">
        <v>2022</v>
      </c>
      <c r="D44" s="76" t="n">
        <v>3</v>
      </c>
      <c r="E44" s="77" t="n">
        <v>44742</v>
      </c>
      <c r="F44" s="75" t="s">
        <v>194</v>
      </c>
      <c r="G44" s="75" t="s">
        <v>195</v>
      </c>
      <c r="H44" s="75" t="s">
        <v>191</v>
      </c>
      <c r="I44" s="78" t="n">
        <v>82959</v>
      </c>
      <c r="J44" s="78" t="n">
        <v>35885</v>
      </c>
      <c r="K44" s="79" t="n">
        <v>1.2</v>
      </c>
      <c r="L44" s="78" t="n">
        <v>16262.203</v>
      </c>
      <c r="M44" s="78" t="n">
        <v>58107</v>
      </c>
      <c r="N44" s="79" t="n">
        <v>0.23</v>
      </c>
      <c r="O44" s="79" t="n">
        <v>136.720001220703</v>
      </c>
      <c r="P44" s="47" t="n">
        <v>17</v>
      </c>
      <c r="Q44" s="66" t="s">
        <v>262</v>
      </c>
    </row>
    <row r="45" customFormat="false" ht="15" hidden="false" customHeight="false" outlineLevel="0" collapsed="false">
      <c r="A45" s="75" t="s">
        <v>84</v>
      </c>
      <c r="B45" s="75" t="s">
        <v>227</v>
      </c>
      <c r="C45" s="76" t="n">
        <v>2022</v>
      </c>
      <c r="D45" s="76" t="n">
        <v>2</v>
      </c>
      <c r="E45" s="77" t="n">
        <v>44651</v>
      </c>
      <c r="F45" s="75" t="s">
        <v>194</v>
      </c>
      <c r="G45" s="75" t="s">
        <v>195</v>
      </c>
      <c r="H45" s="75" t="s">
        <v>191</v>
      </c>
      <c r="I45" s="78" t="n">
        <v>97278</v>
      </c>
      <c r="J45" s="78" t="n">
        <v>42559</v>
      </c>
      <c r="K45" s="79" t="n">
        <v>1.52</v>
      </c>
      <c r="L45" s="78" t="n">
        <v>16403.316</v>
      </c>
      <c r="M45" s="78" t="n">
        <v>67399</v>
      </c>
      <c r="N45" s="79" t="n">
        <v>0.22</v>
      </c>
      <c r="O45" s="79" t="n">
        <v>174.610000610352</v>
      </c>
      <c r="P45" s="47" t="n">
        <v>18</v>
      </c>
      <c r="Q45" s="66" t="s">
        <v>263</v>
      </c>
    </row>
    <row r="46" customFormat="false" ht="15" hidden="false" customHeight="false" outlineLevel="0" collapsed="false">
      <c r="A46" s="75" t="s">
        <v>84</v>
      </c>
      <c r="B46" s="75" t="s">
        <v>229</v>
      </c>
      <c r="C46" s="76" t="n">
        <v>2022</v>
      </c>
      <c r="D46" s="76" t="n">
        <v>1</v>
      </c>
      <c r="E46" s="77" t="n">
        <v>44561</v>
      </c>
      <c r="F46" s="75" t="s">
        <v>194</v>
      </c>
      <c r="G46" s="75" t="s">
        <v>195</v>
      </c>
      <c r="H46" s="75" t="s">
        <v>191</v>
      </c>
      <c r="I46" s="78" t="n">
        <v>123945</v>
      </c>
      <c r="J46" s="78" t="n">
        <v>54243</v>
      </c>
      <c r="K46" s="79" t="n">
        <v>2.1</v>
      </c>
      <c r="L46" s="78" t="n">
        <v>16519.291</v>
      </c>
      <c r="M46" s="78" t="n">
        <v>71932</v>
      </c>
      <c r="N46" s="79" t="n">
        <v>0.22</v>
      </c>
      <c r="O46" s="79" t="n">
        <v>177.570007324219</v>
      </c>
      <c r="P46" s="47" t="n">
        <v>19</v>
      </c>
      <c r="Q46" s="66" t="s">
        <v>264</v>
      </c>
    </row>
    <row r="47" customFormat="false" ht="15" hidden="false" customHeight="false" outlineLevel="0" collapsed="false">
      <c r="A47" s="75" t="s">
        <v>84</v>
      </c>
      <c r="B47" s="75" t="s">
        <v>231</v>
      </c>
      <c r="C47" s="76" t="n">
        <v>2021</v>
      </c>
      <c r="D47" s="76" t="n">
        <v>4</v>
      </c>
      <c r="E47" s="77" t="n">
        <v>44469</v>
      </c>
      <c r="F47" s="75" t="s">
        <v>194</v>
      </c>
      <c r="G47" s="75" t="s">
        <v>195</v>
      </c>
      <c r="H47" s="75" t="s">
        <v>191</v>
      </c>
      <c r="I47" s="78" t="n">
        <v>83360</v>
      </c>
      <c r="J47" s="78" t="n">
        <v>35174</v>
      </c>
      <c r="K47" s="79" t="n">
        <v>1.24</v>
      </c>
      <c r="L47" s="78"/>
      <c r="M47" s="78" t="n">
        <v>63090</v>
      </c>
      <c r="N47" s="79" t="n">
        <v>0.22</v>
      </c>
      <c r="O47" s="79" t="n">
        <v>141.5</v>
      </c>
      <c r="P47" s="47" t="n">
        <v>20</v>
      </c>
      <c r="Q47" s="66" t="s">
        <v>265</v>
      </c>
    </row>
    <row r="48" customFormat="false" ht="15" hidden="false" customHeight="false" outlineLevel="0" collapsed="false">
      <c r="A48" s="75" t="s">
        <v>84</v>
      </c>
      <c r="B48" s="75" t="s">
        <v>233</v>
      </c>
      <c r="C48" s="76" t="n">
        <v>2021</v>
      </c>
      <c r="D48" s="76" t="n">
        <v>3</v>
      </c>
      <c r="E48" s="77" t="n">
        <v>44377</v>
      </c>
      <c r="F48" s="75" t="s">
        <v>194</v>
      </c>
      <c r="G48" s="75" t="s">
        <v>195</v>
      </c>
      <c r="H48" s="75" t="s">
        <v>191</v>
      </c>
      <c r="I48" s="78" t="n">
        <v>81434</v>
      </c>
      <c r="J48" s="78" t="n">
        <v>35255</v>
      </c>
      <c r="K48" s="79" t="n">
        <v>1.3</v>
      </c>
      <c r="L48" s="78" t="n">
        <v>16781.735</v>
      </c>
      <c r="M48" s="78" t="n">
        <v>64280</v>
      </c>
      <c r="N48" s="79" t="n">
        <v>0.22</v>
      </c>
      <c r="O48" s="79" t="n">
        <v>136.960006713867</v>
      </c>
      <c r="P48" s="47" t="n">
        <v>21</v>
      </c>
      <c r="Q48" s="66" t="s">
        <v>266</v>
      </c>
    </row>
    <row r="49" customFormat="false" ht="15" hidden="false" customHeight="false" outlineLevel="0" collapsed="false">
      <c r="A49" s="75" t="s">
        <v>84</v>
      </c>
      <c r="B49" s="75" t="s">
        <v>235</v>
      </c>
      <c r="C49" s="76" t="n">
        <v>2021</v>
      </c>
      <c r="D49" s="76" t="n">
        <v>2</v>
      </c>
      <c r="E49" s="77" t="n">
        <v>44286</v>
      </c>
      <c r="F49" s="75" t="s">
        <v>194</v>
      </c>
      <c r="G49" s="75" t="s">
        <v>195</v>
      </c>
      <c r="H49" s="75" t="s">
        <v>191</v>
      </c>
      <c r="I49" s="78" t="n">
        <v>89584</v>
      </c>
      <c r="J49" s="78" t="n">
        <v>38079</v>
      </c>
      <c r="K49" s="79" t="n">
        <v>1.4</v>
      </c>
      <c r="L49" s="78" t="n">
        <v>16929.157</v>
      </c>
      <c r="M49" s="78" t="n">
        <v>69178</v>
      </c>
      <c r="N49" s="79" t="n">
        <v>0.205</v>
      </c>
      <c r="O49" s="79" t="n">
        <v>122.150001525879</v>
      </c>
      <c r="P49" s="47" t="n">
        <v>22</v>
      </c>
      <c r="Q49" s="66" t="s">
        <v>267</v>
      </c>
    </row>
    <row r="50" customFormat="false" ht="15" hidden="false" customHeight="false" outlineLevel="0" collapsed="false">
      <c r="A50" s="75" t="s">
        <v>84</v>
      </c>
      <c r="B50" s="75" t="s">
        <v>237</v>
      </c>
      <c r="C50" s="76" t="n">
        <v>2021</v>
      </c>
      <c r="D50" s="76" t="n">
        <v>1</v>
      </c>
      <c r="E50" s="77" t="n">
        <v>44196</v>
      </c>
      <c r="F50" s="75" t="s">
        <v>194</v>
      </c>
      <c r="G50" s="75" t="s">
        <v>195</v>
      </c>
      <c r="H50" s="75" t="s">
        <v>191</v>
      </c>
      <c r="I50" s="78" t="n">
        <v>111439</v>
      </c>
      <c r="J50" s="78" t="n">
        <v>44328</v>
      </c>
      <c r="K50" s="79" t="n">
        <v>1.68</v>
      </c>
      <c r="L50" s="78" t="n">
        <v>17113.688</v>
      </c>
      <c r="M50" s="78" t="n">
        <v>66224</v>
      </c>
      <c r="N50" s="79" t="n">
        <v>0.205</v>
      </c>
      <c r="O50" s="79" t="n">
        <v>132.690002441406</v>
      </c>
      <c r="P50" s="47" t="n">
        <v>23</v>
      </c>
      <c r="Q50" s="66" t="s">
        <v>268</v>
      </c>
    </row>
    <row r="51" customFormat="false" ht="15" hidden="false" customHeight="false" outlineLevel="0" collapsed="false">
      <c r="A51" s="75" t="s">
        <v>84</v>
      </c>
      <c r="B51" s="75" t="s">
        <v>239</v>
      </c>
      <c r="C51" s="76" t="n">
        <v>2020</v>
      </c>
      <c r="D51" s="76" t="n">
        <v>4</v>
      </c>
      <c r="E51" s="77" t="n">
        <v>44104</v>
      </c>
      <c r="F51" s="75" t="s">
        <v>194</v>
      </c>
      <c r="G51" s="75" t="s">
        <v>195</v>
      </c>
      <c r="H51" s="75" t="s">
        <v>191</v>
      </c>
      <c r="I51" s="78" t="n">
        <v>64698</v>
      </c>
      <c r="J51" s="78" t="n">
        <v>24689</v>
      </c>
      <c r="K51" s="79" t="n">
        <v>0.73</v>
      </c>
      <c r="L51" s="78"/>
      <c r="M51" s="78" t="n">
        <v>65339</v>
      </c>
      <c r="N51" s="79"/>
      <c r="O51" s="79" t="n">
        <v>115.809997558594</v>
      </c>
      <c r="P51" s="47" t="n">
        <v>24</v>
      </c>
      <c r="Q51" s="66" t="s">
        <v>269</v>
      </c>
    </row>
    <row r="52" customFormat="false" ht="15" hidden="false" customHeight="false" outlineLevel="0" collapsed="false">
      <c r="A52" s="75" t="s">
        <v>169</v>
      </c>
      <c r="B52" s="75" t="s">
        <v>188</v>
      </c>
      <c r="C52" s="76" t="n">
        <v>2026</v>
      </c>
      <c r="D52" s="76" t="n">
        <v>3</v>
      </c>
      <c r="E52" s="77" t="n">
        <v>46264</v>
      </c>
      <c r="F52" s="75" t="s">
        <v>189</v>
      </c>
      <c r="G52" s="75" t="s">
        <v>190</v>
      </c>
      <c r="H52" s="75" t="s">
        <v>191</v>
      </c>
      <c r="I52" s="78"/>
      <c r="J52" s="78"/>
      <c r="K52" s="79" t="n">
        <v>6.07854</v>
      </c>
      <c r="L52" s="78"/>
      <c r="M52" s="78"/>
      <c r="N52" s="79"/>
      <c r="O52" s="79"/>
      <c r="P52" s="47" t="n">
        <v>0</v>
      </c>
      <c r="Q52" s="66" t="s">
        <v>270</v>
      </c>
    </row>
    <row r="53" customFormat="false" ht="15" hidden="false" customHeight="false" outlineLevel="0" collapsed="false">
      <c r="A53" s="75" t="s">
        <v>169</v>
      </c>
      <c r="B53" s="75" t="s">
        <v>193</v>
      </c>
      <c r="C53" s="76" t="n">
        <v>2026</v>
      </c>
      <c r="D53" s="76" t="n">
        <v>2</v>
      </c>
      <c r="E53" s="77" t="n">
        <v>46173</v>
      </c>
      <c r="F53" s="75" t="s">
        <v>194</v>
      </c>
      <c r="G53" s="75" t="s">
        <v>195</v>
      </c>
      <c r="H53" s="75" t="s">
        <v>191</v>
      </c>
      <c r="I53" s="78" t="n">
        <v>6618</v>
      </c>
      <c r="J53" s="78" t="n">
        <v>5903</v>
      </c>
      <c r="K53" s="79" t="n">
        <v>5.96</v>
      </c>
      <c r="L53" s="78" t="n">
        <v>402</v>
      </c>
      <c r="M53" s="78" t="n">
        <v>11518</v>
      </c>
      <c r="N53" s="79" t="n">
        <v>0</v>
      </c>
      <c r="O53" s="79" t="n">
        <v>259.209991455078</v>
      </c>
      <c r="P53" s="47" t="n">
        <v>1</v>
      </c>
      <c r="Q53" s="66" t="s">
        <v>271</v>
      </c>
    </row>
    <row r="54" customFormat="false" ht="15" hidden="false" customHeight="false" outlineLevel="0" collapsed="false">
      <c r="A54" s="75" t="s">
        <v>169</v>
      </c>
      <c r="B54" s="75" t="s">
        <v>197</v>
      </c>
      <c r="C54" s="76" t="n">
        <v>2026</v>
      </c>
      <c r="D54" s="76" t="n">
        <v>1</v>
      </c>
      <c r="E54" s="77" t="n">
        <v>46081</v>
      </c>
      <c r="F54" s="75" t="s">
        <v>194</v>
      </c>
      <c r="G54" s="75" t="s">
        <v>195</v>
      </c>
      <c r="H54" s="75" t="s">
        <v>191</v>
      </c>
      <c r="I54" s="78" t="n">
        <v>6398</v>
      </c>
      <c r="J54" s="78" t="n">
        <v>5734</v>
      </c>
      <c r="K54" s="79" t="n">
        <v>6.06</v>
      </c>
      <c r="L54" s="78" t="n">
        <v>411</v>
      </c>
      <c r="M54" s="78" t="n">
        <v>11433</v>
      </c>
      <c r="N54" s="79" t="n">
        <v>0</v>
      </c>
      <c r="O54" s="79" t="n">
        <v>262.410003662109</v>
      </c>
      <c r="P54" s="47" t="n">
        <v>2</v>
      </c>
      <c r="Q54" s="66" t="s">
        <v>272</v>
      </c>
    </row>
    <row r="55" customFormat="false" ht="15" hidden="false" customHeight="false" outlineLevel="0" collapsed="false">
      <c r="A55" s="75" t="s">
        <v>169</v>
      </c>
      <c r="B55" s="75" t="s">
        <v>199</v>
      </c>
      <c r="C55" s="76" t="n">
        <v>2025</v>
      </c>
      <c r="D55" s="76" t="n">
        <v>4</v>
      </c>
      <c r="E55" s="77" t="n">
        <v>45991</v>
      </c>
      <c r="F55" s="75" t="s">
        <v>194</v>
      </c>
      <c r="G55" s="75" t="s">
        <v>195</v>
      </c>
      <c r="H55" s="75" t="s">
        <v>191</v>
      </c>
      <c r="I55" s="78" t="n">
        <v>6194</v>
      </c>
      <c r="J55" s="78" t="n">
        <v>5545</v>
      </c>
      <c r="K55" s="79" t="n">
        <v>5.5</v>
      </c>
      <c r="L55" s="78" t="n">
        <v>417</v>
      </c>
      <c r="M55" s="78" t="n">
        <v>11623</v>
      </c>
      <c r="N55" s="79" t="n">
        <v>0</v>
      </c>
      <c r="O55" s="79" t="n">
        <v>320.130004882813</v>
      </c>
      <c r="P55" s="47" t="n">
        <v>3</v>
      </c>
      <c r="Q55" s="66" t="s">
        <v>273</v>
      </c>
    </row>
    <row r="56" customFormat="false" ht="15" hidden="false" customHeight="false" outlineLevel="0" collapsed="false">
      <c r="A56" s="75" t="s">
        <v>169</v>
      </c>
      <c r="B56" s="75" t="s">
        <v>201</v>
      </c>
      <c r="C56" s="76" t="n">
        <v>2025</v>
      </c>
      <c r="D56" s="76" t="n">
        <v>3</v>
      </c>
      <c r="E56" s="77" t="n">
        <v>45900</v>
      </c>
      <c r="F56" s="75" t="s">
        <v>194</v>
      </c>
      <c r="G56" s="75" t="s">
        <v>195</v>
      </c>
      <c r="H56" s="75" t="s">
        <v>191</v>
      </c>
      <c r="I56" s="78" t="n">
        <v>5988</v>
      </c>
      <c r="J56" s="78" t="n">
        <v>5346</v>
      </c>
      <c r="K56" s="79" t="n">
        <v>5.31</v>
      </c>
      <c r="L56" s="78" t="n">
        <v>424</v>
      </c>
      <c r="M56" s="78" t="n">
        <v>11770</v>
      </c>
      <c r="N56" s="79" t="n">
        <v>0</v>
      </c>
      <c r="O56" s="79" t="n">
        <v>356.700012207031</v>
      </c>
      <c r="P56" s="47" t="n">
        <v>4</v>
      </c>
      <c r="Q56" s="66" t="s">
        <v>274</v>
      </c>
    </row>
    <row r="57" customFormat="false" ht="15" hidden="false" customHeight="false" outlineLevel="0" collapsed="false">
      <c r="A57" s="75" t="s">
        <v>169</v>
      </c>
      <c r="B57" s="75" t="s">
        <v>203</v>
      </c>
      <c r="C57" s="76" t="n">
        <v>2025</v>
      </c>
      <c r="D57" s="76" t="n">
        <v>2</v>
      </c>
      <c r="E57" s="77" t="n">
        <v>45808</v>
      </c>
      <c r="F57" s="75" t="s">
        <v>194</v>
      </c>
      <c r="G57" s="75" t="s">
        <v>195</v>
      </c>
      <c r="H57" s="75" t="s">
        <v>191</v>
      </c>
      <c r="I57" s="78" t="n">
        <v>5873</v>
      </c>
      <c r="J57" s="78" t="n">
        <v>5235</v>
      </c>
      <c r="K57" s="79" t="n">
        <v>5.06</v>
      </c>
      <c r="L57" s="78" t="n">
        <v>429</v>
      </c>
      <c r="M57" s="78" t="n">
        <v>11448</v>
      </c>
      <c r="N57" s="79" t="n">
        <v>0</v>
      </c>
      <c r="O57" s="79" t="n">
        <v>415.089996337891</v>
      </c>
      <c r="P57" s="47" t="n">
        <v>5</v>
      </c>
      <c r="Q57" s="66" t="s">
        <v>275</v>
      </c>
    </row>
    <row r="58" customFormat="false" ht="15" hidden="false" customHeight="false" outlineLevel="0" collapsed="false">
      <c r="A58" s="75" t="s">
        <v>169</v>
      </c>
      <c r="B58" s="75" t="s">
        <v>205</v>
      </c>
      <c r="C58" s="76" t="n">
        <v>2025</v>
      </c>
      <c r="D58" s="76" t="n">
        <v>1</v>
      </c>
      <c r="E58" s="77" t="n">
        <v>45716</v>
      </c>
      <c r="F58" s="75" t="s">
        <v>194</v>
      </c>
      <c r="G58" s="75" t="s">
        <v>195</v>
      </c>
      <c r="H58" s="75" t="s">
        <v>191</v>
      </c>
      <c r="I58" s="78" t="n">
        <v>5714</v>
      </c>
      <c r="J58" s="78" t="n">
        <v>5092</v>
      </c>
      <c r="K58" s="79" t="n">
        <v>5.08</v>
      </c>
      <c r="L58" s="78" t="n">
        <v>445.2</v>
      </c>
      <c r="M58" s="78" t="n">
        <v>13095</v>
      </c>
      <c r="N58" s="79" t="n">
        <v>0</v>
      </c>
      <c r="O58" s="79" t="n">
        <v>438.559997558594</v>
      </c>
      <c r="P58" s="47" t="n">
        <v>6</v>
      </c>
      <c r="Q58" s="66" t="s">
        <v>276</v>
      </c>
    </row>
    <row r="59" customFormat="false" ht="15" hidden="false" customHeight="false" outlineLevel="0" collapsed="false">
      <c r="A59" s="75" t="s">
        <v>169</v>
      </c>
      <c r="B59" s="75" t="s">
        <v>207</v>
      </c>
      <c r="C59" s="76" t="n">
        <v>2024</v>
      </c>
      <c r="D59" s="76" t="n">
        <v>4</v>
      </c>
      <c r="E59" s="77" t="n">
        <v>45626</v>
      </c>
      <c r="F59" s="75" t="s">
        <v>194</v>
      </c>
      <c r="G59" s="75" t="s">
        <v>195</v>
      </c>
      <c r="H59" s="75" t="s">
        <v>191</v>
      </c>
      <c r="I59" s="78" t="n">
        <v>5606</v>
      </c>
      <c r="J59" s="78" t="n">
        <v>4990</v>
      </c>
      <c r="K59" s="79" t="n">
        <v>4.81</v>
      </c>
      <c r="L59" s="78" t="n">
        <v>449.7</v>
      </c>
      <c r="M59" s="78" t="n">
        <v>14105</v>
      </c>
      <c r="N59" s="79" t="n">
        <v>0</v>
      </c>
      <c r="O59" s="79" t="n">
        <v>515.929992675781</v>
      </c>
      <c r="P59" s="47" t="n">
        <v>7</v>
      </c>
      <c r="Q59" s="66" t="s">
        <v>277</v>
      </c>
    </row>
    <row r="60" customFormat="false" ht="15" hidden="false" customHeight="false" outlineLevel="0" collapsed="false">
      <c r="A60" s="75" t="s">
        <v>169</v>
      </c>
      <c r="B60" s="75" t="s">
        <v>209</v>
      </c>
      <c r="C60" s="76" t="n">
        <v>2024</v>
      </c>
      <c r="D60" s="76" t="n">
        <v>3</v>
      </c>
      <c r="E60" s="77" t="n">
        <v>45535</v>
      </c>
      <c r="F60" s="75" t="s">
        <v>194</v>
      </c>
      <c r="G60" s="75" t="s">
        <v>195</v>
      </c>
      <c r="H60" s="75" t="s">
        <v>191</v>
      </c>
      <c r="I60" s="78" t="n">
        <v>5408</v>
      </c>
      <c r="J60" s="78" t="n">
        <v>4854</v>
      </c>
      <c r="K60" s="79" t="n">
        <v>4.65</v>
      </c>
      <c r="L60" s="78" t="n">
        <v>453.75</v>
      </c>
      <c r="M60" s="78" t="n">
        <v>14545</v>
      </c>
      <c r="N60" s="79" t="n">
        <v>0</v>
      </c>
      <c r="O60" s="79" t="n">
        <v>574.409973144531</v>
      </c>
      <c r="P60" s="47" t="n">
        <v>8</v>
      </c>
      <c r="Q60" s="66" t="s">
        <v>278</v>
      </c>
    </row>
    <row r="61" customFormat="false" ht="15" hidden="false" customHeight="false" outlineLevel="0" collapsed="false">
      <c r="A61" s="75" t="s">
        <v>169</v>
      </c>
      <c r="B61" s="75" t="s">
        <v>211</v>
      </c>
      <c r="C61" s="76" t="n">
        <v>2024</v>
      </c>
      <c r="D61" s="76" t="n">
        <v>2</v>
      </c>
      <c r="E61" s="77" t="n">
        <v>45443</v>
      </c>
      <c r="F61" s="75" t="s">
        <v>194</v>
      </c>
      <c r="G61" s="75" t="s">
        <v>195</v>
      </c>
      <c r="H61" s="75" t="s">
        <v>191</v>
      </c>
      <c r="I61" s="78" t="n">
        <v>5309</v>
      </c>
      <c r="J61" s="78" t="n">
        <v>4711</v>
      </c>
      <c r="K61" s="79" t="n">
        <v>4.48</v>
      </c>
      <c r="L61" s="78" t="n">
        <v>456.5</v>
      </c>
      <c r="M61" s="78" t="n">
        <v>14843</v>
      </c>
      <c r="N61" s="79" t="n">
        <v>0</v>
      </c>
      <c r="O61" s="79" t="n">
        <v>444.760009765625</v>
      </c>
      <c r="P61" s="47" t="n">
        <v>9</v>
      </c>
      <c r="Q61" s="66" t="s">
        <v>279</v>
      </c>
    </row>
    <row r="62" customFormat="false" ht="15" hidden="false" customHeight="false" outlineLevel="0" collapsed="false">
      <c r="A62" s="75" t="s">
        <v>169</v>
      </c>
      <c r="B62" s="75" t="s">
        <v>213</v>
      </c>
      <c r="C62" s="76" t="n">
        <v>2024</v>
      </c>
      <c r="D62" s="76" t="n">
        <v>1</v>
      </c>
      <c r="E62" s="77" t="n">
        <v>45351</v>
      </c>
      <c r="F62" s="75" t="s">
        <v>194</v>
      </c>
      <c r="G62" s="75" t="s">
        <v>195</v>
      </c>
      <c r="H62" s="75" t="s">
        <v>191</v>
      </c>
      <c r="I62" s="78" t="n">
        <v>5182</v>
      </c>
      <c r="J62" s="78" t="n">
        <v>4592</v>
      </c>
      <c r="K62" s="79" t="n">
        <v>4.48</v>
      </c>
      <c r="L62" s="78" t="n">
        <v>458</v>
      </c>
      <c r="M62" s="78" t="n">
        <v>15460</v>
      </c>
      <c r="N62" s="79" t="n">
        <v>0</v>
      </c>
      <c r="O62" s="79" t="n">
        <v>560.280029296875</v>
      </c>
      <c r="P62" s="47" t="n">
        <v>10</v>
      </c>
      <c r="Q62" s="66" t="s">
        <v>280</v>
      </c>
    </row>
    <row r="63" customFormat="false" ht="15" hidden="false" customHeight="false" outlineLevel="0" collapsed="false">
      <c r="A63" s="75" t="s">
        <v>169</v>
      </c>
      <c r="B63" s="75" t="s">
        <v>215</v>
      </c>
      <c r="C63" s="76" t="n">
        <v>2023</v>
      </c>
      <c r="D63" s="76" t="n">
        <v>4</v>
      </c>
      <c r="E63" s="77" t="n">
        <v>45260</v>
      </c>
      <c r="F63" s="75" t="s">
        <v>194</v>
      </c>
      <c r="G63" s="75" t="s">
        <v>195</v>
      </c>
      <c r="H63" s="75" t="s">
        <v>191</v>
      </c>
      <c r="I63" s="78" t="n">
        <v>5048</v>
      </c>
      <c r="J63" s="78" t="n">
        <v>4414</v>
      </c>
      <c r="K63" s="79" t="n">
        <v>4.27</v>
      </c>
      <c r="L63" s="78" t="n">
        <v>459</v>
      </c>
      <c r="M63" s="78" t="n">
        <v>16518</v>
      </c>
      <c r="N63" s="79" t="n">
        <v>0</v>
      </c>
      <c r="O63" s="79" t="n">
        <v>611.010009765625</v>
      </c>
      <c r="P63" s="47" t="n">
        <v>11</v>
      </c>
      <c r="Q63" s="66" t="s">
        <v>281</v>
      </c>
    </row>
    <row r="64" customFormat="false" ht="15" hidden="false" customHeight="false" outlineLevel="0" collapsed="false">
      <c r="A64" s="75" t="s">
        <v>169</v>
      </c>
      <c r="B64" s="75" t="s">
        <v>217</v>
      </c>
      <c r="C64" s="76" t="n">
        <v>2023</v>
      </c>
      <c r="D64" s="76" t="n">
        <v>3</v>
      </c>
      <c r="E64" s="77" t="n">
        <v>45169</v>
      </c>
      <c r="F64" s="75" t="s">
        <v>194</v>
      </c>
      <c r="G64" s="75" t="s">
        <v>195</v>
      </c>
      <c r="H64" s="75" t="s">
        <v>191</v>
      </c>
      <c r="I64" s="78" t="n">
        <v>4890</v>
      </c>
      <c r="J64" s="78" t="n">
        <v>4310</v>
      </c>
      <c r="K64" s="79" t="n">
        <v>4.1</v>
      </c>
      <c r="L64" s="78" t="n">
        <v>459.5</v>
      </c>
      <c r="M64" s="78" t="n">
        <v>15776</v>
      </c>
      <c r="N64" s="79" t="n">
        <v>0</v>
      </c>
      <c r="O64" s="79" t="n">
        <v>559.340026855469</v>
      </c>
      <c r="P64" s="47" t="n">
        <v>12</v>
      </c>
      <c r="Q64" s="66" t="s">
        <v>282</v>
      </c>
    </row>
    <row r="65" customFormat="false" ht="15" hidden="false" customHeight="false" outlineLevel="0" collapsed="false">
      <c r="A65" s="75" t="s">
        <v>169</v>
      </c>
      <c r="B65" s="75" t="s">
        <v>219</v>
      </c>
      <c r="C65" s="76" t="n">
        <v>2023</v>
      </c>
      <c r="D65" s="76" t="n">
        <v>2</v>
      </c>
      <c r="E65" s="77" t="n">
        <v>45077</v>
      </c>
      <c r="F65" s="75" t="s">
        <v>194</v>
      </c>
      <c r="G65" s="75" t="s">
        <v>195</v>
      </c>
      <c r="H65" s="75" t="s">
        <v>191</v>
      </c>
      <c r="I65" s="78" t="n">
        <v>4816</v>
      </c>
      <c r="J65" s="78" t="n">
        <v>4244</v>
      </c>
      <c r="K65" s="79" t="n">
        <v>3.91</v>
      </c>
      <c r="L65" s="78" t="n">
        <v>458.7</v>
      </c>
      <c r="M65" s="78" t="n">
        <v>14838</v>
      </c>
      <c r="N65" s="79" t="n">
        <v>0</v>
      </c>
      <c r="O65" s="79" t="n">
        <v>417.790008544922</v>
      </c>
      <c r="P65" s="47" t="n">
        <v>13</v>
      </c>
      <c r="Q65" s="66" t="s">
        <v>283</v>
      </c>
    </row>
    <row r="66" customFormat="false" ht="15" hidden="false" customHeight="false" outlineLevel="0" collapsed="false">
      <c r="A66" s="75" t="s">
        <v>169</v>
      </c>
      <c r="B66" s="75" t="s">
        <v>221</v>
      </c>
      <c r="C66" s="76" t="n">
        <v>2023</v>
      </c>
      <c r="D66" s="76" t="n">
        <v>1</v>
      </c>
      <c r="E66" s="77" t="n">
        <v>44985</v>
      </c>
      <c r="F66" s="75" t="s">
        <v>194</v>
      </c>
      <c r="G66" s="75" t="s">
        <v>195</v>
      </c>
      <c r="H66" s="75" t="s">
        <v>191</v>
      </c>
      <c r="I66" s="78" t="n">
        <v>4655</v>
      </c>
      <c r="J66" s="78" t="n">
        <v>4087</v>
      </c>
      <c r="K66" s="79" t="n">
        <v>3.8</v>
      </c>
      <c r="L66" s="78" t="n">
        <v>459.5</v>
      </c>
      <c r="M66" s="78" t="n">
        <v>14206</v>
      </c>
      <c r="N66" s="79" t="n">
        <v>0</v>
      </c>
      <c r="O66" s="79" t="n">
        <v>323.950012207031</v>
      </c>
      <c r="P66" s="47" t="n">
        <v>14</v>
      </c>
      <c r="Q66" s="66" t="s">
        <v>284</v>
      </c>
    </row>
    <row r="67" customFormat="false" ht="15" hidden="false" customHeight="false" outlineLevel="0" collapsed="false">
      <c r="A67" s="75" t="s">
        <v>169</v>
      </c>
      <c r="B67" s="75" t="s">
        <v>223</v>
      </c>
      <c r="C67" s="76" t="n">
        <v>2022</v>
      </c>
      <c r="D67" s="76" t="n">
        <v>4</v>
      </c>
      <c r="E67" s="77" t="n">
        <v>44895</v>
      </c>
      <c r="F67" s="75" t="s">
        <v>194</v>
      </c>
      <c r="G67" s="75" t="s">
        <v>195</v>
      </c>
      <c r="H67" s="75" t="s">
        <v>191</v>
      </c>
      <c r="I67" s="78" t="n">
        <v>17606</v>
      </c>
      <c r="J67" s="78" t="n">
        <v>15441</v>
      </c>
      <c r="K67" s="79" t="n">
        <v>3.6</v>
      </c>
      <c r="L67" s="78"/>
      <c r="M67" s="78" t="n">
        <v>14051</v>
      </c>
      <c r="N67" s="79" t="n">
        <v>0</v>
      </c>
      <c r="O67" s="79" t="n">
        <v>344.929992675781</v>
      </c>
      <c r="P67" s="47" t="n">
        <v>15</v>
      </c>
      <c r="Q67" s="66" t="s">
        <v>285</v>
      </c>
    </row>
    <row r="68" customFormat="false" ht="15" hidden="false" customHeight="false" outlineLevel="0" collapsed="false">
      <c r="A68" s="75" t="s">
        <v>169</v>
      </c>
      <c r="B68" s="75" t="s">
        <v>225</v>
      </c>
      <c r="C68" s="76" t="n">
        <v>2022</v>
      </c>
      <c r="D68" s="76" t="n">
        <v>3</v>
      </c>
      <c r="E68" s="77" t="n">
        <v>44804</v>
      </c>
      <c r="F68" s="75" t="s">
        <v>194</v>
      </c>
      <c r="G68" s="75" t="s">
        <v>195</v>
      </c>
      <c r="H68" s="75" t="s">
        <v>191</v>
      </c>
      <c r="I68" s="78" t="n">
        <v>4433</v>
      </c>
      <c r="J68" s="78" t="n">
        <v>3887</v>
      </c>
      <c r="K68" s="79" t="n">
        <v>3.4</v>
      </c>
      <c r="L68" s="78" t="n">
        <v>469.4</v>
      </c>
      <c r="M68" s="78" t="n">
        <v>14373</v>
      </c>
      <c r="N68" s="79" t="n">
        <v>0</v>
      </c>
      <c r="O68" s="79" t="n">
        <v>373.440002441406</v>
      </c>
      <c r="P68" s="47" t="n">
        <v>16</v>
      </c>
      <c r="Q68" s="66" t="s">
        <v>286</v>
      </c>
    </row>
    <row r="69" customFormat="false" ht="15" hidden="false" customHeight="false" outlineLevel="0" collapsed="false">
      <c r="A69" s="75" t="s">
        <v>169</v>
      </c>
      <c r="B69" s="75" t="s">
        <v>227</v>
      </c>
      <c r="C69" s="76" t="n">
        <v>2022</v>
      </c>
      <c r="D69" s="76" t="n">
        <v>2</v>
      </c>
      <c r="E69" s="77" t="n">
        <v>44712</v>
      </c>
      <c r="F69" s="75" t="s">
        <v>194</v>
      </c>
      <c r="G69" s="75" t="s">
        <v>195</v>
      </c>
      <c r="H69" s="75" t="s">
        <v>191</v>
      </c>
      <c r="I69" s="78" t="n">
        <v>4386</v>
      </c>
      <c r="J69" s="78" t="n">
        <v>3847</v>
      </c>
      <c r="K69" s="79" t="n">
        <v>3.35</v>
      </c>
      <c r="L69" s="78" t="n">
        <v>473.3</v>
      </c>
      <c r="M69" s="78" t="n">
        <v>13985</v>
      </c>
      <c r="N69" s="79" t="n">
        <v>0</v>
      </c>
      <c r="O69" s="79" t="n">
        <v>416.480010986328</v>
      </c>
      <c r="P69" s="47" t="n">
        <v>17</v>
      </c>
      <c r="Q69" s="66" t="s">
        <v>287</v>
      </c>
    </row>
    <row r="70" customFormat="false" ht="15" hidden="false" customHeight="false" outlineLevel="0" collapsed="false">
      <c r="A70" s="75" t="s">
        <v>169</v>
      </c>
      <c r="B70" s="75" t="s">
        <v>229</v>
      </c>
      <c r="C70" s="76" t="n">
        <v>2022</v>
      </c>
      <c r="D70" s="76" t="n">
        <v>1</v>
      </c>
      <c r="E70" s="77" t="n">
        <v>44620</v>
      </c>
      <c r="F70" s="75" t="s">
        <v>194</v>
      </c>
      <c r="G70" s="75" t="s">
        <v>195</v>
      </c>
      <c r="H70" s="75" t="s">
        <v>191</v>
      </c>
      <c r="I70" s="78" t="n">
        <v>4262</v>
      </c>
      <c r="J70" s="78" t="n">
        <v>3750</v>
      </c>
      <c r="K70" s="79" t="n">
        <v>3.37</v>
      </c>
      <c r="L70" s="78" t="n">
        <v>475.4</v>
      </c>
      <c r="M70" s="78" t="n">
        <v>13775</v>
      </c>
      <c r="N70" s="79" t="n">
        <v>0</v>
      </c>
      <c r="O70" s="79" t="n">
        <v>467.679992675781</v>
      </c>
      <c r="P70" s="47" t="n">
        <v>18</v>
      </c>
      <c r="Q70" s="66" t="s">
        <v>288</v>
      </c>
    </row>
    <row r="71" customFormat="false" ht="15" hidden="false" customHeight="false" outlineLevel="0" collapsed="false">
      <c r="A71" s="75" t="s">
        <v>169</v>
      </c>
      <c r="B71" s="75" t="s">
        <v>231</v>
      </c>
      <c r="C71" s="76" t="n">
        <v>2021</v>
      </c>
      <c r="D71" s="76" t="n">
        <v>4</v>
      </c>
      <c r="E71" s="77" t="n">
        <v>44530</v>
      </c>
      <c r="F71" s="75" t="s">
        <v>194</v>
      </c>
      <c r="G71" s="75" t="s">
        <v>195</v>
      </c>
      <c r="H71" s="75" t="s">
        <v>191</v>
      </c>
      <c r="I71" s="78" t="n">
        <v>4110</v>
      </c>
      <c r="J71" s="78" t="n">
        <v>3603</v>
      </c>
      <c r="K71" s="79" t="n">
        <v>3.2</v>
      </c>
      <c r="L71" s="78"/>
      <c r="M71" s="78" t="n">
        <v>14797</v>
      </c>
      <c r="N71" s="79" t="n">
        <v>0</v>
      </c>
      <c r="O71" s="79" t="n">
        <v>669.849975585938</v>
      </c>
      <c r="P71" s="47" t="n">
        <v>19</v>
      </c>
      <c r="Q71" s="66" t="s">
        <v>289</v>
      </c>
    </row>
    <row r="72" customFormat="false" ht="15" hidden="false" customHeight="false" outlineLevel="0" collapsed="false">
      <c r="A72" s="75" t="s">
        <v>169</v>
      </c>
      <c r="B72" s="75" t="s">
        <v>233</v>
      </c>
      <c r="C72" s="76" t="n">
        <v>2021</v>
      </c>
      <c r="D72" s="76" t="n">
        <v>3</v>
      </c>
      <c r="E72" s="77" t="n">
        <v>44439</v>
      </c>
      <c r="F72" s="75" t="s">
        <v>194</v>
      </c>
      <c r="G72" s="75" t="s">
        <v>195</v>
      </c>
      <c r="H72" s="75" t="s">
        <v>191</v>
      </c>
      <c r="I72" s="78" t="n">
        <v>3935</v>
      </c>
      <c r="J72" s="78" t="n">
        <v>3468</v>
      </c>
      <c r="K72" s="79" t="n">
        <v>3.11</v>
      </c>
      <c r="L72" s="78" t="n">
        <v>480.7</v>
      </c>
      <c r="M72" s="78" t="n">
        <v>14414</v>
      </c>
      <c r="N72" s="79" t="n">
        <v>0</v>
      </c>
      <c r="O72" s="79" t="n">
        <v>663.700012207031</v>
      </c>
      <c r="P72" s="47" t="n">
        <v>20</v>
      </c>
      <c r="Q72" s="66" t="s">
        <v>290</v>
      </c>
    </row>
    <row r="73" customFormat="false" ht="15" hidden="false" customHeight="false" outlineLevel="0" collapsed="false">
      <c r="A73" s="75" t="s">
        <v>169</v>
      </c>
      <c r="B73" s="75" t="s">
        <v>235</v>
      </c>
      <c r="C73" s="76" t="n">
        <v>2021</v>
      </c>
      <c r="D73" s="76" t="n">
        <v>2</v>
      </c>
      <c r="E73" s="77" t="n">
        <v>44347</v>
      </c>
      <c r="F73" s="75" t="s">
        <v>194</v>
      </c>
      <c r="G73" s="75" t="s">
        <v>195</v>
      </c>
      <c r="H73" s="75" t="s">
        <v>191</v>
      </c>
      <c r="I73" s="78" t="n">
        <v>3835</v>
      </c>
      <c r="J73" s="78" t="n">
        <v>3391</v>
      </c>
      <c r="K73" s="79" t="n">
        <v>3.03</v>
      </c>
      <c r="L73" s="78" t="n">
        <v>480.8</v>
      </c>
      <c r="M73" s="78" t="n">
        <v>13852</v>
      </c>
      <c r="N73" s="79" t="n">
        <v>0</v>
      </c>
      <c r="O73" s="79" t="n">
        <v>504.579986572266</v>
      </c>
      <c r="P73" s="47" t="n">
        <v>21</v>
      </c>
      <c r="Q73" s="66" t="s">
        <v>291</v>
      </c>
    </row>
    <row r="74" customFormat="false" ht="15" hidden="false" customHeight="false" outlineLevel="0" collapsed="false">
      <c r="A74" s="75" t="s">
        <v>169</v>
      </c>
      <c r="B74" s="75" t="s">
        <v>237</v>
      </c>
      <c r="C74" s="76" t="n">
        <v>2021</v>
      </c>
      <c r="D74" s="76" t="n">
        <v>1</v>
      </c>
      <c r="E74" s="77" t="n">
        <v>44255</v>
      </c>
      <c r="F74" s="75" t="s">
        <v>194</v>
      </c>
      <c r="G74" s="75" t="s">
        <v>195</v>
      </c>
      <c r="H74" s="75" t="s">
        <v>191</v>
      </c>
      <c r="I74" s="78" t="n">
        <v>3905</v>
      </c>
      <c r="J74" s="78" t="n">
        <v>3458</v>
      </c>
      <c r="K74" s="79" t="n">
        <v>3.14</v>
      </c>
      <c r="L74" s="78" t="n">
        <v>482.9</v>
      </c>
      <c r="M74" s="78" t="n">
        <v>13546</v>
      </c>
      <c r="N74" s="79" t="n">
        <v>0</v>
      </c>
      <c r="O74" s="79" t="n">
        <v>459.670013427734</v>
      </c>
      <c r="P74" s="47" t="n">
        <v>22</v>
      </c>
      <c r="Q74" s="66" t="s">
        <v>292</v>
      </c>
    </row>
    <row r="75" customFormat="false" ht="15" hidden="false" customHeight="false" outlineLevel="0" collapsed="false">
      <c r="A75" s="75" t="s">
        <v>169</v>
      </c>
      <c r="B75" s="75" t="s">
        <v>239</v>
      </c>
      <c r="C75" s="76" t="n">
        <v>2020</v>
      </c>
      <c r="D75" s="76" t="n">
        <v>4</v>
      </c>
      <c r="E75" s="77" t="n">
        <v>44165</v>
      </c>
      <c r="F75" s="75" t="s">
        <v>194</v>
      </c>
      <c r="G75" s="75" t="s">
        <v>195</v>
      </c>
      <c r="H75" s="75" t="s">
        <v>191</v>
      </c>
      <c r="I75" s="78" t="n">
        <v>3424</v>
      </c>
      <c r="J75" s="78" t="n">
        <v>2996</v>
      </c>
      <c r="K75" s="79" t="n">
        <v>2.81</v>
      </c>
      <c r="L75" s="78"/>
      <c r="M75" s="78" t="n">
        <v>13264</v>
      </c>
      <c r="N75" s="79" t="n">
        <v>0</v>
      </c>
      <c r="O75" s="79" t="n">
        <v>478.470001220703</v>
      </c>
      <c r="P75" s="47" t="n">
        <v>23</v>
      </c>
      <c r="Q75" s="66" t="s">
        <v>293</v>
      </c>
    </row>
    <row r="76" customFormat="false" ht="15" hidden="false" customHeight="false" outlineLevel="0" collapsed="false">
      <c r="A76" s="75" t="s">
        <v>169</v>
      </c>
      <c r="B76" s="75" t="s">
        <v>241</v>
      </c>
      <c r="C76" s="76" t="n">
        <v>2020</v>
      </c>
      <c r="D76" s="76" t="n">
        <v>3</v>
      </c>
      <c r="E76" s="77" t="n">
        <v>44074</v>
      </c>
      <c r="F76" s="75" t="s">
        <v>194</v>
      </c>
      <c r="G76" s="75" t="s">
        <v>195</v>
      </c>
      <c r="H76" s="75" t="s">
        <v>191</v>
      </c>
      <c r="I76" s="78" t="n">
        <v>3225</v>
      </c>
      <c r="J76" s="78" t="n">
        <v>2798</v>
      </c>
      <c r="K76" s="79" t="n">
        <v>2.57</v>
      </c>
      <c r="L76" s="78" t="n">
        <v>484.9</v>
      </c>
      <c r="M76" s="78" t="n">
        <v>11713</v>
      </c>
      <c r="N76" s="79"/>
      <c r="O76" s="79" t="n">
        <v>513.390014648438</v>
      </c>
      <c r="P76" s="47" t="n">
        <v>24</v>
      </c>
      <c r="Q76" s="66" t="s">
        <v>294</v>
      </c>
    </row>
    <row r="77" customFormat="false" ht="15" hidden="false" customHeight="false" outlineLevel="0" collapsed="false">
      <c r="A77" s="75" t="s">
        <v>168</v>
      </c>
      <c r="B77" s="75" t="s">
        <v>243</v>
      </c>
      <c r="C77" s="76" t="n">
        <v>2026</v>
      </c>
      <c r="D77" s="76" t="n">
        <v>4</v>
      </c>
      <c r="E77" s="77" t="n">
        <v>46264</v>
      </c>
      <c r="F77" s="75" t="s">
        <v>189</v>
      </c>
      <c r="G77" s="75" t="s">
        <v>190</v>
      </c>
      <c r="H77" s="75" t="s">
        <v>191</v>
      </c>
      <c r="I77" s="78"/>
      <c r="J77" s="78"/>
      <c r="K77" s="79" t="n">
        <v>6.56439</v>
      </c>
      <c r="L77" s="78"/>
      <c r="M77" s="78"/>
      <c r="N77" s="79"/>
      <c r="O77" s="79"/>
      <c r="P77" s="47" t="n">
        <v>0</v>
      </c>
      <c r="Q77" s="66" t="s">
        <v>295</v>
      </c>
    </row>
    <row r="78" customFormat="false" ht="15" hidden="false" customHeight="false" outlineLevel="0" collapsed="false">
      <c r="A78" s="75" t="s">
        <v>168</v>
      </c>
      <c r="B78" s="75" t="s">
        <v>245</v>
      </c>
      <c r="C78" s="76" t="n">
        <v>2026</v>
      </c>
      <c r="D78" s="76" t="n">
        <v>3</v>
      </c>
      <c r="E78" s="77" t="n">
        <v>46173</v>
      </c>
      <c r="F78" s="75" t="s">
        <v>194</v>
      </c>
      <c r="G78" s="75" t="s">
        <v>195</v>
      </c>
      <c r="H78" s="75" t="s">
        <v>191</v>
      </c>
      <c r="I78" s="78" t="n">
        <v>70527</v>
      </c>
      <c r="J78" s="78" t="n">
        <v>9008</v>
      </c>
      <c r="K78" s="79" t="n">
        <v>4.93</v>
      </c>
      <c r="L78" s="78" t="n">
        <v>444.43</v>
      </c>
      <c r="M78" s="78" t="n">
        <v>33509</v>
      </c>
      <c r="N78" s="79" t="n">
        <v>1.47</v>
      </c>
      <c r="O78" s="79" t="n">
        <v>956.320007324219</v>
      </c>
      <c r="P78" s="47" t="n">
        <v>1</v>
      </c>
      <c r="Q78" s="66" t="s">
        <v>296</v>
      </c>
    </row>
    <row r="79" customFormat="false" ht="15" hidden="false" customHeight="false" outlineLevel="0" collapsed="false">
      <c r="A79" s="75" t="s">
        <v>168</v>
      </c>
      <c r="B79" s="75" t="s">
        <v>193</v>
      </c>
      <c r="C79" s="76" t="n">
        <v>2026</v>
      </c>
      <c r="D79" s="76" t="n">
        <v>2</v>
      </c>
      <c r="E79" s="77" t="n">
        <v>46081</v>
      </c>
      <c r="F79" s="75" t="s">
        <v>194</v>
      </c>
      <c r="G79" s="75" t="s">
        <v>195</v>
      </c>
      <c r="H79" s="75" t="s">
        <v>191</v>
      </c>
      <c r="I79" s="78" t="n">
        <v>69597</v>
      </c>
      <c r="J79" s="78" t="n">
        <v>8878</v>
      </c>
      <c r="K79" s="79" t="n">
        <v>4.58</v>
      </c>
      <c r="L79" s="78" t="n">
        <v>444.42</v>
      </c>
      <c r="M79" s="78" t="n">
        <v>32087</v>
      </c>
      <c r="N79" s="79" t="n">
        <v>1.3</v>
      </c>
      <c r="O79" s="79" t="n">
        <v>1010.78997802734</v>
      </c>
      <c r="P79" s="47" t="n">
        <v>2</v>
      </c>
      <c r="Q79" s="66" t="s">
        <v>297</v>
      </c>
    </row>
    <row r="80" customFormat="false" ht="15" hidden="false" customHeight="false" outlineLevel="0" collapsed="false">
      <c r="A80" s="75" t="s">
        <v>168</v>
      </c>
      <c r="B80" s="75" t="s">
        <v>197</v>
      </c>
      <c r="C80" s="76" t="n">
        <v>2026</v>
      </c>
      <c r="D80" s="76" t="n">
        <v>1</v>
      </c>
      <c r="E80" s="77" t="n">
        <v>45991</v>
      </c>
      <c r="F80" s="75" t="s">
        <v>194</v>
      </c>
      <c r="G80" s="75" t="s">
        <v>195</v>
      </c>
      <c r="H80" s="75" t="s">
        <v>191</v>
      </c>
      <c r="I80" s="78" t="n">
        <v>67307</v>
      </c>
      <c r="J80" s="78" t="n">
        <v>8797</v>
      </c>
      <c r="K80" s="79" t="n">
        <v>4.5</v>
      </c>
      <c r="L80" s="78" t="n">
        <v>444.515</v>
      </c>
      <c r="M80" s="78" t="n">
        <v>30303</v>
      </c>
      <c r="N80" s="79" t="n">
        <v>1.3</v>
      </c>
      <c r="O80" s="79" t="n">
        <v>913.590026855469</v>
      </c>
      <c r="P80" s="47" t="n">
        <v>3</v>
      </c>
      <c r="Q80" s="66" t="s">
        <v>298</v>
      </c>
    </row>
    <row r="81" customFormat="false" ht="15" hidden="false" customHeight="false" outlineLevel="0" collapsed="false">
      <c r="A81" s="75" t="s">
        <v>168</v>
      </c>
      <c r="B81" s="75" t="s">
        <v>199</v>
      </c>
      <c r="C81" s="76" t="n">
        <v>2025</v>
      </c>
      <c r="D81" s="76" t="n">
        <v>4</v>
      </c>
      <c r="E81" s="77" t="n">
        <v>45900</v>
      </c>
      <c r="F81" s="75" t="s">
        <v>194</v>
      </c>
      <c r="G81" s="75" t="s">
        <v>195</v>
      </c>
      <c r="H81" s="75" t="s">
        <v>191</v>
      </c>
      <c r="I81" s="78" t="n">
        <v>86156</v>
      </c>
      <c r="J81" s="78" t="n">
        <v>11119</v>
      </c>
      <c r="K81" s="79" t="n">
        <v>5.87</v>
      </c>
      <c r="L81" s="78" t="n">
        <v>444.706</v>
      </c>
      <c r="M81" s="78" t="n">
        <v>29164</v>
      </c>
      <c r="N81" s="79" t="n">
        <v>1.3</v>
      </c>
      <c r="O81" s="79" t="n">
        <v>943.320007324219</v>
      </c>
      <c r="P81" s="47" t="n">
        <v>4</v>
      </c>
      <c r="Q81" s="66" t="s">
        <v>299</v>
      </c>
    </row>
    <row r="82" customFormat="false" ht="15" hidden="false" customHeight="false" outlineLevel="0" collapsed="false">
      <c r="A82" s="75" t="s">
        <v>168</v>
      </c>
      <c r="B82" s="75" t="s">
        <v>201</v>
      </c>
      <c r="C82" s="76" t="n">
        <v>2025</v>
      </c>
      <c r="D82" s="76" t="n">
        <v>3</v>
      </c>
      <c r="E82" s="77" t="n">
        <v>45808</v>
      </c>
      <c r="F82" s="75" t="s">
        <v>194</v>
      </c>
      <c r="G82" s="75" t="s">
        <v>195</v>
      </c>
      <c r="H82" s="75" t="s">
        <v>191</v>
      </c>
      <c r="I82" s="78" t="n">
        <v>63205</v>
      </c>
      <c r="J82" s="78" t="n">
        <v>8209</v>
      </c>
      <c r="K82" s="79" t="n">
        <v>4.28</v>
      </c>
      <c r="L82" s="78" t="n">
        <v>444.762</v>
      </c>
      <c r="M82" s="78" t="n">
        <v>27125</v>
      </c>
      <c r="N82" s="79" t="n">
        <v>1.3</v>
      </c>
      <c r="O82" s="79" t="n">
        <v>1040.18005371094</v>
      </c>
      <c r="P82" s="47" t="n">
        <v>5</v>
      </c>
      <c r="Q82" s="66" t="s">
        <v>300</v>
      </c>
    </row>
    <row r="83" customFormat="false" ht="15" hidden="false" customHeight="false" outlineLevel="0" collapsed="false">
      <c r="A83" s="75" t="s">
        <v>168</v>
      </c>
      <c r="B83" s="75" t="s">
        <v>203</v>
      </c>
      <c r="C83" s="76" t="n">
        <v>2025</v>
      </c>
      <c r="D83" s="76" t="n">
        <v>2</v>
      </c>
      <c r="E83" s="77" t="n">
        <v>45716</v>
      </c>
      <c r="F83" s="75" t="s">
        <v>194</v>
      </c>
      <c r="G83" s="75" t="s">
        <v>195</v>
      </c>
      <c r="H83" s="75" t="s">
        <v>191</v>
      </c>
      <c r="I83" s="78" t="n">
        <v>63723</v>
      </c>
      <c r="J83" s="78" t="n">
        <v>7979</v>
      </c>
      <c r="K83" s="79" t="n">
        <v>4.02</v>
      </c>
      <c r="L83" s="78" t="n">
        <v>444.9135</v>
      </c>
      <c r="M83" s="78" t="n">
        <v>25577</v>
      </c>
      <c r="N83" s="79" t="n">
        <v>1.16</v>
      </c>
      <c r="O83" s="79" t="n">
        <v>1048.60998535156</v>
      </c>
      <c r="P83" s="47" t="n">
        <v>6</v>
      </c>
      <c r="Q83" s="66" t="s">
        <v>301</v>
      </c>
    </row>
    <row r="84" customFormat="false" ht="15" hidden="false" customHeight="false" outlineLevel="0" collapsed="false">
      <c r="A84" s="75" t="s">
        <v>168</v>
      </c>
      <c r="B84" s="75" t="s">
        <v>205</v>
      </c>
      <c r="C84" s="76" t="n">
        <v>2025</v>
      </c>
      <c r="D84" s="76" t="n">
        <v>1</v>
      </c>
      <c r="E84" s="77" t="n">
        <v>45626</v>
      </c>
      <c r="F84" s="75" t="s">
        <v>194</v>
      </c>
      <c r="G84" s="75" t="s">
        <v>195</v>
      </c>
      <c r="H84" s="75" t="s">
        <v>191</v>
      </c>
      <c r="I84" s="78" t="n">
        <v>62151</v>
      </c>
      <c r="J84" s="78" t="n">
        <v>8042</v>
      </c>
      <c r="K84" s="79" t="n">
        <v>4.04</v>
      </c>
      <c r="L84" s="78" t="n">
        <v>444.881</v>
      </c>
      <c r="M84" s="78" t="n">
        <v>24451</v>
      </c>
      <c r="N84" s="79" t="n">
        <v>1.16</v>
      </c>
      <c r="O84" s="79" t="n">
        <v>971.880004882812</v>
      </c>
      <c r="P84" s="47" t="n">
        <v>7</v>
      </c>
      <c r="Q84" s="66" t="s">
        <v>302</v>
      </c>
    </row>
    <row r="85" customFormat="false" ht="15" hidden="false" customHeight="false" outlineLevel="0" collapsed="false">
      <c r="A85" s="75" t="s">
        <v>168</v>
      </c>
      <c r="B85" s="75" t="s">
        <v>207</v>
      </c>
      <c r="C85" s="76" t="n">
        <v>2024</v>
      </c>
      <c r="D85" s="76" t="n">
        <v>4</v>
      </c>
      <c r="E85" s="77" t="n">
        <v>45535</v>
      </c>
      <c r="F85" s="75" t="s">
        <v>194</v>
      </c>
      <c r="G85" s="75" t="s">
        <v>195</v>
      </c>
      <c r="H85" s="75" t="s">
        <v>191</v>
      </c>
      <c r="I85" s="78" t="n">
        <v>79697</v>
      </c>
      <c r="J85" s="78" t="n">
        <v>10109</v>
      </c>
      <c r="K85" s="79" t="n">
        <v>5.15</v>
      </c>
      <c r="L85" s="78" t="n">
        <v>444.759</v>
      </c>
      <c r="M85" s="78" t="n">
        <v>23622</v>
      </c>
      <c r="N85" s="79" t="n">
        <v>1.16</v>
      </c>
      <c r="O85" s="79" t="n">
        <v>892.380004882813</v>
      </c>
      <c r="P85" s="47" t="n">
        <v>8</v>
      </c>
      <c r="Q85" s="66" t="s">
        <v>303</v>
      </c>
    </row>
    <row r="86" customFormat="false" ht="15" hidden="false" customHeight="false" outlineLevel="0" collapsed="false">
      <c r="A86" s="75" t="s">
        <v>168</v>
      </c>
      <c r="B86" s="75" t="s">
        <v>209</v>
      </c>
      <c r="C86" s="76" t="n">
        <v>2024</v>
      </c>
      <c r="D86" s="76" t="n">
        <v>3</v>
      </c>
      <c r="E86" s="77" t="n">
        <v>45443</v>
      </c>
      <c r="F86" s="75" t="s">
        <v>194</v>
      </c>
      <c r="G86" s="75" t="s">
        <v>195</v>
      </c>
      <c r="H86" s="75" t="s">
        <v>191</v>
      </c>
      <c r="I86" s="78" t="n">
        <v>58515</v>
      </c>
      <c r="J86" s="78" t="n">
        <v>7342</v>
      </c>
      <c r="K86" s="79" t="n">
        <v>3.78</v>
      </c>
      <c r="L86" s="78" t="n">
        <v>444.60725</v>
      </c>
      <c r="M86" s="78" t="n">
        <v>21771</v>
      </c>
      <c r="N86" s="79" t="n">
        <v>1.16</v>
      </c>
      <c r="O86" s="79" t="n">
        <v>809.890014648438</v>
      </c>
      <c r="P86" s="47" t="n">
        <v>9</v>
      </c>
      <c r="Q86" s="66" t="s">
        <v>304</v>
      </c>
    </row>
    <row r="87" customFormat="false" ht="15" hidden="false" customHeight="false" outlineLevel="0" collapsed="false">
      <c r="A87" s="75" t="s">
        <v>168</v>
      </c>
      <c r="B87" s="75" t="s">
        <v>211</v>
      </c>
      <c r="C87" s="76" t="n">
        <v>2024</v>
      </c>
      <c r="D87" s="76" t="n">
        <v>2</v>
      </c>
      <c r="E87" s="77" t="n">
        <v>45351</v>
      </c>
      <c r="F87" s="75" t="s">
        <v>194</v>
      </c>
      <c r="G87" s="75" t="s">
        <v>195</v>
      </c>
      <c r="H87" s="75" t="s">
        <v>191</v>
      </c>
      <c r="I87" s="78" t="n">
        <v>58442</v>
      </c>
      <c r="J87" s="78" t="n">
        <v>7302</v>
      </c>
      <c r="K87" s="79" t="n">
        <v>3.71</v>
      </c>
      <c r="L87" s="78" t="n">
        <v>444.49</v>
      </c>
      <c r="M87" s="78" t="n">
        <v>20760</v>
      </c>
      <c r="N87" s="79" t="n">
        <v>16.02</v>
      </c>
      <c r="O87" s="79" t="n">
        <v>743.890014648438</v>
      </c>
      <c r="P87" s="47" t="n">
        <v>10</v>
      </c>
      <c r="Q87" s="66" t="s">
        <v>305</v>
      </c>
    </row>
    <row r="88" customFormat="false" ht="15" hidden="false" customHeight="false" outlineLevel="0" collapsed="false">
      <c r="A88" s="75" t="s">
        <v>168</v>
      </c>
      <c r="B88" s="75" t="s">
        <v>213</v>
      </c>
      <c r="C88" s="76" t="n">
        <v>2024</v>
      </c>
      <c r="D88" s="76" t="n">
        <v>1</v>
      </c>
      <c r="E88" s="77" t="n">
        <v>45260</v>
      </c>
      <c r="F88" s="75" t="s">
        <v>194</v>
      </c>
      <c r="G88" s="75" t="s">
        <v>195</v>
      </c>
      <c r="H88" s="75" t="s">
        <v>191</v>
      </c>
      <c r="I88" s="78" t="n">
        <v>57799</v>
      </c>
      <c r="J88" s="78" t="n">
        <v>7342</v>
      </c>
      <c r="K88" s="79" t="n">
        <v>3.58</v>
      </c>
      <c r="L88" s="78" t="n">
        <v>444.42</v>
      </c>
      <c r="M88" s="78" t="n">
        <v>26147</v>
      </c>
      <c r="N88" s="79" t="n">
        <v>1.02</v>
      </c>
      <c r="O88" s="79" t="n">
        <v>592.739990234375</v>
      </c>
      <c r="P88" s="47" t="n">
        <v>11</v>
      </c>
      <c r="Q88" s="66" t="s">
        <v>306</v>
      </c>
    </row>
    <row r="89" customFormat="false" ht="15" hidden="false" customHeight="false" outlineLevel="0" collapsed="false">
      <c r="A89" s="75" t="s">
        <v>168</v>
      </c>
      <c r="B89" s="75" t="s">
        <v>215</v>
      </c>
      <c r="C89" s="76" t="n">
        <v>2023</v>
      </c>
      <c r="D89" s="76" t="n">
        <v>4</v>
      </c>
      <c r="E89" s="77" t="n">
        <v>45169</v>
      </c>
      <c r="F89" s="75" t="s">
        <v>194</v>
      </c>
      <c r="G89" s="75" t="s">
        <v>195</v>
      </c>
      <c r="H89" s="75" t="s">
        <v>191</v>
      </c>
      <c r="I89" s="78" t="n">
        <v>78939</v>
      </c>
      <c r="J89" s="78" t="n">
        <v>9720</v>
      </c>
      <c r="K89" s="79" t="n">
        <v>4.86</v>
      </c>
      <c r="L89" s="78"/>
      <c r="M89" s="78" t="n">
        <v>25058</v>
      </c>
      <c r="N89" s="79" t="n">
        <v>1.02</v>
      </c>
      <c r="O89" s="79" t="n">
        <v>549.280029296875</v>
      </c>
      <c r="P89" s="47" t="n">
        <v>12</v>
      </c>
      <c r="Q89" s="66" t="s">
        <v>307</v>
      </c>
    </row>
    <row r="90" customFormat="false" ht="15" hidden="false" customHeight="false" outlineLevel="0" collapsed="false">
      <c r="A90" s="75" t="s">
        <v>168</v>
      </c>
      <c r="B90" s="75" t="s">
        <v>217</v>
      </c>
      <c r="C90" s="76" t="n">
        <v>2023</v>
      </c>
      <c r="D90" s="76" t="n">
        <v>3</v>
      </c>
      <c r="E90" s="77" t="n">
        <v>45077</v>
      </c>
      <c r="F90" s="75" t="s">
        <v>194</v>
      </c>
      <c r="G90" s="75" t="s">
        <v>195</v>
      </c>
      <c r="H90" s="75" t="s">
        <v>191</v>
      </c>
      <c r="I90" s="78" t="n">
        <v>53648</v>
      </c>
      <c r="J90" s="78" t="n">
        <v>6473</v>
      </c>
      <c r="K90" s="79" t="n">
        <v>2.93</v>
      </c>
      <c r="L90" s="78" t="n">
        <v>444.36</v>
      </c>
      <c r="M90" s="78" t="n">
        <v>23568</v>
      </c>
      <c r="N90" s="79" t="n">
        <v>1.02</v>
      </c>
      <c r="O90" s="79" t="n">
        <v>511.559997558594</v>
      </c>
      <c r="P90" s="47" t="n">
        <v>13</v>
      </c>
      <c r="Q90" s="66" t="s">
        <v>308</v>
      </c>
    </row>
    <row r="91" customFormat="false" ht="15" hidden="false" customHeight="false" outlineLevel="0" collapsed="false">
      <c r="A91" s="75" t="s">
        <v>168</v>
      </c>
      <c r="B91" s="75" t="s">
        <v>219</v>
      </c>
      <c r="C91" s="76" t="n">
        <v>2023</v>
      </c>
      <c r="D91" s="76" t="n">
        <v>2</v>
      </c>
      <c r="E91" s="77" t="n">
        <v>44985</v>
      </c>
      <c r="F91" s="75" t="s">
        <v>194</v>
      </c>
      <c r="G91" s="75" t="s">
        <v>195</v>
      </c>
      <c r="H91" s="75" t="s">
        <v>191</v>
      </c>
      <c r="I91" s="78" t="n">
        <v>55266</v>
      </c>
      <c r="J91" s="78" t="n">
        <v>6843</v>
      </c>
      <c r="K91" s="79" t="n">
        <v>3.3</v>
      </c>
      <c r="L91" s="78" t="n">
        <v>444.475</v>
      </c>
      <c r="M91" s="78" t="n">
        <v>22794</v>
      </c>
      <c r="N91" s="79" t="n">
        <v>0.9</v>
      </c>
      <c r="O91" s="79" t="n">
        <v>484.179992675781</v>
      </c>
      <c r="P91" s="47" t="n">
        <v>14</v>
      </c>
      <c r="Q91" s="66" t="s">
        <v>309</v>
      </c>
    </row>
    <row r="92" customFormat="false" ht="15" hidden="false" customHeight="false" outlineLevel="0" collapsed="false">
      <c r="A92" s="75" t="s">
        <v>168</v>
      </c>
      <c r="B92" s="75" t="s">
        <v>221</v>
      </c>
      <c r="C92" s="76" t="n">
        <v>2023</v>
      </c>
      <c r="D92" s="76" t="n">
        <v>1</v>
      </c>
      <c r="E92" s="77" t="n">
        <v>44895</v>
      </c>
      <c r="F92" s="75" t="s">
        <v>194</v>
      </c>
      <c r="G92" s="75" t="s">
        <v>195</v>
      </c>
      <c r="H92" s="75" t="s">
        <v>191</v>
      </c>
      <c r="I92" s="78" t="n">
        <v>54437</v>
      </c>
      <c r="J92" s="78" t="n">
        <v>6668</v>
      </c>
      <c r="K92" s="79" t="n">
        <v>3.1</v>
      </c>
      <c r="L92" s="78" t="n">
        <v>444.531</v>
      </c>
      <c r="M92" s="78" t="n">
        <v>21471</v>
      </c>
      <c r="N92" s="79" t="n">
        <v>0.9</v>
      </c>
      <c r="O92" s="79" t="n">
        <v>539.25</v>
      </c>
      <c r="P92" s="47" t="n">
        <v>15</v>
      </c>
      <c r="Q92" s="66" t="s">
        <v>310</v>
      </c>
    </row>
    <row r="93" customFormat="false" ht="15" hidden="false" customHeight="false" outlineLevel="0" collapsed="false">
      <c r="A93" s="75" t="s">
        <v>168</v>
      </c>
      <c r="B93" s="75" t="s">
        <v>223</v>
      </c>
      <c r="C93" s="76" t="n">
        <v>2022</v>
      </c>
      <c r="D93" s="76" t="n">
        <v>4</v>
      </c>
      <c r="E93" s="77" t="n">
        <v>44804</v>
      </c>
      <c r="F93" s="75" t="s">
        <v>194</v>
      </c>
      <c r="G93" s="75" t="s">
        <v>195</v>
      </c>
      <c r="H93" s="75" t="s">
        <v>191</v>
      </c>
      <c r="I93" s="78" t="n">
        <v>72091</v>
      </c>
      <c r="J93" s="78" t="n">
        <v>8533</v>
      </c>
      <c r="K93" s="79" t="n">
        <v>4.2</v>
      </c>
      <c r="L93" s="78"/>
      <c r="M93" s="78" t="n">
        <v>20642</v>
      </c>
      <c r="N93" s="79" t="n">
        <v>0.9</v>
      </c>
      <c r="O93" s="79" t="n">
        <v>522.099975585938</v>
      </c>
      <c r="P93" s="47" t="n">
        <v>16</v>
      </c>
      <c r="Q93" s="66" t="s">
        <v>311</v>
      </c>
    </row>
    <row r="94" customFormat="false" ht="15" hidden="false" customHeight="false" outlineLevel="0" collapsed="false">
      <c r="A94" s="75" t="s">
        <v>168</v>
      </c>
      <c r="B94" s="75" t="s">
        <v>225</v>
      </c>
      <c r="C94" s="76" t="n">
        <v>2022</v>
      </c>
      <c r="D94" s="76" t="n">
        <v>3</v>
      </c>
      <c r="E94" s="77" t="n">
        <v>44712</v>
      </c>
      <c r="F94" s="75" t="s">
        <v>194</v>
      </c>
      <c r="G94" s="75" t="s">
        <v>195</v>
      </c>
      <c r="H94" s="75" t="s">
        <v>191</v>
      </c>
      <c r="I94" s="78" t="n">
        <v>52596</v>
      </c>
      <c r="J94" s="78" t="n">
        <v>6241</v>
      </c>
      <c r="K94" s="79" t="n">
        <v>3.17</v>
      </c>
      <c r="L94" s="78" t="n">
        <v>444.886</v>
      </c>
      <c r="M94" s="78" t="n">
        <v>19968</v>
      </c>
      <c r="N94" s="79" t="n">
        <v>0.9</v>
      </c>
      <c r="O94" s="79" t="n">
        <v>466.220001220703</v>
      </c>
      <c r="P94" s="47" t="n">
        <v>17</v>
      </c>
      <c r="Q94" s="66" t="s">
        <v>312</v>
      </c>
    </row>
    <row r="95" customFormat="false" ht="15" hidden="false" customHeight="false" outlineLevel="0" collapsed="false">
      <c r="A95" s="75" t="s">
        <v>168</v>
      </c>
      <c r="B95" s="75" t="s">
        <v>227</v>
      </c>
      <c r="C95" s="76" t="n">
        <v>2022</v>
      </c>
      <c r="D95" s="76" t="n">
        <v>2</v>
      </c>
      <c r="E95" s="77" t="n">
        <v>44620</v>
      </c>
      <c r="F95" s="75" t="s">
        <v>194</v>
      </c>
      <c r="G95" s="75" t="s">
        <v>195</v>
      </c>
      <c r="H95" s="75" t="s">
        <v>191</v>
      </c>
      <c r="I95" s="78" t="n">
        <v>51904</v>
      </c>
      <c r="J95" s="78" t="n">
        <v>6387</v>
      </c>
      <c r="K95" s="79" t="n">
        <v>2.92</v>
      </c>
      <c r="L95" s="78" t="n">
        <v>444.916</v>
      </c>
      <c r="M95" s="78" t="n">
        <v>19418</v>
      </c>
      <c r="N95" s="79" t="n">
        <v>0.79</v>
      </c>
      <c r="O95" s="79" t="n">
        <v>519.25</v>
      </c>
      <c r="P95" s="47" t="n">
        <v>18</v>
      </c>
      <c r="Q95" s="66" t="s">
        <v>313</v>
      </c>
    </row>
    <row r="96" customFormat="false" ht="15" hidden="false" customHeight="false" outlineLevel="0" collapsed="false">
      <c r="A96" s="75" t="s">
        <v>168</v>
      </c>
      <c r="B96" s="75" t="s">
        <v>229</v>
      </c>
      <c r="C96" s="76" t="n">
        <v>2022</v>
      </c>
      <c r="D96" s="76" t="n">
        <v>1</v>
      </c>
      <c r="E96" s="77" t="n">
        <v>44530</v>
      </c>
      <c r="F96" s="75" t="s">
        <v>194</v>
      </c>
      <c r="G96" s="75" t="s">
        <v>195</v>
      </c>
      <c r="H96" s="75" t="s">
        <v>191</v>
      </c>
      <c r="I96" s="78" t="n">
        <v>50363</v>
      </c>
      <c r="J96" s="78" t="n">
        <v>6411</v>
      </c>
      <c r="K96" s="79" t="n">
        <v>2.98</v>
      </c>
      <c r="L96" s="78" t="n">
        <v>444.604</v>
      </c>
      <c r="M96" s="78" t="n">
        <v>18463</v>
      </c>
      <c r="N96" s="79" t="n">
        <v>0.79</v>
      </c>
      <c r="O96" s="79" t="n">
        <v>539.380004882813</v>
      </c>
      <c r="P96" s="47" t="n">
        <v>19</v>
      </c>
      <c r="Q96" s="66" t="s">
        <v>314</v>
      </c>
    </row>
    <row r="97" customFormat="false" ht="15" hidden="false" customHeight="false" outlineLevel="0" collapsed="false">
      <c r="A97" s="75" t="s">
        <v>168</v>
      </c>
      <c r="B97" s="75" t="s">
        <v>231</v>
      </c>
      <c r="C97" s="76" t="n">
        <v>2021</v>
      </c>
      <c r="D97" s="76" t="n">
        <v>4</v>
      </c>
      <c r="E97" s="77" t="n">
        <v>44439</v>
      </c>
      <c r="F97" s="75" t="s">
        <v>194</v>
      </c>
      <c r="G97" s="75" t="s">
        <v>195</v>
      </c>
      <c r="H97" s="75" t="s">
        <v>191</v>
      </c>
      <c r="I97" s="78" t="n">
        <v>62675</v>
      </c>
      <c r="J97" s="78" t="n">
        <v>7942</v>
      </c>
      <c r="K97" s="79" t="n">
        <v>3.76</v>
      </c>
      <c r="L97" s="78"/>
      <c r="M97" s="78" t="n">
        <v>17564</v>
      </c>
      <c r="N97" s="79" t="n">
        <v>0.79</v>
      </c>
      <c r="O97" s="79" t="n">
        <v>455.489990234375</v>
      </c>
      <c r="P97" s="47" t="n">
        <v>20</v>
      </c>
      <c r="Q97" s="66" t="s">
        <v>315</v>
      </c>
    </row>
    <row r="98" customFormat="false" ht="15" hidden="false" customHeight="false" outlineLevel="0" collapsed="false">
      <c r="A98" s="75" t="s">
        <v>168</v>
      </c>
      <c r="B98" s="75" t="s">
        <v>233</v>
      </c>
      <c r="C98" s="76" t="n">
        <v>2021</v>
      </c>
      <c r="D98" s="76" t="n">
        <v>3</v>
      </c>
      <c r="E98" s="77" t="n">
        <v>44347</v>
      </c>
      <c r="F98" s="75" t="s">
        <v>194</v>
      </c>
      <c r="G98" s="75" t="s">
        <v>195</v>
      </c>
      <c r="H98" s="75" t="s">
        <v>191</v>
      </c>
      <c r="I98" s="78" t="n">
        <v>45277</v>
      </c>
      <c r="J98" s="78" t="n">
        <v>5862</v>
      </c>
      <c r="K98" s="79" t="n">
        <v>2.75</v>
      </c>
      <c r="L98" s="78" t="n">
        <v>444.127</v>
      </c>
      <c r="M98" s="78" t="n">
        <v>16482</v>
      </c>
      <c r="N98" s="79" t="n">
        <v>0.79</v>
      </c>
      <c r="O98" s="79" t="n">
        <v>378.269989013672</v>
      </c>
      <c r="P98" s="47" t="n">
        <v>21</v>
      </c>
      <c r="Q98" s="66" t="s">
        <v>316</v>
      </c>
    </row>
    <row r="99" customFormat="false" ht="15" hidden="false" customHeight="false" outlineLevel="0" collapsed="false">
      <c r="A99" s="75" t="s">
        <v>168</v>
      </c>
      <c r="B99" s="75" t="s">
        <v>235</v>
      </c>
      <c r="C99" s="76" t="n">
        <v>2021</v>
      </c>
      <c r="D99" s="76" t="n">
        <v>2</v>
      </c>
      <c r="E99" s="77" t="n">
        <v>44255</v>
      </c>
      <c r="F99" s="75" t="s">
        <v>194</v>
      </c>
      <c r="G99" s="75" t="s">
        <v>195</v>
      </c>
      <c r="H99" s="75" t="s">
        <v>191</v>
      </c>
      <c r="I99" s="78" t="n">
        <v>44769</v>
      </c>
      <c r="J99" s="78" t="n">
        <v>5691</v>
      </c>
      <c r="K99" s="79" t="n">
        <v>2.14</v>
      </c>
      <c r="L99" s="78" t="n">
        <v>444.494</v>
      </c>
      <c r="M99" s="78" t="n">
        <v>15652</v>
      </c>
      <c r="N99" s="79" t="n">
        <v>10.7</v>
      </c>
      <c r="O99" s="79" t="n">
        <v>331</v>
      </c>
      <c r="P99" s="47" t="n">
        <v>22</v>
      </c>
      <c r="Q99" s="66" t="s">
        <v>317</v>
      </c>
    </row>
    <row r="100" customFormat="false" ht="15" hidden="false" customHeight="false" outlineLevel="0" collapsed="false">
      <c r="A100" s="75" t="s">
        <v>168</v>
      </c>
      <c r="B100" s="75" t="s">
        <v>237</v>
      </c>
      <c r="C100" s="76" t="n">
        <v>2021</v>
      </c>
      <c r="D100" s="76" t="n">
        <v>1</v>
      </c>
      <c r="E100" s="77" t="n">
        <v>44165</v>
      </c>
      <c r="F100" s="75" t="s">
        <v>194</v>
      </c>
      <c r="G100" s="75" t="s">
        <v>195</v>
      </c>
      <c r="H100" s="75" t="s">
        <v>191</v>
      </c>
      <c r="I100" s="78" t="n">
        <v>43208</v>
      </c>
      <c r="J100" s="78" t="n">
        <v>5750</v>
      </c>
      <c r="K100" s="79" t="n">
        <v>2.29</v>
      </c>
      <c r="L100" s="78" t="n">
        <v>444.386</v>
      </c>
      <c r="M100" s="78" t="n">
        <v>14860</v>
      </c>
      <c r="N100" s="79" t="n">
        <v>0.7</v>
      </c>
      <c r="O100" s="79" t="n">
        <v>391.769989013672</v>
      </c>
      <c r="P100" s="47" t="n">
        <v>23</v>
      </c>
      <c r="Q100" s="66" t="s">
        <v>318</v>
      </c>
    </row>
    <row r="101" customFormat="false" ht="15" hidden="false" customHeight="false" outlineLevel="0" collapsed="false">
      <c r="A101" s="75" t="s">
        <v>168</v>
      </c>
      <c r="B101" s="75" t="s">
        <v>239</v>
      </c>
      <c r="C101" s="76" t="n">
        <v>2020</v>
      </c>
      <c r="D101" s="76" t="n">
        <v>4</v>
      </c>
      <c r="E101" s="77" t="n">
        <v>44074</v>
      </c>
      <c r="F101" s="75" t="s">
        <v>194</v>
      </c>
      <c r="G101" s="75" t="s">
        <v>195</v>
      </c>
      <c r="H101" s="75" t="s">
        <v>191</v>
      </c>
      <c r="I101" s="78" t="n">
        <v>53383</v>
      </c>
      <c r="J101" s="78" t="n">
        <v>6982</v>
      </c>
      <c r="K101" s="79" t="n">
        <v>3.13</v>
      </c>
      <c r="L101" s="78"/>
      <c r="M101" s="78" t="n">
        <v>18284</v>
      </c>
      <c r="N101" s="79"/>
      <c r="O101" s="79" t="n">
        <v>347.660003662109</v>
      </c>
      <c r="P101" s="47" t="n">
        <v>24</v>
      </c>
      <c r="Q101" s="66" t="s">
        <v>319</v>
      </c>
    </row>
    <row r="102" customFormat="false" ht="15" hidden="false" customHeight="false" outlineLevel="0" collapsed="false">
      <c r="A102" s="75" t="s">
        <v>166</v>
      </c>
      <c r="B102" s="75" t="s">
        <v>320</v>
      </c>
      <c r="C102" s="76" t="n">
        <v>2027</v>
      </c>
      <c r="D102" s="76" t="n">
        <v>1</v>
      </c>
      <c r="E102" s="77" t="n">
        <v>46294</v>
      </c>
      <c r="F102" s="75" t="s">
        <v>189</v>
      </c>
      <c r="G102" s="75" t="s">
        <v>190</v>
      </c>
      <c r="H102" s="75" t="s">
        <v>191</v>
      </c>
      <c r="I102" s="78"/>
      <c r="J102" s="78"/>
      <c r="K102" s="79" t="n">
        <v>4.72092</v>
      </c>
      <c r="L102" s="78"/>
      <c r="M102" s="78"/>
      <c r="N102" s="79"/>
      <c r="O102" s="79"/>
      <c r="P102" s="47" t="n">
        <v>0</v>
      </c>
      <c r="Q102" s="66" t="s">
        <v>321</v>
      </c>
    </row>
    <row r="103" customFormat="false" ht="15" hidden="false" customHeight="false" outlineLevel="0" collapsed="false">
      <c r="A103" s="75" t="s">
        <v>166</v>
      </c>
      <c r="B103" s="75" t="s">
        <v>322</v>
      </c>
      <c r="C103" s="76" t="n">
        <v>2026</v>
      </c>
      <c r="D103" s="76" t="n">
        <v>4</v>
      </c>
      <c r="E103" s="77" t="n">
        <v>46203</v>
      </c>
      <c r="F103" s="75" t="s">
        <v>194</v>
      </c>
      <c r="G103" s="75" t="s">
        <v>195</v>
      </c>
      <c r="H103" s="75" t="s">
        <v>191</v>
      </c>
      <c r="I103" s="78" t="n">
        <v>90007</v>
      </c>
      <c r="J103" s="78" t="n">
        <v>60482</v>
      </c>
      <c r="K103" s="79" t="n">
        <v>4.74</v>
      </c>
      <c r="L103" s="78" t="n">
        <v>7443</v>
      </c>
      <c r="M103" s="78" t="n">
        <v>442387</v>
      </c>
      <c r="N103" s="79" t="n">
        <v>0.91</v>
      </c>
      <c r="O103" s="79" t="n">
        <v>373.019989013672</v>
      </c>
      <c r="P103" s="47" t="n">
        <v>1</v>
      </c>
      <c r="Q103" s="66" t="s">
        <v>323</v>
      </c>
    </row>
    <row r="104" customFormat="false" ht="15" hidden="false" customHeight="false" outlineLevel="0" collapsed="false">
      <c r="A104" s="75" t="s">
        <v>166</v>
      </c>
      <c r="B104" s="75" t="s">
        <v>245</v>
      </c>
      <c r="C104" s="76" t="n">
        <v>2026</v>
      </c>
      <c r="D104" s="76" t="n">
        <v>3</v>
      </c>
      <c r="E104" s="77" t="n">
        <v>46112</v>
      </c>
      <c r="F104" s="75" t="s">
        <v>194</v>
      </c>
      <c r="G104" s="75" t="s">
        <v>195</v>
      </c>
      <c r="H104" s="75" t="s">
        <v>191</v>
      </c>
      <c r="I104" s="78" t="n">
        <v>82886</v>
      </c>
      <c r="J104" s="78" t="n">
        <v>56058</v>
      </c>
      <c r="K104" s="79" t="n">
        <v>4.27</v>
      </c>
      <c r="L104" s="78" t="n">
        <v>7445</v>
      </c>
      <c r="M104" s="78" t="n">
        <v>414367</v>
      </c>
      <c r="N104" s="79" t="n">
        <v>0.91</v>
      </c>
      <c r="O104" s="79" t="n">
        <v>370.170013427734</v>
      </c>
      <c r="P104" s="47" t="n">
        <v>2</v>
      </c>
      <c r="Q104" s="66" t="s">
        <v>324</v>
      </c>
    </row>
    <row r="105" customFormat="false" ht="15" hidden="false" customHeight="false" outlineLevel="0" collapsed="false">
      <c r="A105" s="75" t="s">
        <v>166</v>
      </c>
      <c r="B105" s="75" t="s">
        <v>193</v>
      </c>
      <c r="C105" s="76" t="n">
        <v>2026</v>
      </c>
      <c r="D105" s="76" t="n">
        <v>2</v>
      </c>
      <c r="E105" s="77" t="n">
        <v>46022</v>
      </c>
      <c r="F105" s="75" t="s">
        <v>194</v>
      </c>
      <c r="G105" s="75" t="s">
        <v>195</v>
      </c>
      <c r="H105" s="75" t="s">
        <v>191</v>
      </c>
      <c r="I105" s="78" t="n">
        <v>81273</v>
      </c>
      <c r="J105" s="78" t="n">
        <v>55295</v>
      </c>
      <c r="K105" s="79" t="n">
        <v>4.14</v>
      </c>
      <c r="L105" s="78" t="n">
        <v>7460</v>
      </c>
      <c r="M105" s="78" t="n">
        <v>390875</v>
      </c>
      <c r="N105" s="79" t="n">
        <v>0.91</v>
      </c>
      <c r="O105" s="79" t="n">
        <v>483.619995117188</v>
      </c>
      <c r="P105" s="47" t="n">
        <v>3</v>
      </c>
      <c r="Q105" s="66" t="s">
        <v>325</v>
      </c>
    </row>
    <row r="106" customFormat="false" ht="15" hidden="false" customHeight="false" outlineLevel="0" collapsed="false">
      <c r="A106" s="75" t="s">
        <v>166</v>
      </c>
      <c r="B106" s="75" t="s">
        <v>197</v>
      </c>
      <c r="C106" s="76" t="n">
        <v>2026</v>
      </c>
      <c r="D106" s="76" t="n">
        <v>1</v>
      </c>
      <c r="E106" s="77" t="n">
        <v>45930</v>
      </c>
      <c r="F106" s="75" t="s">
        <v>194</v>
      </c>
      <c r="G106" s="75" t="s">
        <v>195</v>
      </c>
      <c r="H106" s="75" t="s">
        <v>191</v>
      </c>
      <c r="I106" s="78" t="n">
        <v>77673</v>
      </c>
      <c r="J106" s="78" t="n">
        <v>53630</v>
      </c>
      <c r="K106" s="79" t="n">
        <v>4.13</v>
      </c>
      <c r="L106" s="78" t="n">
        <v>7466</v>
      </c>
      <c r="M106" s="78" t="n">
        <v>363076</v>
      </c>
      <c r="N106" s="79" t="n">
        <v>0.83</v>
      </c>
      <c r="O106" s="79" t="n">
        <v>517.950012207031</v>
      </c>
      <c r="P106" s="47" t="n">
        <v>4</v>
      </c>
      <c r="Q106" s="66" t="s">
        <v>326</v>
      </c>
    </row>
    <row r="107" customFormat="false" ht="15" hidden="false" customHeight="false" outlineLevel="0" collapsed="false">
      <c r="A107" s="75" t="s">
        <v>166</v>
      </c>
      <c r="B107" s="75" t="s">
        <v>199</v>
      </c>
      <c r="C107" s="76" t="n">
        <v>2025</v>
      </c>
      <c r="D107" s="76" t="n">
        <v>4</v>
      </c>
      <c r="E107" s="77" t="n">
        <v>45838</v>
      </c>
      <c r="F107" s="75" t="s">
        <v>194</v>
      </c>
      <c r="G107" s="75" t="s">
        <v>195</v>
      </c>
      <c r="H107" s="75" t="s">
        <v>191</v>
      </c>
      <c r="I107" s="78" t="n">
        <v>76441</v>
      </c>
      <c r="J107" s="78" t="n">
        <v>52427</v>
      </c>
      <c r="K107" s="79" t="n">
        <v>3.65</v>
      </c>
      <c r="L107" s="78" t="n">
        <v>7461</v>
      </c>
      <c r="M107" s="78" t="n">
        <v>343479</v>
      </c>
      <c r="N107" s="79" t="n">
        <v>0.83</v>
      </c>
      <c r="O107" s="79" t="n">
        <v>497.410003662109</v>
      </c>
      <c r="P107" s="47" t="n">
        <v>5</v>
      </c>
      <c r="Q107" s="66" t="s">
        <v>327</v>
      </c>
    </row>
    <row r="108" customFormat="false" ht="15" hidden="false" customHeight="false" outlineLevel="0" collapsed="false">
      <c r="A108" s="75" t="s">
        <v>166</v>
      </c>
      <c r="B108" s="75" t="s">
        <v>201</v>
      </c>
      <c r="C108" s="76" t="n">
        <v>2025</v>
      </c>
      <c r="D108" s="76" t="n">
        <v>3</v>
      </c>
      <c r="E108" s="77" t="n">
        <v>45747</v>
      </c>
      <c r="F108" s="75" t="s">
        <v>194</v>
      </c>
      <c r="G108" s="75" t="s">
        <v>195</v>
      </c>
      <c r="H108" s="75" t="s">
        <v>191</v>
      </c>
      <c r="I108" s="78" t="n">
        <v>70066</v>
      </c>
      <c r="J108" s="78" t="n">
        <v>48147</v>
      </c>
      <c r="K108" s="79" t="n">
        <v>3.46</v>
      </c>
      <c r="L108" s="78" t="n">
        <v>7468.25</v>
      </c>
      <c r="M108" s="78" t="n">
        <v>321891</v>
      </c>
      <c r="N108" s="79" t="n">
        <v>0.83</v>
      </c>
      <c r="O108" s="79" t="n">
        <v>375.390014648438</v>
      </c>
      <c r="P108" s="47" t="n">
        <v>6</v>
      </c>
      <c r="Q108" s="66" t="s">
        <v>328</v>
      </c>
    </row>
    <row r="109" customFormat="false" ht="15" hidden="false" customHeight="false" outlineLevel="0" collapsed="false">
      <c r="A109" s="75" t="s">
        <v>166</v>
      </c>
      <c r="B109" s="75" t="s">
        <v>203</v>
      </c>
      <c r="C109" s="76" t="n">
        <v>2025</v>
      </c>
      <c r="D109" s="76" t="n">
        <v>2</v>
      </c>
      <c r="E109" s="77" t="n">
        <v>45657</v>
      </c>
      <c r="F109" s="75" t="s">
        <v>194</v>
      </c>
      <c r="G109" s="75" t="s">
        <v>195</v>
      </c>
      <c r="H109" s="75" t="s">
        <v>191</v>
      </c>
      <c r="I109" s="78" t="n">
        <v>69632</v>
      </c>
      <c r="J109" s="78" t="n">
        <v>47833</v>
      </c>
      <c r="K109" s="79" t="n">
        <v>3.23</v>
      </c>
      <c r="L109" s="78" t="n">
        <v>7471</v>
      </c>
      <c r="M109" s="78" t="n">
        <v>302695</v>
      </c>
      <c r="N109" s="79" t="n">
        <v>0.83</v>
      </c>
      <c r="O109" s="79" t="n">
        <v>421.5</v>
      </c>
      <c r="P109" s="47" t="n">
        <v>7</v>
      </c>
      <c r="Q109" s="66" t="s">
        <v>329</v>
      </c>
    </row>
    <row r="110" customFormat="false" ht="15" hidden="false" customHeight="false" outlineLevel="0" collapsed="false">
      <c r="A110" s="75" t="s">
        <v>166</v>
      </c>
      <c r="B110" s="75" t="s">
        <v>205</v>
      </c>
      <c r="C110" s="76" t="n">
        <v>2025</v>
      </c>
      <c r="D110" s="76" t="n">
        <v>1</v>
      </c>
      <c r="E110" s="77" t="n">
        <v>45565</v>
      </c>
      <c r="F110" s="75" t="s">
        <v>194</v>
      </c>
      <c r="G110" s="75" t="s">
        <v>195</v>
      </c>
      <c r="H110" s="75" t="s">
        <v>191</v>
      </c>
      <c r="I110" s="78" t="n">
        <v>65585</v>
      </c>
      <c r="J110" s="78" t="n">
        <v>45486</v>
      </c>
      <c r="K110" s="79" t="n">
        <v>3.3</v>
      </c>
      <c r="L110" s="78" t="n">
        <v>7471</v>
      </c>
      <c r="M110" s="78" t="n">
        <v>287723</v>
      </c>
      <c r="N110" s="79" t="n">
        <v>0.75</v>
      </c>
      <c r="O110" s="79" t="n">
        <v>430.299987792969</v>
      </c>
      <c r="P110" s="47" t="n">
        <v>8</v>
      </c>
      <c r="Q110" s="66" t="s">
        <v>330</v>
      </c>
    </row>
    <row r="111" customFormat="false" ht="15" hidden="false" customHeight="false" outlineLevel="0" collapsed="false">
      <c r="A111" s="75" t="s">
        <v>166</v>
      </c>
      <c r="B111" s="75" t="s">
        <v>207</v>
      </c>
      <c r="C111" s="76" t="n">
        <v>2024</v>
      </c>
      <c r="D111" s="76" t="n">
        <v>4</v>
      </c>
      <c r="E111" s="77" t="n">
        <v>45473</v>
      </c>
      <c r="F111" s="75" t="s">
        <v>194</v>
      </c>
      <c r="G111" s="75" t="s">
        <v>195</v>
      </c>
      <c r="H111" s="75" t="s">
        <v>191</v>
      </c>
      <c r="I111" s="78" t="n">
        <v>64727</v>
      </c>
      <c r="J111" s="78" t="n">
        <v>45043</v>
      </c>
      <c r="K111" s="79" t="n">
        <v>2.95</v>
      </c>
      <c r="L111" s="78"/>
      <c r="M111" s="78" t="n">
        <v>268477</v>
      </c>
      <c r="N111" s="79" t="n">
        <v>0.75</v>
      </c>
      <c r="O111" s="79" t="n">
        <v>446.950012207031</v>
      </c>
      <c r="P111" s="47" t="n">
        <v>9</v>
      </c>
      <c r="Q111" s="66" t="s">
        <v>331</v>
      </c>
    </row>
    <row r="112" customFormat="false" ht="15" hidden="false" customHeight="false" outlineLevel="0" collapsed="false">
      <c r="A112" s="75" t="s">
        <v>166</v>
      </c>
      <c r="B112" s="75" t="s">
        <v>209</v>
      </c>
      <c r="C112" s="76" t="n">
        <v>2024</v>
      </c>
      <c r="D112" s="76" t="n">
        <v>3</v>
      </c>
      <c r="E112" s="77" t="n">
        <v>45382</v>
      </c>
      <c r="F112" s="75" t="s">
        <v>194</v>
      </c>
      <c r="G112" s="75" t="s">
        <v>195</v>
      </c>
      <c r="H112" s="75" t="s">
        <v>191</v>
      </c>
      <c r="I112" s="78" t="n">
        <v>61858</v>
      </c>
      <c r="J112" s="78" t="n">
        <v>43353</v>
      </c>
      <c r="K112" s="79" t="n">
        <v>2.94</v>
      </c>
      <c r="L112" s="78" t="n">
        <v>7466.75</v>
      </c>
      <c r="M112" s="78" t="n">
        <v>253152</v>
      </c>
      <c r="N112" s="79" t="n">
        <v>0.75</v>
      </c>
      <c r="O112" s="79" t="n">
        <v>420.720001220703</v>
      </c>
      <c r="P112" s="47" t="n">
        <v>10</v>
      </c>
      <c r="Q112" s="66" t="s">
        <v>332</v>
      </c>
    </row>
    <row r="113" customFormat="false" ht="15" hidden="false" customHeight="false" outlineLevel="0" collapsed="false">
      <c r="A113" s="75" t="s">
        <v>166</v>
      </c>
      <c r="B113" s="75" t="s">
        <v>211</v>
      </c>
      <c r="C113" s="76" t="n">
        <v>2024</v>
      </c>
      <c r="D113" s="76" t="n">
        <v>2</v>
      </c>
      <c r="E113" s="77" t="n">
        <v>45291</v>
      </c>
      <c r="F113" s="75" t="s">
        <v>194</v>
      </c>
      <c r="G113" s="75" t="s">
        <v>195</v>
      </c>
      <c r="H113" s="75" t="s">
        <v>191</v>
      </c>
      <c r="I113" s="78" t="n">
        <v>62020</v>
      </c>
      <c r="J113" s="78" t="n">
        <v>42397</v>
      </c>
      <c r="K113" s="79" t="n">
        <v>2.93</v>
      </c>
      <c r="L113" s="78" t="n">
        <v>7465</v>
      </c>
      <c r="M113" s="78" t="n">
        <v>238268</v>
      </c>
      <c r="N113" s="79" t="n">
        <v>0.75</v>
      </c>
      <c r="O113" s="79" t="n">
        <v>376.040008544922</v>
      </c>
      <c r="P113" s="47" t="n">
        <v>11</v>
      </c>
      <c r="Q113" s="66" t="s">
        <v>333</v>
      </c>
    </row>
    <row r="114" customFormat="false" ht="15" hidden="false" customHeight="false" outlineLevel="0" collapsed="false">
      <c r="A114" s="75" t="s">
        <v>166</v>
      </c>
      <c r="B114" s="75" t="s">
        <v>213</v>
      </c>
      <c r="C114" s="76" t="n">
        <v>2024</v>
      </c>
      <c r="D114" s="76" t="n">
        <v>1</v>
      </c>
      <c r="E114" s="77" t="n">
        <v>45199</v>
      </c>
      <c r="F114" s="75" t="s">
        <v>194</v>
      </c>
      <c r="G114" s="75" t="s">
        <v>195</v>
      </c>
      <c r="H114" s="75" t="s">
        <v>191</v>
      </c>
      <c r="I114" s="78" t="n">
        <v>56517</v>
      </c>
      <c r="J114" s="78" t="n">
        <v>40215</v>
      </c>
      <c r="K114" s="79" t="n">
        <v>2.99</v>
      </c>
      <c r="L114" s="78" t="n">
        <v>7466.25</v>
      </c>
      <c r="M114" s="78" t="n">
        <v>220714</v>
      </c>
      <c r="N114" s="79" t="n">
        <v>0.68</v>
      </c>
      <c r="O114" s="79" t="n">
        <v>315.75</v>
      </c>
      <c r="P114" s="47" t="n">
        <v>12</v>
      </c>
      <c r="Q114" s="66" t="s">
        <v>334</v>
      </c>
    </row>
    <row r="115" customFormat="false" ht="15" hidden="false" customHeight="false" outlineLevel="0" collapsed="false">
      <c r="A115" s="75" t="s">
        <v>166</v>
      </c>
      <c r="B115" s="75" t="s">
        <v>215</v>
      </c>
      <c r="C115" s="76" t="n">
        <v>2023</v>
      </c>
      <c r="D115" s="76" t="n">
        <v>4</v>
      </c>
      <c r="E115" s="77" t="n">
        <v>45107</v>
      </c>
      <c r="F115" s="75" t="s">
        <v>194</v>
      </c>
      <c r="G115" s="75" t="s">
        <v>195</v>
      </c>
      <c r="H115" s="75" t="s">
        <v>191</v>
      </c>
      <c r="I115" s="78" t="n">
        <v>56189</v>
      </c>
      <c r="J115" s="78" t="n">
        <v>39394</v>
      </c>
      <c r="K115" s="79" t="n">
        <v>2.69</v>
      </c>
      <c r="L115" s="78"/>
      <c r="M115" s="78" t="n">
        <v>206223</v>
      </c>
      <c r="N115" s="79" t="n">
        <v>0.68</v>
      </c>
      <c r="O115" s="79" t="n">
        <v>340.540008544922</v>
      </c>
      <c r="P115" s="47" t="n">
        <v>13</v>
      </c>
      <c r="Q115" s="66" t="s">
        <v>335</v>
      </c>
    </row>
    <row r="116" customFormat="false" ht="15" hidden="false" customHeight="false" outlineLevel="0" collapsed="false">
      <c r="A116" s="75" t="s">
        <v>166</v>
      </c>
      <c r="B116" s="75" t="s">
        <v>217</v>
      </c>
      <c r="C116" s="76" t="n">
        <v>2023</v>
      </c>
      <c r="D116" s="76" t="n">
        <v>3</v>
      </c>
      <c r="E116" s="77" t="n">
        <v>45016</v>
      </c>
      <c r="F116" s="75" t="s">
        <v>194</v>
      </c>
      <c r="G116" s="75" t="s">
        <v>195</v>
      </c>
      <c r="H116" s="75" t="s">
        <v>191</v>
      </c>
      <c r="I116" s="78" t="n">
        <v>52857</v>
      </c>
      <c r="J116" s="78" t="n">
        <v>36729</v>
      </c>
      <c r="K116" s="79" t="n">
        <v>2.45</v>
      </c>
      <c r="L116" s="78" t="n">
        <v>7464</v>
      </c>
      <c r="M116" s="78" t="n">
        <v>194683</v>
      </c>
      <c r="N116" s="79" t="n">
        <v>0.68</v>
      </c>
      <c r="O116" s="79" t="n">
        <v>288.299987792969</v>
      </c>
      <c r="P116" s="47" t="n">
        <v>14</v>
      </c>
      <c r="Q116" s="66" t="s">
        <v>336</v>
      </c>
    </row>
    <row r="117" customFormat="false" ht="15" hidden="false" customHeight="false" outlineLevel="0" collapsed="false">
      <c r="A117" s="75" t="s">
        <v>166</v>
      </c>
      <c r="B117" s="75" t="s">
        <v>219</v>
      </c>
      <c r="C117" s="76" t="n">
        <v>2023</v>
      </c>
      <c r="D117" s="76" t="n">
        <v>2</v>
      </c>
      <c r="E117" s="77" t="n">
        <v>44926</v>
      </c>
      <c r="F117" s="75" t="s">
        <v>194</v>
      </c>
      <c r="G117" s="75" t="s">
        <v>195</v>
      </c>
      <c r="H117" s="75" t="s">
        <v>191</v>
      </c>
      <c r="I117" s="78" t="n">
        <v>52747</v>
      </c>
      <c r="J117" s="78" t="n">
        <v>35259</v>
      </c>
      <c r="K117" s="79" t="n">
        <v>2.32</v>
      </c>
      <c r="L117" s="78" t="n">
        <v>7473</v>
      </c>
      <c r="M117" s="78" t="n">
        <v>183136</v>
      </c>
      <c r="N117" s="79" t="n">
        <v>0.68</v>
      </c>
      <c r="O117" s="79" t="n">
        <v>239.820007324219</v>
      </c>
      <c r="P117" s="47" t="n">
        <v>15</v>
      </c>
      <c r="Q117" s="66" t="s">
        <v>337</v>
      </c>
    </row>
    <row r="118" customFormat="false" ht="15" hidden="false" customHeight="false" outlineLevel="0" collapsed="false">
      <c r="A118" s="75" t="s">
        <v>166</v>
      </c>
      <c r="B118" s="75" t="s">
        <v>221</v>
      </c>
      <c r="C118" s="76" t="n">
        <v>2023</v>
      </c>
      <c r="D118" s="76" t="n">
        <v>1</v>
      </c>
      <c r="E118" s="77" t="n">
        <v>44834</v>
      </c>
      <c r="F118" s="75" t="s">
        <v>194</v>
      </c>
      <c r="G118" s="75" t="s">
        <v>195</v>
      </c>
      <c r="H118" s="75" t="s">
        <v>191</v>
      </c>
      <c r="I118" s="78" t="n">
        <v>50122</v>
      </c>
      <c r="J118" s="78" t="n">
        <v>34670</v>
      </c>
      <c r="K118" s="79" t="n">
        <v>2.35</v>
      </c>
      <c r="L118" s="78" t="n">
        <v>7485</v>
      </c>
      <c r="M118" s="78" t="n">
        <v>173566</v>
      </c>
      <c r="N118" s="79" t="n">
        <v>0.62</v>
      </c>
      <c r="O118" s="79" t="n">
        <v>232.899993896484</v>
      </c>
      <c r="P118" s="47" t="n">
        <v>16</v>
      </c>
      <c r="Q118" s="66" t="s">
        <v>338</v>
      </c>
    </row>
    <row r="119" customFormat="false" ht="15" hidden="false" customHeight="false" outlineLevel="0" collapsed="false">
      <c r="A119" s="75" t="s">
        <v>166</v>
      </c>
      <c r="B119" s="75" t="s">
        <v>223</v>
      </c>
      <c r="C119" s="76" t="n">
        <v>2022</v>
      </c>
      <c r="D119" s="76" t="n">
        <v>4</v>
      </c>
      <c r="E119" s="77" t="n">
        <v>44742</v>
      </c>
      <c r="F119" s="75" t="s">
        <v>194</v>
      </c>
      <c r="G119" s="75" t="s">
        <v>195</v>
      </c>
      <c r="H119" s="75" t="s">
        <v>191</v>
      </c>
      <c r="I119" s="78" t="n">
        <v>51865</v>
      </c>
      <c r="J119" s="78" t="n">
        <v>35436</v>
      </c>
      <c r="K119" s="79" t="n">
        <v>2.23</v>
      </c>
      <c r="L119" s="78"/>
      <c r="M119" s="78" t="n">
        <v>166542</v>
      </c>
      <c r="N119" s="79" t="n">
        <v>0.62</v>
      </c>
      <c r="O119" s="79" t="n">
        <v>256.829986572266</v>
      </c>
      <c r="P119" s="47" t="n">
        <v>17</v>
      </c>
      <c r="Q119" s="66" t="s">
        <v>339</v>
      </c>
    </row>
    <row r="120" customFormat="false" ht="15" hidden="false" customHeight="false" outlineLevel="0" collapsed="false">
      <c r="A120" s="75" t="s">
        <v>166</v>
      </c>
      <c r="B120" s="75" t="s">
        <v>225</v>
      </c>
      <c r="C120" s="76" t="n">
        <v>2022</v>
      </c>
      <c r="D120" s="76" t="n">
        <v>3</v>
      </c>
      <c r="E120" s="77" t="n">
        <v>44651</v>
      </c>
      <c r="F120" s="75" t="s">
        <v>194</v>
      </c>
      <c r="G120" s="75" t="s">
        <v>195</v>
      </c>
      <c r="H120" s="75" t="s">
        <v>191</v>
      </c>
      <c r="I120" s="78" t="n">
        <v>49360</v>
      </c>
      <c r="J120" s="78" t="n">
        <v>33745</v>
      </c>
      <c r="K120" s="79" t="n">
        <v>2.22</v>
      </c>
      <c r="L120" s="78" t="n">
        <v>7534</v>
      </c>
      <c r="M120" s="78" t="n">
        <v>162924</v>
      </c>
      <c r="N120" s="79" t="n">
        <v>0.62</v>
      </c>
      <c r="O120" s="79" t="n">
        <v>308.309997558594</v>
      </c>
      <c r="P120" s="47" t="n">
        <v>18</v>
      </c>
      <c r="Q120" s="66" t="s">
        <v>340</v>
      </c>
    </row>
    <row r="121" customFormat="false" ht="15" hidden="false" customHeight="false" outlineLevel="0" collapsed="false">
      <c r="A121" s="75" t="s">
        <v>166</v>
      </c>
      <c r="B121" s="75" t="s">
        <v>227</v>
      </c>
      <c r="C121" s="76" t="n">
        <v>2022</v>
      </c>
      <c r="D121" s="76" t="n">
        <v>2</v>
      </c>
      <c r="E121" s="77" t="n">
        <v>44561</v>
      </c>
      <c r="F121" s="75" t="s">
        <v>194</v>
      </c>
      <c r="G121" s="75" t="s">
        <v>195</v>
      </c>
      <c r="H121" s="75" t="s">
        <v>191</v>
      </c>
      <c r="I121" s="78" t="n">
        <v>51728</v>
      </c>
      <c r="J121" s="78" t="n">
        <v>34768</v>
      </c>
      <c r="K121" s="79" t="n">
        <v>2.48</v>
      </c>
      <c r="L121" s="78" t="n">
        <v>7555</v>
      </c>
      <c r="M121" s="78" t="n">
        <v>160010</v>
      </c>
      <c r="N121" s="79" t="n">
        <v>0.62</v>
      </c>
      <c r="O121" s="79" t="n">
        <v>336.320007324219</v>
      </c>
      <c r="P121" s="47" t="n">
        <v>19</v>
      </c>
      <c r="Q121" s="66" t="s">
        <v>341</v>
      </c>
    </row>
    <row r="122" customFormat="false" ht="15" hidden="false" customHeight="false" outlineLevel="0" collapsed="false">
      <c r="A122" s="75" t="s">
        <v>166</v>
      </c>
      <c r="B122" s="75" t="s">
        <v>229</v>
      </c>
      <c r="C122" s="76" t="n">
        <v>2022</v>
      </c>
      <c r="D122" s="76" t="n">
        <v>1</v>
      </c>
      <c r="E122" s="77" t="n">
        <v>44469</v>
      </c>
      <c r="F122" s="75" t="s">
        <v>194</v>
      </c>
      <c r="G122" s="75" t="s">
        <v>195</v>
      </c>
      <c r="H122" s="75" t="s">
        <v>191</v>
      </c>
      <c r="I122" s="78" t="n">
        <v>45317</v>
      </c>
      <c r="J122" s="78" t="n">
        <v>31671</v>
      </c>
      <c r="K122" s="79" t="n">
        <v>2.27</v>
      </c>
      <c r="L122" s="78" t="n">
        <v>7567</v>
      </c>
      <c r="M122" s="78" t="n">
        <v>151978</v>
      </c>
      <c r="N122" s="79" t="n">
        <v>0.56</v>
      </c>
      <c r="O122" s="79" t="n">
        <v>281.920013427734</v>
      </c>
      <c r="P122" s="47" t="n">
        <v>20</v>
      </c>
      <c r="Q122" s="66" t="s">
        <v>342</v>
      </c>
    </row>
    <row r="123" customFormat="false" ht="15" hidden="false" customHeight="false" outlineLevel="0" collapsed="false">
      <c r="A123" s="75" t="s">
        <v>166</v>
      </c>
      <c r="B123" s="75" t="s">
        <v>231</v>
      </c>
      <c r="C123" s="76" t="n">
        <v>2021</v>
      </c>
      <c r="D123" s="76" t="n">
        <v>4</v>
      </c>
      <c r="E123" s="77" t="n">
        <v>44377</v>
      </c>
      <c r="F123" s="75" t="s">
        <v>194</v>
      </c>
      <c r="G123" s="75" t="s">
        <v>195</v>
      </c>
      <c r="H123" s="75" t="s">
        <v>191</v>
      </c>
      <c r="I123" s="78" t="n">
        <v>46152</v>
      </c>
      <c r="J123" s="78" t="n">
        <v>32161</v>
      </c>
      <c r="K123" s="79" t="n">
        <v>2.17</v>
      </c>
      <c r="L123" s="78"/>
      <c r="M123" s="78" t="n">
        <v>141988</v>
      </c>
      <c r="N123" s="79" t="n">
        <v>0.56</v>
      </c>
      <c r="O123" s="79" t="n">
        <v>270.899993896484</v>
      </c>
      <c r="P123" s="47" t="n">
        <v>21</v>
      </c>
      <c r="Q123" s="66" t="s">
        <v>343</v>
      </c>
    </row>
    <row r="124" customFormat="false" ht="15" hidden="false" customHeight="false" outlineLevel="0" collapsed="false">
      <c r="A124" s="75" t="s">
        <v>166</v>
      </c>
      <c r="B124" s="75" t="s">
        <v>233</v>
      </c>
      <c r="C124" s="76" t="n">
        <v>2021</v>
      </c>
      <c r="D124" s="76" t="n">
        <v>3</v>
      </c>
      <c r="E124" s="77" t="n">
        <v>44286</v>
      </c>
      <c r="F124" s="75" t="s">
        <v>194</v>
      </c>
      <c r="G124" s="75" t="s">
        <v>195</v>
      </c>
      <c r="H124" s="75" t="s">
        <v>191</v>
      </c>
      <c r="I124" s="78" t="n">
        <v>41706</v>
      </c>
      <c r="J124" s="78" t="n">
        <v>28661</v>
      </c>
      <c r="K124" s="79" t="n">
        <v>1.95</v>
      </c>
      <c r="L124" s="78" t="n">
        <v>7597</v>
      </c>
      <c r="M124" s="78" t="n">
        <v>134505</v>
      </c>
      <c r="N124" s="79" t="n">
        <v>0.56</v>
      </c>
      <c r="O124" s="79" t="n">
        <v>235.770004272461</v>
      </c>
      <c r="P124" s="47" t="n">
        <v>22</v>
      </c>
      <c r="Q124" s="66" t="s">
        <v>344</v>
      </c>
    </row>
    <row r="125" customFormat="false" ht="15" hidden="false" customHeight="false" outlineLevel="0" collapsed="false">
      <c r="A125" s="75" t="s">
        <v>166</v>
      </c>
      <c r="B125" s="75" t="s">
        <v>235</v>
      </c>
      <c r="C125" s="76" t="n">
        <v>2021</v>
      </c>
      <c r="D125" s="76" t="n">
        <v>2</v>
      </c>
      <c r="E125" s="77" t="n">
        <v>44196</v>
      </c>
      <c r="F125" s="75" t="s">
        <v>194</v>
      </c>
      <c r="G125" s="75" t="s">
        <v>195</v>
      </c>
      <c r="H125" s="75" t="s">
        <v>191</v>
      </c>
      <c r="I125" s="78" t="n">
        <v>43076</v>
      </c>
      <c r="J125" s="78" t="n">
        <v>28882</v>
      </c>
      <c r="K125" s="79" t="n">
        <v>2.03</v>
      </c>
      <c r="L125" s="78" t="n">
        <v>7616</v>
      </c>
      <c r="M125" s="78" t="n">
        <v>130236</v>
      </c>
      <c r="N125" s="79" t="n">
        <v>0.56</v>
      </c>
      <c r="O125" s="79" t="n">
        <v>222.419998168945</v>
      </c>
      <c r="P125" s="47" t="n">
        <v>23</v>
      </c>
      <c r="Q125" s="66" t="s">
        <v>345</v>
      </c>
    </row>
    <row r="126" customFormat="false" ht="15" hidden="false" customHeight="false" outlineLevel="0" collapsed="false">
      <c r="A126" s="75" t="s">
        <v>166</v>
      </c>
      <c r="B126" s="75" t="s">
        <v>237</v>
      </c>
      <c r="C126" s="76" t="n">
        <v>2021</v>
      </c>
      <c r="D126" s="76" t="n">
        <v>1</v>
      </c>
      <c r="E126" s="77" t="n">
        <v>44104</v>
      </c>
      <c r="F126" s="75" t="s">
        <v>194</v>
      </c>
      <c r="G126" s="75" t="s">
        <v>195</v>
      </c>
      <c r="H126" s="75" t="s">
        <v>191</v>
      </c>
      <c r="I126" s="78" t="n">
        <v>37154</v>
      </c>
      <c r="J126" s="78" t="n">
        <v>26152</v>
      </c>
      <c r="K126" s="79" t="n">
        <v>1.82</v>
      </c>
      <c r="L126" s="78" t="n">
        <v>7637</v>
      </c>
      <c r="M126" s="78" t="n">
        <v>123392</v>
      </c>
      <c r="N126" s="79"/>
      <c r="O126" s="79" t="n">
        <v>210.330001831055</v>
      </c>
      <c r="P126" s="47" t="n">
        <v>24</v>
      </c>
      <c r="Q126" s="66" t="s">
        <v>346</v>
      </c>
    </row>
    <row r="127" customFormat="false" ht="15" hidden="false" customHeight="false" outlineLevel="0" collapsed="false">
      <c r="A127" s="75" t="s">
        <v>167</v>
      </c>
      <c r="B127" s="75" t="s">
        <v>347</v>
      </c>
      <c r="C127" s="76" t="n">
        <v>2027</v>
      </c>
      <c r="D127" s="76" t="n">
        <v>3</v>
      </c>
      <c r="E127" s="77" t="n">
        <v>46325</v>
      </c>
      <c r="F127" s="75" t="s">
        <v>189</v>
      </c>
      <c r="G127" s="75" t="s">
        <v>190</v>
      </c>
      <c r="H127" s="75" t="s">
        <v>191</v>
      </c>
      <c r="I127" s="78"/>
      <c r="J127" s="78"/>
      <c r="K127" s="79" t="n">
        <v>2.34</v>
      </c>
      <c r="L127" s="78"/>
      <c r="M127" s="78"/>
      <c r="N127" s="79"/>
      <c r="O127" s="79"/>
      <c r="P127" s="47" t="n">
        <v>0</v>
      </c>
      <c r="Q127" s="66" t="s">
        <v>348</v>
      </c>
    </row>
    <row r="128" customFormat="false" ht="15" hidden="false" customHeight="false" outlineLevel="0" collapsed="false">
      <c r="A128" s="75" t="s">
        <v>167</v>
      </c>
      <c r="B128" s="75" t="s">
        <v>349</v>
      </c>
      <c r="C128" s="76" t="n">
        <v>2027</v>
      </c>
      <c r="D128" s="76" t="n">
        <v>2</v>
      </c>
      <c r="E128" s="77" t="n">
        <v>46234</v>
      </c>
      <c r="F128" s="75" t="s">
        <v>194</v>
      </c>
      <c r="G128" s="75" t="s">
        <v>195</v>
      </c>
      <c r="H128" s="75" t="s">
        <v>191</v>
      </c>
      <c r="I128" s="78" t="n">
        <v>302970</v>
      </c>
      <c r="J128" s="78" t="n">
        <v>226241</v>
      </c>
      <c r="K128" s="79" t="n">
        <v>2.22</v>
      </c>
      <c r="L128" s="78" t="n">
        <v>24397.5</v>
      </c>
      <c r="M128" s="78" t="n">
        <v>228984</v>
      </c>
      <c r="N128" s="79" t="n">
        <v>0.25</v>
      </c>
      <c r="O128" s="79" t="n">
        <v>200.75</v>
      </c>
      <c r="P128" s="47" t="n">
        <v>1</v>
      </c>
      <c r="Q128" s="66" t="s">
        <v>350</v>
      </c>
    </row>
    <row r="129" customFormat="false" ht="15" hidden="false" customHeight="false" outlineLevel="0" collapsed="false">
      <c r="A129" s="75" t="s">
        <v>167</v>
      </c>
      <c r="B129" s="75" t="s">
        <v>351</v>
      </c>
      <c r="C129" s="76" t="n">
        <v>2027</v>
      </c>
      <c r="D129" s="76" t="n">
        <v>1</v>
      </c>
      <c r="E129" s="77" t="n">
        <v>46142</v>
      </c>
      <c r="F129" s="75" t="s">
        <v>194</v>
      </c>
      <c r="G129" s="75" t="s">
        <v>195</v>
      </c>
      <c r="H129" s="75" t="s">
        <v>191</v>
      </c>
      <c r="I129" s="78" t="n">
        <v>81615</v>
      </c>
      <c r="J129" s="78" t="n">
        <v>61157</v>
      </c>
      <c r="K129" s="79" t="n">
        <v>1.87</v>
      </c>
      <c r="L129" s="78" t="n">
        <v>24391</v>
      </c>
      <c r="M129" s="78" t="n">
        <v>195474</v>
      </c>
      <c r="N129" s="79" t="n">
        <v>0.01</v>
      </c>
      <c r="O129" s="79" t="n">
        <v>199.570007324219</v>
      </c>
      <c r="P129" s="47" t="n">
        <v>2</v>
      </c>
      <c r="Q129" s="66" t="s">
        <v>352</v>
      </c>
    </row>
    <row r="130" customFormat="false" ht="15" hidden="false" customHeight="false" outlineLevel="0" collapsed="false">
      <c r="A130" s="75" t="s">
        <v>167</v>
      </c>
      <c r="B130" s="75" t="s">
        <v>322</v>
      </c>
      <c r="C130" s="76" t="n">
        <v>2026</v>
      </c>
      <c r="D130" s="76" t="n">
        <v>4</v>
      </c>
      <c r="E130" s="77" t="n">
        <v>46053</v>
      </c>
      <c r="F130" s="75" t="s">
        <v>194</v>
      </c>
      <c r="G130" s="75" t="s">
        <v>195</v>
      </c>
      <c r="H130" s="75" t="s">
        <v>191</v>
      </c>
      <c r="I130" s="78" t="n">
        <v>68127</v>
      </c>
      <c r="J130" s="78" t="n">
        <v>51093</v>
      </c>
      <c r="K130" s="79" t="n">
        <v>1.62</v>
      </c>
      <c r="L130" s="78" t="n">
        <v>24432</v>
      </c>
      <c r="M130" s="78" t="n">
        <v>157293</v>
      </c>
      <c r="N130" s="79" t="n">
        <v>0.01</v>
      </c>
      <c r="O130" s="79" t="n">
        <v>191.130004882813</v>
      </c>
      <c r="P130" s="47" t="n">
        <v>3</v>
      </c>
      <c r="Q130" s="66" t="s">
        <v>353</v>
      </c>
    </row>
    <row r="131" customFormat="false" ht="15" hidden="false" customHeight="false" outlineLevel="0" collapsed="false">
      <c r="A131" s="75" t="s">
        <v>167</v>
      </c>
      <c r="B131" s="75" t="s">
        <v>245</v>
      </c>
      <c r="C131" s="76" t="n">
        <v>2026</v>
      </c>
      <c r="D131" s="76" t="n">
        <v>3</v>
      </c>
      <c r="E131" s="77" t="n">
        <v>45961</v>
      </c>
      <c r="F131" s="75" t="s">
        <v>194</v>
      </c>
      <c r="G131" s="75" t="s">
        <v>195</v>
      </c>
      <c r="H131" s="75" t="s">
        <v>191</v>
      </c>
      <c r="I131" s="78" t="n">
        <v>57006</v>
      </c>
      <c r="J131" s="78" t="n">
        <v>41849</v>
      </c>
      <c r="K131" s="79" t="n">
        <v>1.3</v>
      </c>
      <c r="L131" s="78" t="n">
        <v>24483</v>
      </c>
      <c r="M131" s="78" t="n">
        <v>118897</v>
      </c>
      <c r="N131" s="79" t="n">
        <v>0.01</v>
      </c>
      <c r="O131" s="79" t="n">
        <v>202.490005493164</v>
      </c>
      <c r="P131" s="47" t="n">
        <v>4</v>
      </c>
      <c r="Q131" s="66" t="s">
        <v>354</v>
      </c>
    </row>
    <row r="132" customFormat="false" ht="15" hidden="false" customHeight="false" outlineLevel="0" collapsed="false">
      <c r="A132" s="75" t="s">
        <v>167</v>
      </c>
      <c r="B132" s="75" t="s">
        <v>193</v>
      </c>
      <c r="C132" s="76" t="n">
        <v>2026</v>
      </c>
      <c r="D132" s="76" t="n">
        <v>2</v>
      </c>
      <c r="E132" s="77" t="n">
        <v>45869</v>
      </c>
      <c r="F132" s="75" t="s">
        <v>194</v>
      </c>
      <c r="G132" s="75" t="s">
        <v>195</v>
      </c>
      <c r="H132" s="75" t="s">
        <v>191</v>
      </c>
      <c r="I132" s="78" t="n">
        <v>46743</v>
      </c>
      <c r="J132" s="78" t="n">
        <v>33853</v>
      </c>
      <c r="K132" s="79" t="n">
        <v>1.05</v>
      </c>
      <c r="L132" s="78" t="n">
        <v>24532</v>
      </c>
      <c r="M132" s="78" t="n">
        <v>100131</v>
      </c>
      <c r="N132" s="79" t="n">
        <v>0.01</v>
      </c>
      <c r="O132" s="79" t="n">
        <v>177.869995117188</v>
      </c>
      <c r="P132" s="47" t="n">
        <v>5</v>
      </c>
      <c r="Q132" s="66" t="s">
        <v>355</v>
      </c>
    </row>
    <row r="133" customFormat="false" ht="15" hidden="false" customHeight="false" outlineLevel="0" collapsed="false">
      <c r="A133" s="75" t="s">
        <v>167</v>
      </c>
      <c r="B133" s="75" t="s">
        <v>197</v>
      </c>
      <c r="C133" s="76" t="n">
        <v>2026</v>
      </c>
      <c r="D133" s="76" t="n">
        <v>1</v>
      </c>
      <c r="E133" s="77" t="n">
        <v>45777</v>
      </c>
      <c r="F133" s="75" t="s">
        <v>194</v>
      </c>
      <c r="G133" s="75" t="s">
        <v>195</v>
      </c>
      <c r="H133" s="75" t="s">
        <v>191</v>
      </c>
      <c r="I133" s="78" t="n">
        <v>44062</v>
      </c>
      <c r="J133" s="78" t="n">
        <v>26668</v>
      </c>
      <c r="K133" s="79" t="n">
        <v>0.81</v>
      </c>
      <c r="L133" s="78" t="n">
        <v>24611</v>
      </c>
      <c r="M133" s="78" t="n">
        <v>83843</v>
      </c>
      <c r="N133" s="79" t="n">
        <v>0.01</v>
      </c>
      <c r="O133" s="79" t="n">
        <v>108.919998168945</v>
      </c>
      <c r="P133" s="47" t="n">
        <v>6</v>
      </c>
      <c r="Q133" s="66" t="s">
        <v>356</v>
      </c>
    </row>
    <row r="134" customFormat="false" ht="15" hidden="false" customHeight="false" outlineLevel="0" collapsed="false">
      <c r="A134" s="75" t="s">
        <v>167</v>
      </c>
      <c r="B134" s="75" t="s">
        <v>199</v>
      </c>
      <c r="C134" s="76" t="n">
        <v>2025</v>
      </c>
      <c r="D134" s="76" t="n">
        <v>4</v>
      </c>
      <c r="E134" s="77" t="n">
        <v>45688</v>
      </c>
      <c r="F134" s="75" t="s">
        <v>194</v>
      </c>
      <c r="G134" s="75" t="s">
        <v>195</v>
      </c>
      <c r="H134" s="75" t="s">
        <v>191</v>
      </c>
      <c r="I134" s="78" t="n">
        <v>39331</v>
      </c>
      <c r="J134" s="78" t="n">
        <v>28723</v>
      </c>
      <c r="K134" s="79" t="n">
        <v>0.89</v>
      </c>
      <c r="L134" s="78"/>
      <c r="M134" s="78" t="n">
        <v>79327</v>
      </c>
      <c r="N134" s="79" t="n">
        <v>0.01</v>
      </c>
      <c r="O134" s="79" t="n">
        <v>120.069999694824</v>
      </c>
      <c r="P134" s="47" t="n">
        <v>7</v>
      </c>
      <c r="Q134" s="66" t="s">
        <v>357</v>
      </c>
    </row>
    <row r="135" customFormat="false" ht="15" hidden="false" customHeight="false" outlineLevel="0" collapsed="false">
      <c r="A135" s="75" t="s">
        <v>167</v>
      </c>
      <c r="B135" s="75" t="s">
        <v>201</v>
      </c>
      <c r="C135" s="76" t="n">
        <v>2025</v>
      </c>
      <c r="D135" s="76" t="n">
        <v>3</v>
      </c>
      <c r="E135" s="77" t="n">
        <v>45596</v>
      </c>
      <c r="F135" s="75" t="s">
        <v>194</v>
      </c>
      <c r="G135" s="75" t="s">
        <v>195</v>
      </c>
      <c r="H135" s="75" t="s">
        <v>191</v>
      </c>
      <c r="I135" s="78" t="n">
        <v>35082</v>
      </c>
      <c r="J135" s="78" t="n">
        <v>26156</v>
      </c>
      <c r="K135" s="79" t="n">
        <v>0.81</v>
      </c>
      <c r="L135" s="78" t="n">
        <v>24774</v>
      </c>
      <c r="M135" s="78" t="n">
        <v>65899</v>
      </c>
      <c r="N135" s="79" t="n">
        <v>0.01</v>
      </c>
      <c r="O135" s="79" t="n">
        <v>132.759994506836</v>
      </c>
      <c r="P135" s="47" t="n">
        <v>8</v>
      </c>
      <c r="Q135" s="66" t="s">
        <v>358</v>
      </c>
    </row>
    <row r="136" customFormat="false" ht="15" hidden="false" customHeight="false" outlineLevel="0" collapsed="false">
      <c r="A136" s="75" t="s">
        <v>167</v>
      </c>
      <c r="B136" s="75" t="s">
        <v>203</v>
      </c>
      <c r="C136" s="76" t="n">
        <v>2025</v>
      </c>
      <c r="D136" s="76" t="n">
        <v>2</v>
      </c>
      <c r="E136" s="77" t="n">
        <v>45501</v>
      </c>
      <c r="F136" s="75" t="s">
        <v>194</v>
      </c>
      <c r="G136" s="75" t="s">
        <v>195</v>
      </c>
      <c r="H136" s="75" t="s">
        <v>191</v>
      </c>
      <c r="I136" s="78" t="n">
        <v>30040</v>
      </c>
      <c r="J136" s="78" t="n">
        <v>22574</v>
      </c>
      <c r="K136" s="79"/>
      <c r="L136" s="78" t="n">
        <v>24848</v>
      </c>
      <c r="M136" s="78" t="n">
        <v>58157</v>
      </c>
      <c r="N136" s="79" t="n">
        <v>0.01</v>
      </c>
      <c r="O136" s="79" t="n">
        <v>113.059997558594</v>
      </c>
      <c r="P136" s="47" t="n">
        <v>9</v>
      </c>
      <c r="Q136" s="66" t="s">
        <v>359</v>
      </c>
    </row>
    <row r="137" customFormat="false" ht="15" hidden="false" customHeight="false" outlineLevel="0" collapsed="false">
      <c r="A137" s="75" t="s">
        <v>167</v>
      </c>
      <c r="B137" s="75" t="s">
        <v>205</v>
      </c>
      <c r="C137" s="76" t="n">
        <v>2025</v>
      </c>
      <c r="D137" s="76" t="n">
        <v>1</v>
      </c>
      <c r="E137" s="77" t="n">
        <v>45410</v>
      </c>
      <c r="F137" s="75" t="s">
        <v>194</v>
      </c>
      <c r="G137" s="75" t="s">
        <v>195</v>
      </c>
      <c r="H137" s="75" t="s">
        <v>191</v>
      </c>
      <c r="I137" s="78" t="n">
        <v>26044</v>
      </c>
      <c r="J137" s="78" t="n">
        <v>20406</v>
      </c>
      <c r="K137" s="79"/>
      <c r="L137" s="78" t="n">
        <v>24890</v>
      </c>
      <c r="M137" s="78" t="n">
        <v>49142</v>
      </c>
      <c r="N137" s="79"/>
      <c r="O137" s="79" t="n">
        <v>87.7350006103516</v>
      </c>
      <c r="P137" s="47" t="n">
        <v>10</v>
      </c>
      <c r="Q137" s="66" t="s">
        <v>360</v>
      </c>
    </row>
    <row r="138" customFormat="false" ht="15" hidden="false" customHeight="false" outlineLevel="0" collapsed="false">
      <c r="A138" s="75" t="s">
        <v>167</v>
      </c>
      <c r="B138" s="75" t="s">
        <v>207</v>
      </c>
      <c r="C138" s="76" t="n">
        <v>2024</v>
      </c>
      <c r="D138" s="76" t="n">
        <v>4</v>
      </c>
      <c r="E138" s="77" t="n">
        <v>45322</v>
      </c>
      <c r="F138" s="75" t="s">
        <v>194</v>
      </c>
      <c r="G138" s="75" t="s">
        <v>195</v>
      </c>
      <c r="H138" s="75" t="s">
        <v>191</v>
      </c>
      <c r="I138" s="78" t="n">
        <v>22103</v>
      </c>
      <c r="J138" s="78" t="n">
        <v>16791</v>
      </c>
      <c r="K138" s="79" t="n">
        <v>0.52</v>
      </c>
      <c r="L138" s="78" t="n">
        <v>24940</v>
      </c>
      <c r="M138" s="78" t="n">
        <v>42978</v>
      </c>
      <c r="N138" s="79" t="n">
        <v>0.004</v>
      </c>
      <c r="O138" s="79" t="n">
        <v>61.5270004272461</v>
      </c>
      <c r="P138" s="47" t="n">
        <v>11</v>
      </c>
      <c r="Q138" s="66" t="s">
        <v>361</v>
      </c>
    </row>
    <row r="139" customFormat="false" ht="15" hidden="false" customHeight="false" outlineLevel="0" collapsed="false">
      <c r="A139" s="75" t="s">
        <v>167</v>
      </c>
      <c r="B139" s="75" t="s">
        <v>209</v>
      </c>
      <c r="C139" s="76" t="n">
        <v>2024</v>
      </c>
      <c r="D139" s="76" t="n">
        <v>3</v>
      </c>
      <c r="E139" s="77" t="n">
        <v>45230</v>
      </c>
      <c r="F139" s="75" t="s">
        <v>194</v>
      </c>
      <c r="G139" s="75" t="s">
        <v>195</v>
      </c>
      <c r="H139" s="75" t="s">
        <v>191</v>
      </c>
      <c r="I139" s="78" t="n">
        <v>18120</v>
      </c>
      <c r="J139" s="78" t="n">
        <v>13400</v>
      </c>
      <c r="K139" s="79" t="n">
        <v>0.4</v>
      </c>
      <c r="L139" s="78" t="n">
        <v>24897.5</v>
      </c>
      <c r="M139" s="78" t="n">
        <v>33265</v>
      </c>
      <c r="N139" s="79" t="n">
        <v>0.004</v>
      </c>
      <c r="O139" s="79" t="n">
        <v>40.7799987792969</v>
      </c>
      <c r="P139" s="47" t="n">
        <v>12</v>
      </c>
      <c r="Q139" s="66" t="s">
        <v>362</v>
      </c>
    </row>
    <row r="140" customFormat="false" ht="15" hidden="false" customHeight="false" outlineLevel="0" collapsed="false">
      <c r="A140" s="75" t="s">
        <v>167</v>
      </c>
      <c r="B140" s="75" t="s">
        <v>211</v>
      </c>
      <c r="C140" s="76" t="n">
        <v>2024</v>
      </c>
      <c r="D140" s="76" t="n">
        <v>2</v>
      </c>
      <c r="E140" s="77" t="n">
        <v>45138</v>
      </c>
      <c r="F140" s="75" t="s">
        <v>194</v>
      </c>
      <c r="G140" s="75" t="s">
        <v>195</v>
      </c>
      <c r="H140" s="75" t="s">
        <v>191</v>
      </c>
      <c r="I140" s="78" t="n">
        <v>13507</v>
      </c>
      <c r="J140" s="78" t="n">
        <v>9462</v>
      </c>
      <c r="K140" s="79" t="n">
        <v>0.27</v>
      </c>
      <c r="L140" s="78" t="n">
        <v>24994</v>
      </c>
      <c r="M140" s="78" t="n">
        <v>27501</v>
      </c>
      <c r="N140" s="79" t="n">
        <v>0.004</v>
      </c>
      <c r="O140" s="79" t="n">
        <v>46.7290000915527</v>
      </c>
      <c r="P140" s="47" t="n">
        <v>13</v>
      </c>
      <c r="Q140" s="66" t="s">
        <v>363</v>
      </c>
    </row>
    <row r="141" customFormat="false" ht="15" hidden="false" customHeight="false" outlineLevel="0" collapsed="false">
      <c r="A141" s="75" t="s">
        <v>167</v>
      </c>
      <c r="B141" s="75" t="s">
        <v>213</v>
      </c>
      <c r="C141" s="76" t="n">
        <v>2024</v>
      </c>
      <c r="D141" s="76" t="n">
        <v>1</v>
      </c>
      <c r="E141" s="77" t="n">
        <v>45046</v>
      </c>
      <c r="F141" s="75" t="s">
        <v>194</v>
      </c>
      <c r="G141" s="75" t="s">
        <v>195</v>
      </c>
      <c r="H141" s="75" t="s">
        <v>191</v>
      </c>
      <c r="I141" s="78" t="n">
        <v>7192</v>
      </c>
      <c r="J141" s="78" t="n">
        <v>4648</v>
      </c>
      <c r="K141" s="79" t="n">
        <v>0.11</v>
      </c>
      <c r="L141" s="78" t="n">
        <v>24900</v>
      </c>
      <c r="M141" s="78" t="n">
        <v>24520</v>
      </c>
      <c r="N141" s="79" t="n">
        <v>0.004</v>
      </c>
      <c r="O141" s="79" t="n">
        <v>27.7490005493164</v>
      </c>
      <c r="P141" s="47" t="n">
        <v>14</v>
      </c>
      <c r="Q141" s="66" t="s">
        <v>364</v>
      </c>
    </row>
    <row r="142" customFormat="false" ht="15" hidden="false" customHeight="false" outlineLevel="0" collapsed="false">
      <c r="A142" s="75" t="s">
        <v>167</v>
      </c>
      <c r="B142" s="75" t="s">
        <v>215</v>
      </c>
      <c r="C142" s="76" t="n">
        <v>2023</v>
      </c>
      <c r="D142" s="76" t="n">
        <v>4</v>
      </c>
      <c r="E142" s="77" t="n">
        <v>44957</v>
      </c>
      <c r="F142" s="75" t="s">
        <v>194</v>
      </c>
      <c r="G142" s="75" t="s">
        <v>195</v>
      </c>
      <c r="H142" s="75" t="s">
        <v>191</v>
      </c>
      <c r="I142" s="78" t="n">
        <v>6051</v>
      </c>
      <c r="J142" s="78" t="n">
        <v>3833</v>
      </c>
      <c r="K142" s="79" t="n">
        <v>0.09</v>
      </c>
      <c r="L142" s="78"/>
      <c r="M142" s="78" t="n">
        <v>22101</v>
      </c>
      <c r="N142" s="79" t="n">
        <v>0.004</v>
      </c>
      <c r="O142" s="79" t="n">
        <v>19.5370006561279</v>
      </c>
      <c r="P142" s="47" t="n">
        <v>15</v>
      </c>
      <c r="Q142" s="66" t="s">
        <v>365</v>
      </c>
    </row>
    <row r="143" customFormat="false" ht="15" hidden="false" customHeight="false" outlineLevel="0" collapsed="false">
      <c r="A143" s="75" t="s">
        <v>167</v>
      </c>
      <c r="B143" s="75" t="s">
        <v>217</v>
      </c>
      <c r="C143" s="76" t="n">
        <v>2023</v>
      </c>
      <c r="D143" s="76" t="n">
        <v>3</v>
      </c>
      <c r="E143" s="77" t="n">
        <v>44865</v>
      </c>
      <c r="F143" s="75" t="s">
        <v>194</v>
      </c>
      <c r="G143" s="75" t="s">
        <v>195</v>
      </c>
      <c r="H143" s="75" t="s">
        <v>191</v>
      </c>
      <c r="I143" s="78" t="n">
        <v>5931</v>
      </c>
      <c r="J143" s="78" t="n">
        <v>3177</v>
      </c>
      <c r="K143" s="79" t="n">
        <v>0.06</v>
      </c>
      <c r="L143" s="78" t="n">
        <v>24990</v>
      </c>
      <c r="M143" s="78" t="n">
        <v>21349</v>
      </c>
      <c r="N143" s="79" t="n">
        <v>0.004</v>
      </c>
      <c r="O143" s="79" t="n">
        <v>13.4969997406006</v>
      </c>
      <c r="P143" s="47" t="n">
        <v>16</v>
      </c>
      <c r="Q143" s="66" t="s">
        <v>366</v>
      </c>
    </row>
    <row r="144" customFormat="false" ht="15" hidden="false" customHeight="false" outlineLevel="0" collapsed="false">
      <c r="A144" s="75" t="s">
        <v>167</v>
      </c>
      <c r="B144" s="75" t="s">
        <v>219</v>
      </c>
      <c r="C144" s="76" t="n">
        <v>2023</v>
      </c>
      <c r="D144" s="76" t="n">
        <v>2</v>
      </c>
      <c r="E144" s="77" t="n">
        <v>44773</v>
      </c>
      <c r="F144" s="75" t="s">
        <v>194</v>
      </c>
      <c r="G144" s="75" t="s">
        <v>195</v>
      </c>
      <c r="H144" s="75" t="s">
        <v>191</v>
      </c>
      <c r="I144" s="78" t="n">
        <v>6704</v>
      </c>
      <c r="J144" s="78" t="n">
        <v>2915</v>
      </c>
      <c r="K144" s="79" t="n">
        <v>0.05</v>
      </c>
      <c r="L144" s="78" t="n">
        <v>25160</v>
      </c>
      <c r="M144" s="78" t="n">
        <v>23851</v>
      </c>
      <c r="N144" s="79" t="n">
        <v>0.004</v>
      </c>
      <c r="O144" s="79" t="n">
        <v>18.1630001068115</v>
      </c>
      <c r="P144" s="47" t="n">
        <v>17</v>
      </c>
      <c r="Q144" s="66" t="s">
        <v>367</v>
      </c>
    </row>
    <row r="145" customFormat="false" ht="15" hidden="false" customHeight="false" outlineLevel="0" collapsed="false">
      <c r="A145" s="75" t="s">
        <v>167</v>
      </c>
      <c r="B145" s="75" t="s">
        <v>221</v>
      </c>
      <c r="C145" s="76" t="n">
        <v>2023</v>
      </c>
      <c r="D145" s="76" t="n">
        <v>1</v>
      </c>
      <c r="E145" s="77" t="n">
        <v>44681</v>
      </c>
      <c r="F145" s="75" t="s">
        <v>194</v>
      </c>
      <c r="G145" s="75" t="s">
        <v>195</v>
      </c>
      <c r="H145" s="75" t="s">
        <v>191</v>
      </c>
      <c r="I145" s="78" t="n">
        <v>8288</v>
      </c>
      <c r="J145" s="78" t="n">
        <v>5431</v>
      </c>
      <c r="K145" s="79" t="n">
        <v>0.14</v>
      </c>
      <c r="L145" s="78" t="n">
        <v>25370</v>
      </c>
      <c r="M145" s="78" t="n">
        <v>26320</v>
      </c>
      <c r="N145" s="79" t="n">
        <v>0.004</v>
      </c>
      <c r="O145" s="79" t="n">
        <v>18.5470008850098</v>
      </c>
      <c r="P145" s="47" t="n">
        <v>18</v>
      </c>
      <c r="Q145" s="66" t="s">
        <v>368</v>
      </c>
    </row>
    <row r="146" customFormat="false" ht="15" hidden="false" customHeight="false" outlineLevel="0" collapsed="false">
      <c r="A146" s="75" t="s">
        <v>167</v>
      </c>
      <c r="B146" s="75" t="s">
        <v>223</v>
      </c>
      <c r="C146" s="76" t="n">
        <v>2022</v>
      </c>
      <c r="D146" s="76" t="n">
        <v>4</v>
      </c>
      <c r="E146" s="77" t="n">
        <v>44592</v>
      </c>
      <c r="F146" s="75" t="s">
        <v>194</v>
      </c>
      <c r="G146" s="75" t="s">
        <v>195</v>
      </c>
      <c r="H146" s="75" t="s">
        <v>191</v>
      </c>
      <c r="I146" s="78" t="n">
        <v>7643</v>
      </c>
      <c r="J146" s="78" t="n">
        <v>4999</v>
      </c>
      <c r="K146" s="79" t="n">
        <v>0.13</v>
      </c>
      <c r="L146" s="78"/>
      <c r="M146" s="78" t="n">
        <v>26612</v>
      </c>
      <c r="N146" s="79" t="n">
        <v>0.004</v>
      </c>
      <c r="O146" s="79" t="n">
        <v>24.4860000610352</v>
      </c>
      <c r="P146" s="47" t="n">
        <v>19</v>
      </c>
      <c r="Q146" s="66" t="s">
        <v>369</v>
      </c>
    </row>
    <row r="147" customFormat="false" ht="15" hidden="false" customHeight="false" outlineLevel="0" collapsed="false">
      <c r="A147" s="75" t="s">
        <v>167</v>
      </c>
      <c r="B147" s="75" t="s">
        <v>225</v>
      </c>
      <c r="C147" s="76" t="n">
        <v>2022</v>
      </c>
      <c r="D147" s="76" t="n">
        <v>3</v>
      </c>
      <c r="E147" s="77" t="n">
        <v>44500</v>
      </c>
      <c r="F147" s="75" t="s">
        <v>194</v>
      </c>
      <c r="G147" s="75" t="s">
        <v>195</v>
      </c>
      <c r="H147" s="75" t="s">
        <v>191</v>
      </c>
      <c r="I147" s="78" t="n">
        <v>7103</v>
      </c>
      <c r="J147" s="78" t="n">
        <v>4631</v>
      </c>
      <c r="K147" s="79" t="n">
        <v>0.12</v>
      </c>
      <c r="L147" s="78" t="n">
        <v>25380</v>
      </c>
      <c r="M147" s="78" t="n">
        <v>23798</v>
      </c>
      <c r="N147" s="79" t="n">
        <v>0.004</v>
      </c>
      <c r="O147" s="79" t="n">
        <v>25.5669994354248</v>
      </c>
      <c r="P147" s="47" t="n">
        <v>20</v>
      </c>
      <c r="Q147" s="66" t="s">
        <v>370</v>
      </c>
    </row>
    <row r="148" customFormat="false" ht="15" hidden="false" customHeight="false" outlineLevel="0" collapsed="false">
      <c r="A148" s="75" t="s">
        <v>167</v>
      </c>
      <c r="B148" s="75" t="s">
        <v>227</v>
      </c>
      <c r="C148" s="76" t="n">
        <v>2022</v>
      </c>
      <c r="D148" s="76" t="n">
        <v>2</v>
      </c>
      <c r="E148" s="77" t="n">
        <v>44408</v>
      </c>
      <c r="F148" s="75" t="s">
        <v>194</v>
      </c>
      <c r="G148" s="75" t="s">
        <v>195</v>
      </c>
      <c r="H148" s="75" t="s">
        <v>191</v>
      </c>
      <c r="I148" s="78" t="n">
        <v>6507</v>
      </c>
      <c r="J148" s="78" t="n">
        <v>4215</v>
      </c>
      <c r="K148" s="79" t="n">
        <v>0.1</v>
      </c>
      <c r="L148" s="78" t="n">
        <v>25320</v>
      </c>
      <c r="M148" s="78" t="n">
        <v>21147</v>
      </c>
      <c r="N148" s="79" t="n">
        <v>0.004</v>
      </c>
      <c r="O148" s="79" t="n">
        <v>19.4990005493164</v>
      </c>
      <c r="P148" s="47" t="n">
        <v>21</v>
      </c>
      <c r="Q148" s="66" t="s">
        <v>371</v>
      </c>
    </row>
    <row r="149" customFormat="false" ht="15" hidden="false" customHeight="false" outlineLevel="0" collapsed="false">
      <c r="A149" s="75" t="s">
        <v>167</v>
      </c>
      <c r="B149" s="75" t="s">
        <v>229</v>
      </c>
      <c r="C149" s="76" t="n">
        <v>2022</v>
      </c>
      <c r="D149" s="76" t="n">
        <v>1</v>
      </c>
      <c r="E149" s="77" t="n">
        <v>44316</v>
      </c>
      <c r="F149" s="75" t="s">
        <v>194</v>
      </c>
      <c r="G149" s="75" t="s">
        <v>195</v>
      </c>
      <c r="H149" s="75" t="s">
        <v>191</v>
      </c>
      <c r="I149" s="78" t="n">
        <v>5661</v>
      </c>
      <c r="J149" s="78" t="n">
        <v>3629</v>
      </c>
      <c r="K149" s="79" t="n">
        <v>0.09</v>
      </c>
      <c r="L149" s="78" t="n">
        <v>25280</v>
      </c>
      <c r="M149" s="78" t="n">
        <v>18774</v>
      </c>
      <c r="N149" s="79" t="n">
        <v>0.004</v>
      </c>
      <c r="O149" s="79" t="n">
        <v>15.0094995498657</v>
      </c>
      <c r="P149" s="47" t="n">
        <v>22</v>
      </c>
      <c r="Q149" s="66" t="s">
        <v>372</v>
      </c>
    </row>
    <row r="150" customFormat="false" ht="15" hidden="false" customHeight="false" outlineLevel="0" collapsed="false">
      <c r="A150" s="75" t="s">
        <v>167</v>
      </c>
      <c r="B150" s="75" t="s">
        <v>231</v>
      </c>
      <c r="C150" s="76" t="n">
        <v>2021</v>
      </c>
      <c r="D150" s="76" t="n">
        <v>4</v>
      </c>
      <c r="E150" s="77" t="n">
        <v>44227</v>
      </c>
      <c r="F150" s="75" t="s">
        <v>194</v>
      </c>
      <c r="G150" s="75" t="s">
        <v>195</v>
      </c>
      <c r="H150" s="75" t="s">
        <v>191</v>
      </c>
      <c r="I150" s="78" t="n">
        <v>5003</v>
      </c>
      <c r="J150" s="78" t="n">
        <v>3156</v>
      </c>
      <c r="K150" s="79" t="n">
        <v>0.08</v>
      </c>
      <c r="L150" s="78"/>
      <c r="M150" s="78" t="n">
        <v>16893</v>
      </c>
      <c r="N150" s="79" t="n">
        <v>0.004</v>
      </c>
      <c r="O150" s="79" t="n">
        <v>12.9897499084473</v>
      </c>
      <c r="P150" s="47" t="n">
        <v>23</v>
      </c>
      <c r="Q150" s="66" t="s">
        <v>373</v>
      </c>
    </row>
    <row r="151" customFormat="false" ht="15" hidden="false" customHeight="false" outlineLevel="0" collapsed="false">
      <c r="A151" s="75" t="s">
        <v>167</v>
      </c>
      <c r="B151" s="75" t="s">
        <v>233</v>
      </c>
      <c r="C151" s="76" t="n">
        <v>2021</v>
      </c>
      <c r="D151" s="76" t="n">
        <v>3</v>
      </c>
      <c r="E151" s="77" t="n">
        <v>44135</v>
      </c>
      <c r="F151" s="75" t="s">
        <v>194</v>
      </c>
      <c r="G151" s="75" t="s">
        <v>195</v>
      </c>
      <c r="H151" s="75" t="s">
        <v>191</v>
      </c>
      <c r="I151" s="78" t="n">
        <v>4726</v>
      </c>
      <c r="J151" s="78" t="n">
        <v>2960</v>
      </c>
      <c r="K151" s="79" t="n">
        <v>0.07</v>
      </c>
      <c r="L151" s="78" t="n">
        <v>25200</v>
      </c>
      <c r="M151" s="78" t="n">
        <v>15334</v>
      </c>
      <c r="N151" s="79" t="n">
        <v>0.004</v>
      </c>
      <c r="O151" s="79" t="n">
        <v>12.5340003967285</v>
      </c>
      <c r="P151" s="47" t="n">
        <v>24</v>
      </c>
      <c r="Q151" s="66" t="s">
        <v>374</v>
      </c>
    </row>
    <row r="152" customFormat="false" ht="15" hidden="false" customHeight="false" outlineLevel="0" collapsed="false">
      <c r="A152" s="75" t="s">
        <v>167</v>
      </c>
      <c r="B152" s="75" t="s">
        <v>235</v>
      </c>
      <c r="C152" s="76" t="n">
        <v>2021</v>
      </c>
      <c r="D152" s="76" t="n">
        <v>2</v>
      </c>
      <c r="E152" s="77" t="n">
        <v>44043</v>
      </c>
      <c r="F152" s="75" t="s">
        <v>194</v>
      </c>
      <c r="G152" s="75" t="s">
        <v>195</v>
      </c>
      <c r="H152" s="75" t="s">
        <v>191</v>
      </c>
      <c r="I152" s="78" t="n">
        <v>3866</v>
      </c>
      <c r="J152" s="78" t="n">
        <v>2275</v>
      </c>
      <c r="K152" s="79" t="n">
        <v>0.05</v>
      </c>
      <c r="L152" s="78" t="n">
        <v>25040</v>
      </c>
      <c r="M152" s="78" t="n">
        <v>13914</v>
      </c>
      <c r="N152" s="79"/>
      <c r="O152" s="79" t="n">
        <v>10.6147499084473</v>
      </c>
      <c r="P152" s="47" t="n">
        <v>25</v>
      </c>
      <c r="Q152" s="66" t="s">
        <v>375</v>
      </c>
    </row>
    <row r="154" customFormat="false" ht="15" hidden="false" customHeight="false" outlineLevel="0" collapsed="false">
      <c r="A154" s="80" t="s">
        <v>376</v>
      </c>
    </row>
    <row r="155" customFormat="false" ht="15" hidden="false" customHeight="false" outlineLevel="0" collapsed="false">
      <c r="A155" s="41" t="s">
        <v>377</v>
      </c>
    </row>
    <row r="156" customFormat="false" ht="15" hidden="false" customHeight="false" outlineLevel="0" collapsed="false">
      <c r="A156" s="81" t="s">
        <v>378</v>
      </c>
      <c r="C156" s="24" t="s">
        <v>379</v>
      </c>
    </row>
    <row r="157" customFormat="false" ht="15" hidden="false" customHeight="false" outlineLevel="0" collapsed="false">
      <c r="A157" s="81" t="s">
        <v>380</v>
      </c>
      <c r="C157" s="24" t="s">
        <v>379</v>
      </c>
    </row>
    <row r="158" customFormat="false" ht="15" hidden="false" customHeight="false" outlineLevel="0" collapsed="false">
      <c r="A158" s="81" t="s">
        <v>381</v>
      </c>
      <c r="C158" s="24" t="s">
        <v>379</v>
      </c>
    </row>
    <row r="159" customFormat="false" ht="15" hidden="false" customHeight="false" outlineLevel="0" collapsed="false">
      <c r="A159" s="81" t="s">
        <v>382</v>
      </c>
      <c r="C159" s="24" t="s">
        <v>379</v>
      </c>
    </row>
    <row r="160" customFormat="false" ht="15" hidden="false" customHeight="false" outlineLevel="0" collapsed="false">
      <c r="A160" s="81" t="s">
        <v>383</v>
      </c>
      <c r="C160" s="24" t="s">
        <v>379</v>
      </c>
    </row>
    <row r="161" customFormat="false" ht="15" hidden="false" customHeight="false" outlineLevel="0" collapsed="false">
      <c r="A161" s="81" t="s">
        <v>384</v>
      </c>
      <c r="C161" s="24" t="s">
        <v>385</v>
      </c>
    </row>
    <row r="162" customFormat="false" ht="15" hidden="false" customHeight="false" outlineLevel="0" collapsed="false">
      <c r="A162" s="81" t="s">
        <v>386</v>
      </c>
      <c r="C162" s="24" t="s">
        <v>385</v>
      </c>
    </row>
    <row r="163" customFormat="false" ht="15" hidden="false" customHeight="false" outlineLevel="0" collapsed="false">
      <c r="A163" s="81" t="s">
        <v>387</v>
      </c>
      <c r="C163" s="25" t="s">
        <v>388</v>
      </c>
    </row>
    <row r="164" customFormat="false" ht="15" hidden="false" customHeight="false" outlineLevel="0" collapsed="false">
      <c r="A164" s="81" t="s">
        <v>389</v>
      </c>
      <c r="C164" s="24" t="s">
        <v>390</v>
      </c>
    </row>
    <row r="165" customFormat="false" ht="15" hidden="false" customHeight="false" outlineLevel="0" collapsed="false">
      <c r="A165" s="81" t="s">
        <v>391</v>
      </c>
      <c r="C165" s="24" t="s">
        <v>392</v>
      </c>
    </row>
    <row r="166" customFormat="false" ht="15" hidden="false" customHeight="false" outlineLevel="0" collapsed="false">
      <c r="A166" s="81" t="s">
        <v>393</v>
      </c>
      <c r="C166" s="25" t="s">
        <v>394</v>
      </c>
    </row>
    <row r="167" customFormat="false" ht="15" hidden="false" customHeight="false" outlineLevel="0" collapsed="false">
      <c r="A167" s="81" t="s">
        <v>395</v>
      </c>
      <c r="C167" s="24" t="s">
        <v>396</v>
      </c>
    </row>
    <row r="168" customFormat="false" ht="15" hidden="false" customHeight="false" outlineLevel="0" collapsed="false">
      <c r="A168" s="81" t="s">
        <v>397</v>
      </c>
      <c r="C168" s="25" t="s">
        <v>398</v>
      </c>
    </row>
    <row r="169" customFormat="false" ht="15" hidden="false" customHeight="false" outlineLevel="0" collapsed="false">
      <c r="A169" s="81" t="s">
        <v>399</v>
      </c>
      <c r="C169" s="24" t="s">
        <v>47</v>
      </c>
    </row>
    <row r="170" customFormat="false" ht="15" hidden="false" customHeight="false" outlineLevel="0" collapsed="false">
      <c r="A170" s="81" t="s">
        <v>400</v>
      </c>
      <c r="C170" s="24" t="s">
        <v>401</v>
      </c>
    </row>
    <row r="172" customFormat="false" ht="15" hidden="false" customHeight="false" outlineLevel="0" collapsed="false">
      <c r="A172" s="24" t="s">
        <v>402</v>
      </c>
    </row>
  </sheetData>
  <autoFilter ref="A1:Q1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403</v>
      </c>
      <c r="C1" s="14" t="s">
        <v>404</v>
      </c>
      <c r="D1" s="14" t="s">
        <v>405</v>
      </c>
      <c r="E1" s="14" t="s">
        <v>406</v>
      </c>
      <c r="F1" s="14" t="s">
        <v>407</v>
      </c>
    </row>
    <row r="2" customFormat="false" ht="15" hidden="false" customHeight="false" outlineLevel="0" collapsed="false">
      <c r="A2" s="75" t="s">
        <v>170</v>
      </c>
      <c r="B2" s="79" t="n">
        <v>0.68</v>
      </c>
      <c r="C2" s="79" t="n">
        <v>4.602</v>
      </c>
      <c r="D2" s="77" t="n">
        <v>46387</v>
      </c>
      <c r="E2" s="76" t="n">
        <v>6</v>
      </c>
      <c r="F2" s="77" t="n">
        <v>46263</v>
      </c>
    </row>
    <row r="3" customFormat="false" ht="15" hidden="false" customHeight="false" outlineLevel="0" collapsed="false">
      <c r="A3" s="75" t="s">
        <v>84</v>
      </c>
      <c r="B3" s="79" t="n">
        <v>8.81249</v>
      </c>
      <c r="C3" s="79" t="n">
        <v>9.53127</v>
      </c>
      <c r="D3" s="77" t="n">
        <v>46295</v>
      </c>
      <c r="E3" s="76" t="n">
        <v>28</v>
      </c>
      <c r="F3" s="77" t="n">
        <v>46263</v>
      </c>
    </row>
    <row r="4" customFormat="false" ht="15" hidden="false" customHeight="false" outlineLevel="0" collapsed="false">
      <c r="A4" s="75" t="s">
        <v>169</v>
      </c>
      <c r="B4" s="79" t="n">
        <v>24.41188</v>
      </c>
      <c r="C4" s="79" t="n">
        <v>27.49039</v>
      </c>
      <c r="D4" s="77" t="n">
        <v>46356</v>
      </c>
      <c r="E4" s="76" t="n">
        <v>29</v>
      </c>
      <c r="F4" s="77" t="n">
        <v>46263</v>
      </c>
    </row>
    <row r="5" customFormat="false" ht="15" hidden="false" customHeight="false" outlineLevel="0" collapsed="false">
      <c r="A5" s="75" t="s">
        <v>168</v>
      </c>
      <c r="B5" s="79" t="n">
        <v>20.59047</v>
      </c>
      <c r="C5" s="79" t="n">
        <v>22.70548</v>
      </c>
      <c r="D5" s="77" t="n">
        <v>46265</v>
      </c>
      <c r="E5" s="76" t="n">
        <v>28</v>
      </c>
      <c r="F5" s="77" t="n">
        <v>46263</v>
      </c>
    </row>
    <row r="6" customFormat="false" ht="15" hidden="false" customHeight="false" outlineLevel="0" collapsed="false">
      <c r="A6" s="75" t="s">
        <v>166</v>
      </c>
      <c r="B6" s="79" t="n">
        <v>19.75306</v>
      </c>
      <c r="C6" s="79" t="n">
        <v>23.57328</v>
      </c>
      <c r="D6" s="77" t="n">
        <v>46568</v>
      </c>
      <c r="E6" s="76" t="n">
        <v>25</v>
      </c>
      <c r="F6" s="77" t="n">
        <v>46263</v>
      </c>
    </row>
    <row r="7" customFormat="false" ht="15" hidden="false" customHeight="false" outlineLevel="0" collapsed="false">
      <c r="A7" s="75" t="s">
        <v>167</v>
      </c>
      <c r="B7" s="79" t="n">
        <v>9.05163</v>
      </c>
      <c r="C7" s="79" t="n">
        <v>13.12766</v>
      </c>
      <c r="D7" s="77" t="n">
        <v>46418</v>
      </c>
      <c r="E7" s="76" t="n">
        <v>4</v>
      </c>
      <c r="F7" s="77" t="n">
        <v>46263</v>
      </c>
    </row>
    <row r="9" customFormat="false" ht="15" hidden="false" customHeight="false" outlineLevel="0" collapsed="false">
      <c r="A9" s="25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409</v>
      </c>
      <c r="C1" s="14" t="s">
        <v>410</v>
      </c>
      <c r="D1" s="14" t="s">
        <v>411</v>
      </c>
      <c r="E1" s="14" t="s">
        <v>407</v>
      </c>
    </row>
    <row r="2" customFormat="false" ht="15" hidden="false" customHeight="false" outlineLevel="0" collapsed="false">
      <c r="A2" s="75" t="s">
        <v>170</v>
      </c>
      <c r="B2" s="79" t="n">
        <v>106.230003356934</v>
      </c>
      <c r="C2" s="77" t="n">
        <v>46263</v>
      </c>
      <c r="D2" s="77" t="n">
        <v>46331</v>
      </c>
      <c r="E2" s="77" t="n">
        <v>46263</v>
      </c>
    </row>
    <row r="3" customFormat="false" ht="15" hidden="false" customHeight="false" outlineLevel="0" collapsed="false">
      <c r="A3" s="75" t="s">
        <v>84</v>
      </c>
      <c r="B3" s="79" t="n">
        <v>319.700012207031</v>
      </c>
      <c r="C3" s="77" t="n">
        <v>46263</v>
      </c>
      <c r="D3" s="77" t="n">
        <v>46324</v>
      </c>
      <c r="E3" s="77" t="n">
        <v>46263</v>
      </c>
    </row>
    <row r="4" customFormat="false" ht="15" hidden="false" customHeight="false" outlineLevel="0" collapsed="false">
      <c r="A4" s="75" t="s">
        <v>169</v>
      </c>
      <c r="B4" s="79" t="n">
        <v>291.519989013672</v>
      </c>
      <c r="C4" s="77" t="n">
        <v>46263</v>
      </c>
      <c r="D4" s="77" t="n">
        <v>46275</v>
      </c>
      <c r="E4" s="77" t="n">
        <v>46263</v>
      </c>
    </row>
    <row r="5" customFormat="false" ht="15" hidden="false" customHeight="false" outlineLevel="0" collapsed="false">
      <c r="A5" s="75" t="s">
        <v>168</v>
      </c>
      <c r="B5" s="79" t="n">
        <v>945.469970703125</v>
      </c>
      <c r="C5" s="77" t="n">
        <v>46263</v>
      </c>
      <c r="D5" s="77" t="n">
        <v>46289</v>
      </c>
      <c r="E5" s="77" t="n">
        <v>46263</v>
      </c>
    </row>
    <row r="6" customFormat="false" ht="15" hidden="false" customHeight="false" outlineLevel="0" collapsed="false">
      <c r="A6" s="75" t="s">
        <v>166</v>
      </c>
      <c r="B6" s="79" t="n">
        <v>513.530029296875</v>
      </c>
      <c r="C6" s="77" t="n">
        <v>46263</v>
      </c>
      <c r="D6" s="77" t="n">
        <v>46323</v>
      </c>
      <c r="E6" s="77" t="n">
        <v>46263</v>
      </c>
    </row>
    <row r="7" customFormat="false" ht="15" hidden="false" customHeight="false" outlineLevel="0" collapsed="false">
      <c r="A7" s="75" t="s">
        <v>167</v>
      </c>
      <c r="B7" s="79" t="n">
        <v>217.550003051758</v>
      </c>
      <c r="C7" s="77" t="n">
        <v>46263</v>
      </c>
      <c r="D7" s="77" t="n">
        <v>46343</v>
      </c>
      <c r="E7" s="77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412</v>
      </c>
      <c r="F1" s="14" t="s">
        <v>413</v>
      </c>
      <c r="G1" s="14" t="s">
        <v>414</v>
      </c>
      <c r="H1" s="14" t="s">
        <v>415</v>
      </c>
      <c r="I1" s="14" t="s">
        <v>68</v>
      </c>
      <c r="J1" s="14" t="s">
        <v>56</v>
      </c>
      <c r="K1" s="14" t="s">
        <v>416</v>
      </c>
      <c r="L1" s="14" t="s">
        <v>417</v>
      </c>
      <c r="M1" s="14" t="s">
        <v>418</v>
      </c>
      <c r="N1" s="14" t="s">
        <v>58</v>
      </c>
      <c r="O1" s="14" t="s">
        <v>59</v>
      </c>
      <c r="P1" s="14" t="s">
        <v>419</v>
      </c>
      <c r="Q1" s="15" t="s">
        <v>47</v>
      </c>
      <c r="R1" s="15" t="s">
        <v>60</v>
      </c>
      <c r="S1" s="15" t="s">
        <v>420</v>
      </c>
      <c r="T1" s="15" t="s">
        <v>421</v>
      </c>
      <c r="U1" s="15" t="s">
        <v>422</v>
      </c>
      <c r="V1" s="15" t="s">
        <v>423</v>
      </c>
      <c r="W1" s="15" t="s">
        <v>64</v>
      </c>
      <c r="X1" s="15" t="s">
        <v>65</v>
      </c>
      <c r="Y1" s="14" t="s">
        <v>424</v>
      </c>
      <c r="Z1" s="15" t="s">
        <v>425</v>
      </c>
      <c r="AA1" s="15" t="s">
        <v>426</v>
      </c>
      <c r="AB1" s="14" t="s">
        <v>427</v>
      </c>
      <c r="AC1" s="14" t="s">
        <v>71</v>
      </c>
      <c r="AD1" s="15" t="s">
        <v>106</v>
      </c>
      <c r="AE1" s="15" t="s">
        <v>428</v>
      </c>
      <c r="AF1" s="14" t="s">
        <v>72</v>
      </c>
      <c r="AG1" s="14" t="s">
        <v>73</v>
      </c>
      <c r="AH1" s="14" t="s">
        <v>429</v>
      </c>
      <c r="AI1" s="15" t="s">
        <v>75</v>
      </c>
      <c r="AJ1" s="15" t="s">
        <v>76</v>
      </c>
      <c r="AK1" s="15" t="s">
        <v>430</v>
      </c>
      <c r="AL1" s="15" t="s">
        <v>86</v>
      </c>
      <c r="AM1" s="15" t="s">
        <v>87</v>
      </c>
      <c r="AN1" s="15" t="s">
        <v>88</v>
      </c>
      <c r="AO1" s="14" t="s">
        <v>431</v>
      </c>
      <c r="AP1" s="14" t="s">
        <v>432</v>
      </c>
      <c r="AQ1" s="14" t="s">
        <v>433</v>
      </c>
      <c r="AR1" s="14" t="s">
        <v>434</v>
      </c>
      <c r="AS1" s="14" t="s">
        <v>435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33.7654675622355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4.13976244800253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25.1964568432808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1.30282319817376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19.0887870486652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0.423904234054482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41.6618716771883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4.05595017949322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10.9158976072654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0.865605706919416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n">
        <f aca="false">IF($A7="","",IFERROR(INDEX(Tickers!$D$2:$D$100,MATCH($A7,Tickers!$A$2:$A$100,0)),""))</f>
        <v>0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3.26959452054795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32.4902683465259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0.0563319288007079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46263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437</v>
      </c>
    </row>
    <row r="3" customFormat="false" ht="31.5" hidden="false" customHeight="true" outlineLevel="0" collapsed="false">
      <c r="A3" s="15" t="s">
        <v>438</v>
      </c>
      <c r="B3" s="15" t="s">
        <v>439</v>
      </c>
      <c r="C3" s="15" t="s">
        <v>440</v>
      </c>
    </row>
    <row r="4" customFormat="false" ht="15" hidden="false" customHeight="false" outlineLevel="0" collapsed="false">
      <c r="A4" s="5" t="s">
        <v>441</v>
      </c>
      <c r="B4" s="82" t="n">
        <v>24</v>
      </c>
      <c r="C4" s="25" t="s">
        <v>442</v>
      </c>
    </row>
    <row r="5" customFormat="false" ht="15" hidden="false" customHeight="false" outlineLevel="0" collapsed="false">
      <c r="A5" s="5" t="s">
        <v>443</v>
      </c>
      <c r="B5" s="82" t="n">
        <v>20</v>
      </c>
      <c r="C5" s="25" t="s">
        <v>444</v>
      </c>
    </row>
    <row r="6" customFormat="false" ht="15" hidden="false" customHeight="false" outlineLevel="0" collapsed="false">
      <c r="A6" s="2" t="s">
        <v>445</v>
      </c>
      <c r="B6" s="83" t="n">
        <v>0.05</v>
      </c>
      <c r="C6" s="24" t="s">
        <v>446</v>
      </c>
    </row>
    <row r="7" customFormat="false" ht="15" hidden="false" customHeight="false" outlineLevel="0" collapsed="false">
      <c r="A7" s="5" t="s">
        <v>447</v>
      </c>
      <c r="B7" s="82" t="n">
        <v>5</v>
      </c>
      <c r="C7" s="24" t="s">
        <v>448</v>
      </c>
    </row>
    <row r="8" customFormat="false" ht="15" hidden="false" customHeight="false" outlineLevel="0" collapsed="false">
      <c r="A8" s="2" t="s">
        <v>449</v>
      </c>
      <c r="B8" s="82" t="n">
        <v>365</v>
      </c>
      <c r="C8" s="25" t="s">
        <v>450</v>
      </c>
    </row>
    <row r="11" customFormat="false" ht="15" hidden="false" customHeight="false" outlineLevel="0" collapsed="false">
      <c r="A11" s="24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2026-08-29T03:58:42Z</dcterms:created>
  <dc:creator>openpyxl</dc:creator>
  <dc:description/>
  <dc:language>en-US</dc:language>
  <cp:lastModifiedBy/>
  <dcterms:modified xsi:type="dcterms:W3CDTF">2026-08-29T03:58:43Z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