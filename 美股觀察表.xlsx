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說明" sheetId="1" state="visible" r:id="rId3"/>
    <sheet name="Dashboard" sheetId="2" state="visible" r:id="rId4"/>
    <sheet name="Stock_Card" sheetId="3" state="visible" r:id="rId5"/>
    <sheet name="年度檢視" sheetId="4" state="visible" r:id="rId6"/>
    <sheet name="季度檢視" sheetId="5" state="visible" r:id="rId7"/>
    <sheet name="_Manifest" sheetId="6" state="visible" r:id="rId8"/>
    <sheet name="Tickers" sheetId="7" state="visible" r:id="rId9"/>
    <sheet name="Raw_Q" sheetId="8" state="visible" r:id="rId10"/>
    <sheet name="Raw_Est" sheetId="9" state="visible" r:id="rId11"/>
    <sheet name="Raw_Price" sheetId="10" state="visible" r:id="rId12"/>
    <sheet name="Calc" sheetId="11" state="hidden" r:id="rId13"/>
    <sheet name="Config" sheetId="12" state="visible" r:id="rId14"/>
  </sheets>
  <definedNames>
    <definedName function="false" hidden="true" localSheetId="1" name="_xlnm._FilterDatabase" vbProcedure="false">Dashboard!$A$2:$AC$27</definedName>
    <definedName function="false" hidden="true" localSheetId="7" name="_xlnm._FilterDatabase" vbProcedure="false">Raw_Q!$A$1:$Q$502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<sst xmlns="http://schemas.openxmlformats.org/spreadsheetml/2006/main" count="3457" uniqueCount="850">
  <si>
    <r>
      <rPr>
        <b val="true"/>
        <sz val="14"/>
        <color rgb="FF1F3864"/>
        <rFont val="DejaVu Sans"/>
        <family val="2"/>
      </rPr>
      <t xml:space="preserve">美股觀察表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架構範本 </t>
    </r>
    <r>
      <rPr>
        <b val="true"/>
        <sz val="14"/>
        <color rgb="FF1F3864"/>
        <rFont val="Arial"/>
        <family val="0"/>
        <charset val="1"/>
      </rPr>
      <t xml:space="preserve">v2</t>
    </r>
  </si>
  <si>
    <r>
      <rPr>
        <b val="true"/>
        <sz val="10"/>
        <color rgb="FFC00000"/>
        <rFont val="DejaVu Sans"/>
        <family val="2"/>
      </rPr>
      <t xml:space="preserve">資料由 </t>
    </r>
    <r>
      <rPr>
        <b val="true"/>
        <sz val="10"/>
        <color rgb="FFC00000"/>
        <rFont val="Arial"/>
        <family val="0"/>
        <charset val="1"/>
      </rPr>
      <t xml:space="preserve">GitHub Actions </t>
    </r>
    <r>
      <rPr>
        <b val="true"/>
        <sz val="10"/>
        <color rgb="FFC00000"/>
        <rFont val="DejaVu Sans"/>
        <family val="2"/>
      </rPr>
      <t xml:space="preserve">自動更新。</t>
    </r>
    <r>
      <rPr>
        <b val="true"/>
        <sz val="10"/>
        <color rgb="FFC00000"/>
        <rFont val="Arial"/>
        <family val="0"/>
        <charset val="1"/>
      </rPr>
      <t xml:space="preserve">Raw </t>
    </r>
    <r>
      <rPr>
        <b val="true"/>
        <sz val="10"/>
        <color rgb="FFC00000"/>
        <rFont val="DejaVu Sans"/>
        <family val="2"/>
      </rPr>
      <t xml:space="preserve">分頁為管線寫入區，請勿手改。</t>
    </r>
  </si>
  <si>
    <r>
      <rPr>
        <b val="true"/>
        <sz val="11"/>
        <color rgb="FF1F3864"/>
        <rFont val="Arial"/>
        <family val="0"/>
        <charset val="1"/>
      </rPr>
      <t xml:space="preserve">v2 </t>
    </r>
    <r>
      <rPr>
        <b val="true"/>
        <sz val="11"/>
        <color rgb="FF1F3864"/>
        <rFont val="DejaVu Sans"/>
        <family val="2"/>
      </rPr>
      <t xml:space="preserve">改了什麼</t>
    </r>
  </si>
  <si>
    <r>
      <rPr>
        <sz val="10"/>
        <rFont val="Arial"/>
        <family val="0"/>
        <charset val="1"/>
      </rPr>
      <t xml:space="preserve">Raw_Q </t>
    </r>
    <r>
      <rPr>
        <sz val="10"/>
        <rFont val="DejaVu Sans"/>
        <family val="2"/>
      </rPr>
      <t xml:space="preserve">從 </t>
    </r>
    <r>
      <rPr>
        <sz val="10"/>
        <rFont val="Arial"/>
        <family val="0"/>
        <charset val="1"/>
      </rPr>
      <t xml:space="preserve">32 </t>
    </r>
    <r>
      <rPr>
        <sz val="10"/>
        <rFont val="DejaVu Sans"/>
        <family val="2"/>
      </rPr>
      <t xml:space="preserve">欄砍到 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欄。只留下你指定的指標，以及計算這些指標所必需的原始欄位。</t>
    </r>
  </si>
  <si>
    <r>
      <rPr>
        <sz val="10"/>
        <rFont val="DejaVu Sans"/>
        <family val="2"/>
      </rPr>
      <t xml:space="preserve">刪掉的是：營益率、</t>
    </r>
    <r>
      <rPr>
        <sz val="10"/>
        <rFont val="Arial"/>
        <family val="0"/>
        <charset val="1"/>
      </rPr>
      <t xml:space="preserve">FCF</t>
    </r>
    <r>
      <rPr>
        <sz val="10"/>
        <rFont val="DejaVu Sans"/>
        <family val="2"/>
      </rPr>
      <t xml:space="preserve">、杜邦拆解、</t>
    </r>
    <r>
      <rPr>
        <sz val="10"/>
        <rFont val="Arial"/>
        <family val="0"/>
        <charset val="1"/>
      </rPr>
      <t xml:space="preserve">ROIC</t>
    </r>
    <r>
      <rPr>
        <sz val="10"/>
        <rFont val="DejaVu Sans"/>
        <family val="2"/>
      </rPr>
      <t xml:space="preserve">、淨負債、有效稅率、</t>
    </r>
    <r>
      <rPr>
        <sz val="10"/>
        <rFont val="Arial"/>
        <family val="0"/>
        <charset val="1"/>
      </rPr>
      <t xml:space="preserve">adj_gap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 </t>
    </r>
    <r>
      <rPr>
        <sz val="10"/>
        <rFont val="DejaVu Sans"/>
        <family val="2"/>
      </rPr>
      <t xml:space="preserve">百分位、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年</t>
    </r>
    <r>
      <rPr>
        <sz val="10"/>
        <rFont val="Arial"/>
        <family val="0"/>
        <charset val="1"/>
      </rPr>
      <t xml:space="preserve">CAGR</t>
    </r>
    <r>
      <rPr>
        <sz val="10"/>
        <rFont val="DejaVu Sans"/>
        <family val="2"/>
      </rPr>
      <t xml:space="preserve">、</t>
    </r>
  </si>
  <si>
    <r>
      <rPr>
        <sz val="10"/>
        <rFont val="DejaVu Sans"/>
        <family val="2"/>
      </rPr>
      <t xml:space="preserve">近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季平均加速度、</t>
    </r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加速度、年度加速度 —— 這些都是我加的，不是你要的。</t>
    </r>
  </si>
  <si>
    <r>
      <rPr>
        <sz val="10"/>
        <rFont val="DejaVu Sans"/>
        <family val="2"/>
      </rPr>
      <t xml:space="preserve">新增：殖利率（需要 </t>
    </r>
    <r>
      <rPr>
        <sz val="10"/>
        <rFont val="Arial"/>
        <family val="0"/>
        <charset val="1"/>
      </rPr>
      <t xml:space="preserve">Raw_Q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dps </t>
    </r>
    <r>
      <rPr>
        <sz val="10"/>
        <rFont val="DejaVu Sans"/>
        <family val="2"/>
      </rPr>
      <t xml:space="preserve">欄）。</t>
    </r>
  </si>
  <si>
    <r>
      <rPr>
        <b val="true"/>
        <sz val="11"/>
        <color rgb="FF1F3864"/>
        <rFont val="Arial"/>
        <family val="0"/>
        <charset val="1"/>
      </rPr>
      <t xml:space="preserve">Raw_Q </t>
    </r>
    <r>
      <rPr>
        <b val="true"/>
        <sz val="11"/>
        <color rgb="FF1F3864"/>
        <rFont val="DejaVu Sans"/>
        <family val="2"/>
      </rPr>
      <t xml:space="preserve">的 </t>
    </r>
    <r>
      <rPr>
        <b val="true"/>
        <sz val="11"/>
        <color rgb="FF1F3864"/>
        <rFont val="Arial"/>
        <family val="0"/>
        <charset val="1"/>
      </rPr>
      <t xml:space="preserve">14 </t>
    </r>
    <r>
      <rPr>
        <b val="true"/>
        <sz val="11"/>
        <color rgb="FF1F3864"/>
        <rFont val="DejaVu Sans"/>
        <family val="2"/>
      </rPr>
      <t xml:space="preserve">欄，每一欄都有用途</t>
    </r>
  </si>
  <si>
    <r>
      <rPr>
        <sz val="10"/>
        <rFont val="Arial"/>
        <family val="0"/>
        <charset val="1"/>
      </rPr>
      <t xml:space="preserve">ticker / period / fy / fq / period_end   → </t>
    </r>
    <r>
      <rPr>
        <sz val="10"/>
        <rFont val="DejaVu Sans"/>
        <family val="2"/>
      </rPr>
      <t xml:space="preserve">鍵值與期別對齊</t>
    </r>
  </si>
  <si>
    <r>
      <rPr>
        <sz val="10"/>
        <rFont val="Arial"/>
        <family val="0"/>
        <charset val="1"/>
      </rPr>
      <t xml:space="preserve">is_est / est_source                      → </t>
    </r>
    <r>
      <rPr>
        <sz val="10"/>
        <rFont val="DejaVu Sans"/>
        <family val="2"/>
      </rPr>
      <t xml:space="preserve">區分實際與預估，避免預估污染歷史</t>
    </r>
  </si>
  <si>
    <r>
      <rPr>
        <sz val="10"/>
        <rFont val="Arial"/>
        <family val="0"/>
        <charset val="1"/>
      </rPr>
      <t xml:space="preserve">eps_basis                                → EPS </t>
    </r>
    <r>
      <rPr>
        <sz val="10"/>
        <rFont val="DejaVu Sans"/>
        <family val="2"/>
      </rPr>
      <t xml:space="preserve">口徑標記：</t>
    </r>
    <r>
      <rPr>
        <sz val="10"/>
        <rFont val="Arial"/>
        <family val="0"/>
        <charset val="1"/>
      </rPr>
      <t xml:space="preserve">street=</t>
    </r>
    <r>
      <rPr>
        <sz val="10"/>
        <rFont val="DejaVu Sans"/>
        <family val="2"/>
      </rPr>
      <t xml:space="preserve">市場口徑；</t>
    </r>
    <r>
      <rPr>
        <sz val="10"/>
        <rFont val="Arial"/>
        <family val="0"/>
        <charset val="1"/>
      </rPr>
      <t xml:space="preserve">gaap=</t>
    </r>
    <r>
      <rPr>
        <sz val="10"/>
        <rFont val="DejaVu Sans"/>
        <family val="2"/>
      </rPr>
      <t xml:space="preserve">四層來源</t>
    </r>
  </si>
  <si>
    <r>
      <rPr>
        <sz val="10"/>
        <rFont val="DejaVu Sans"/>
        <family val="2"/>
      </rPr>
      <t xml:space="preserve">                                            全部失敗時的降級，</t>
    </r>
    <r>
      <rPr>
        <sz val="10"/>
        <rFont val="Arial"/>
        <family val="0"/>
        <charset val="1"/>
      </rPr>
      <t xml:space="preserve">PE/PEG </t>
    </r>
    <r>
      <rPr>
        <sz val="10"/>
        <rFont val="DejaVu Sans"/>
        <family val="2"/>
      </rPr>
      <t xml:space="preserve">會失真，須注意</t>
    </r>
  </si>
  <si>
    <r>
      <rPr>
        <sz val="10"/>
        <rFont val="Arial"/>
        <family val="0"/>
        <charset val="1"/>
      </rPr>
      <t xml:space="preserve">revenue                                  → </t>
    </r>
    <r>
      <rPr>
        <sz val="10"/>
        <rFont val="DejaVu Sans"/>
        <family val="2"/>
      </rPr>
      <t xml:space="preserve">營收成長率、毛利率分母</t>
    </r>
  </si>
  <si>
    <r>
      <rPr>
        <sz val="10"/>
        <rFont val="Arial"/>
        <family val="0"/>
        <charset val="1"/>
      </rPr>
      <t xml:space="preserve">gross_profit                             → </t>
    </r>
    <r>
      <rPr>
        <sz val="10"/>
        <rFont val="DejaVu Sans"/>
        <family val="2"/>
      </rPr>
      <t xml:space="preserve">毛利率分子</t>
    </r>
  </si>
  <si>
    <r>
      <rPr>
        <sz val="10"/>
        <rFont val="Arial"/>
        <family val="0"/>
        <charset val="1"/>
      </rPr>
      <t xml:space="preserve">eps_diluted_adj                          → EPS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PEG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成長率</t>
    </r>
  </si>
  <si>
    <r>
      <rPr>
        <sz val="10"/>
        <rFont val="Arial"/>
        <family val="0"/>
        <charset val="1"/>
      </rPr>
      <t xml:space="preserve">shares_diluted                           → </t>
    </r>
    <r>
      <rPr>
        <sz val="10"/>
        <rFont val="DejaVu Sans"/>
        <family val="2"/>
      </rPr>
      <t xml:space="preserve">反推 </t>
    </r>
    <r>
      <rPr>
        <sz val="10"/>
        <rFont val="Arial"/>
        <family val="0"/>
        <charset val="1"/>
      </rPr>
      <t xml:space="preserve">ROE </t>
    </r>
    <r>
      <rPr>
        <sz val="10"/>
        <rFont val="DejaVu Sans"/>
        <family val="2"/>
      </rPr>
      <t xml:space="preserve">淨利、</t>
    </r>
    <r>
      <rPr>
        <sz val="10"/>
        <rFont val="Arial"/>
        <family val="0"/>
        <charset val="1"/>
      </rPr>
      <t xml:space="preserve">ROE_Forward </t>
    </r>
    <r>
      <rPr>
        <sz val="10"/>
        <rFont val="DejaVu Sans"/>
        <family val="2"/>
      </rPr>
      <t xml:space="preserve">的每股淨值</t>
    </r>
  </si>
  <si>
    <r>
      <rPr>
        <sz val="10"/>
        <rFont val="Arial"/>
        <family val="0"/>
        <charset val="1"/>
      </rPr>
      <t xml:space="preserve">total_equity                             → ROE </t>
    </r>
    <r>
      <rPr>
        <sz val="10"/>
        <rFont val="DejaVu Sans"/>
        <family val="2"/>
      </rPr>
      <t xml:space="preserve">分母</t>
    </r>
  </si>
  <si>
    <r>
      <rPr>
        <sz val="10"/>
        <rFont val="Arial"/>
        <family val="0"/>
        <charset val="1"/>
      </rPr>
      <t xml:space="preserve">dps                                      → </t>
    </r>
    <r>
      <rPr>
        <sz val="10"/>
        <rFont val="DejaVu Sans"/>
        <family val="2"/>
      </rPr>
      <t xml:space="preserve">殖利率</t>
    </r>
  </si>
  <si>
    <r>
      <rPr>
        <sz val="10"/>
        <rFont val="Arial"/>
        <family val="0"/>
        <charset val="1"/>
      </rPr>
      <t xml:space="preserve">price_at_end                             → </t>
    </r>
    <r>
      <rPr>
        <sz val="10"/>
        <rFont val="DejaVu Sans"/>
        <family val="2"/>
      </rPr>
      <t xml:space="preserve">歷史 </t>
    </r>
    <r>
      <rPr>
        <sz val="10"/>
        <rFont val="Arial"/>
        <family val="0"/>
        <charset val="1"/>
      </rPr>
      <t xml:space="preserve">PE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PEG_T</t>
    </r>
    <r>
      <rPr>
        <sz val="10"/>
        <rFont val="DejaVu Sans"/>
        <family val="2"/>
      </rPr>
      <t xml:space="preserve">、歷史殖利率</t>
    </r>
  </si>
  <si>
    <t xml:space="preserve">抓不到的東西（誠實說明）</t>
  </si>
  <si>
    <r>
      <rPr>
        <sz val="10"/>
        <rFont val="Arial"/>
        <family val="0"/>
        <charset val="1"/>
      </rPr>
      <t xml:space="preserve">Adjusted </t>
    </r>
    <r>
      <rPr>
        <sz val="10"/>
        <rFont val="DejaVu Sans"/>
        <family val="2"/>
      </rPr>
      <t xml:space="preserve">淨利：沒有任何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提供。它不是損益表項目，只存在於公司財報的 </t>
    </r>
    <r>
      <rPr>
        <sz val="10"/>
        <rFont val="Arial"/>
        <family val="0"/>
        <charset val="1"/>
      </rPr>
      <t xml:space="preserve">non-GAAP </t>
    </r>
    <r>
      <rPr>
        <sz val="10"/>
        <rFont val="DejaVu Sans"/>
        <family val="2"/>
      </rPr>
      <t xml:space="preserve">對帳附註。</t>
    </r>
  </si>
  <si>
    <r>
      <rPr>
        <sz val="10"/>
        <rFont val="DejaVu Sans"/>
        <family val="2"/>
      </rPr>
      <t xml:space="preserve">本表用「逐季 </t>
    </r>
    <r>
      <rPr>
        <sz val="10"/>
        <rFont val="Arial"/>
        <family val="0"/>
        <charset val="1"/>
      </rPr>
      <t xml:space="preserve">adjusted EPS × </t>
    </r>
    <r>
      <rPr>
        <sz val="10"/>
        <rFont val="DejaVu Sans"/>
        <family val="2"/>
      </rPr>
      <t xml:space="preserve">稀釋股數」反推，逐季相乘再加總比用單一股數準，但仍是近似值。</t>
    </r>
  </si>
  <si>
    <r>
      <rPr>
        <sz val="10"/>
        <rFont val="Arial"/>
        <family val="0"/>
        <charset val="1"/>
      </rPr>
      <t xml:space="preserve">Adjusted EPS </t>
    </r>
    <r>
      <rPr>
        <sz val="10"/>
        <rFont val="DejaVu Sans"/>
        <family val="2"/>
      </rPr>
      <t xml:space="preserve">本身拿得到，但不是從損益表，是從「歷史財報實際值」那類端點的 </t>
    </r>
    <r>
      <rPr>
        <sz val="10"/>
        <rFont val="Arial"/>
        <family val="0"/>
        <charset val="1"/>
      </rPr>
      <t xml:space="preserve">actual EPS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</si>
  <si>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fy / fq</t>
    </r>
    <r>
      <rPr>
        <sz val="10"/>
        <rFont val="DejaVu Sans"/>
        <family val="2"/>
      </rPr>
      <t xml:space="preserve">：多數來源不直接提供公司自己的財年標號，要從 </t>
    </r>
    <r>
      <rPr>
        <sz val="10"/>
        <rFont val="Arial"/>
        <family val="0"/>
        <charset val="1"/>
      </rPr>
      <t xml:space="preserve">period_end </t>
    </r>
    <r>
      <rPr>
        <sz val="10"/>
        <rFont val="DejaVu Sans"/>
        <family val="2"/>
      </rPr>
      <t xml:space="preserve">推算。</t>
    </r>
  </si>
  <si>
    <r>
      <rPr>
        <sz val="10"/>
        <rFont val="DejaVu Sans"/>
        <family val="2"/>
      </rPr>
      <t xml:space="preserve">歷史的 </t>
    </r>
    <r>
      <rPr>
        <sz val="10"/>
        <rFont val="Arial"/>
        <family val="0"/>
        <charset val="1"/>
      </rPr>
      <t xml:space="preserve">Forward PE</t>
    </r>
    <r>
      <rPr>
        <sz val="10"/>
        <rFont val="DejaVu Sans"/>
        <family val="2"/>
      </rPr>
      <t xml:space="preserve">（每一年當時的前瞻本益比）：拿不到，歷史分析師共識一般不留存。</t>
    </r>
  </si>
  <si>
    <t xml:space="preserve">年 與 季 分在哪裡</t>
  </si>
  <si>
    <r>
      <rPr>
        <sz val="10"/>
        <rFont val="DejaVu Sans"/>
        <family val="2"/>
      </rPr>
      <t xml:space="preserve">年度層 → 「年度檢視」：每一列＝一個完整財年，由 </t>
    </r>
    <r>
      <rPr>
        <sz val="10"/>
        <rFont val="Arial"/>
        <family val="0"/>
        <charset val="1"/>
      </rPr>
      <t xml:space="preserve">Raw_Q </t>
    </r>
    <r>
      <rPr>
        <sz val="10"/>
        <rFont val="DejaVu Sans"/>
        <family val="2"/>
      </rPr>
      <t xml:space="preserve">的季度資料 </t>
    </r>
    <r>
      <rPr>
        <sz val="10"/>
        <rFont val="Arial"/>
        <family val="0"/>
        <charset val="1"/>
      </rPr>
      <t xml:space="preserve">rollup </t>
    </r>
    <r>
      <rPr>
        <sz val="10"/>
        <rFont val="DejaVu Sans"/>
        <family val="2"/>
      </rPr>
      <t xml:space="preserve">而來。</t>
    </r>
  </si>
  <si>
    <r>
      <rPr>
        <sz val="10"/>
        <rFont val="DejaVu Sans"/>
        <family val="2"/>
      </rPr>
      <t xml:space="preserve">季度層 → 「季度檢視」：每一列＝一個財季，另有年 </t>
    </r>
    <r>
      <rPr>
        <sz val="10"/>
        <rFont val="Arial"/>
        <family val="0"/>
        <charset val="1"/>
      </rPr>
      <t xml:space="preserve">× </t>
    </r>
    <r>
      <rPr>
        <sz val="10"/>
        <rFont val="DejaVu Sans"/>
        <family val="2"/>
      </rPr>
      <t xml:space="preserve">季矩陣做季節可比的閱讀。</t>
    </r>
  </si>
  <si>
    <r>
      <rPr>
        <sz val="10"/>
        <rFont val="DejaVu Sans"/>
        <family val="2"/>
      </rPr>
      <t xml:space="preserve">橫向層 → 「</t>
    </r>
    <r>
      <rPr>
        <sz val="10"/>
        <rFont val="Arial"/>
        <family val="0"/>
        <charset val="1"/>
      </rPr>
      <t xml:space="preserve">Dashboard</t>
    </r>
    <r>
      <rPr>
        <sz val="10"/>
        <rFont val="DejaVu Sans"/>
        <family val="2"/>
      </rPr>
      <t xml:space="preserve">」：每一列＝一檔股票，用來跨標的比較與篩選。</t>
    </r>
  </si>
  <si>
    <r>
      <rPr>
        <sz val="10"/>
        <rFont val="DejaVu Sans"/>
        <family val="2"/>
      </rPr>
      <t xml:space="preserve">三層共用同一份 </t>
    </r>
    <r>
      <rPr>
        <sz val="10"/>
        <rFont val="Arial"/>
        <family val="0"/>
        <charset val="1"/>
      </rPr>
      <t xml:space="preserve">Raw_Q</t>
    </r>
    <r>
      <rPr>
        <sz val="10"/>
        <rFont val="DejaVu Sans"/>
        <family val="2"/>
      </rPr>
      <t xml:space="preserve">，年度值永遠等於該年四季加總，不會有兩套打架的資料。</t>
    </r>
  </si>
  <si>
    <t xml:space="preserve">加速度只做在季度層</t>
  </si>
  <si>
    <r>
      <rPr>
        <sz val="10"/>
        <rFont val="DejaVu Sans"/>
        <family val="2"/>
      </rPr>
      <t xml:space="preserve">季度成長率</t>
    </r>
    <r>
      <rPr>
        <sz val="10"/>
        <rFont val="Arial"/>
        <family val="0"/>
        <charset val="1"/>
      </rPr>
      <t xml:space="preserve">(QoQ) </t>
    </r>
    <r>
      <rPr>
        <sz val="10"/>
        <rFont val="DejaVu Sans"/>
        <family val="2"/>
      </rPr>
      <t xml:space="preserve">＝ 本季營收 </t>
    </r>
    <r>
      <rPr>
        <sz val="10"/>
        <rFont val="Arial"/>
        <family val="0"/>
        <charset val="1"/>
      </rPr>
      <t xml:space="preserve">÷ </t>
    </r>
    <r>
      <rPr>
        <sz val="10"/>
        <rFont val="DejaVu Sans"/>
        <family val="2"/>
      </rPr>
      <t xml:space="preserve">上一季營收 −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</si>
  <si>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加速度</t>
    </r>
    <r>
      <rPr>
        <sz val="10"/>
        <rFont val="Arial"/>
        <family val="0"/>
        <charset val="1"/>
      </rPr>
      <t xml:space="preserve">(pp) </t>
    </r>
    <r>
      <rPr>
        <sz val="10"/>
        <rFont val="DejaVu Sans"/>
        <family val="2"/>
      </rPr>
      <t xml:space="preserve">＝ 本季</t>
    </r>
    <r>
      <rPr>
        <sz val="10"/>
        <rFont val="Arial"/>
        <family val="0"/>
        <charset val="1"/>
      </rPr>
      <t xml:space="preserve">QoQ − </t>
    </r>
    <r>
      <rPr>
        <sz val="10"/>
        <rFont val="DejaVu Sans"/>
        <family val="2"/>
      </rPr>
      <t xml:space="preserve">上一季</t>
    </r>
    <r>
      <rPr>
        <sz val="10"/>
        <rFont val="Arial"/>
        <family val="0"/>
        <charset val="1"/>
      </rPr>
      <t xml:space="preserve">QoQ</t>
    </r>
    <r>
      <rPr>
        <sz val="10"/>
        <rFont val="DejaVu Sans"/>
        <family val="2"/>
      </rPr>
      <t xml:space="preserve">。字面上就是「這季成長率有沒有比上季快」。</t>
    </r>
  </si>
  <si>
    <r>
      <rPr>
        <sz val="10"/>
        <rFont val="DejaVu Sans"/>
        <family val="2"/>
      </rPr>
      <t xml:space="preserve">但這一欄會被季節性主宰：旺季 </t>
    </r>
    <r>
      <rPr>
        <sz val="10"/>
        <rFont val="Arial"/>
        <family val="0"/>
        <charset val="1"/>
      </rPr>
      <t xml:space="preserve">QoQ </t>
    </r>
    <r>
      <rPr>
        <sz val="10"/>
        <rFont val="DejaVu Sans"/>
        <family val="2"/>
      </rPr>
      <t xml:space="preserve">天生高、淡季天生低，每年在同一季重複同樣的震盪。</t>
    </r>
  </si>
  <si>
    <r>
      <rPr>
        <sz val="10"/>
        <rFont val="DejaVu Sans"/>
        <family val="2"/>
      </rPr>
      <t xml:space="preserve">同期加速度</t>
    </r>
    <r>
      <rPr>
        <sz val="10"/>
        <rFont val="Arial"/>
        <family val="0"/>
        <charset val="1"/>
      </rPr>
      <t xml:space="preserve">(pp) </t>
    </r>
    <r>
      <rPr>
        <sz val="10"/>
        <rFont val="DejaVu Sans"/>
        <family val="2"/>
      </rPr>
      <t xml:space="preserve">＝ 本季</t>
    </r>
    <r>
      <rPr>
        <sz val="10"/>
        <rFont val="Arial"/>
        <family val="0"/>
        <charset val="1"/>
      </rPr>
      <t xml:space="preserve">QoQ − </t>
    </r>
    <r>
      <rPr>
        <sz val="10"/>
        <rFont val="DejaVu Sans"/>
        <family val="2"/>
      </rPr>
      <t xml:space="preserve">去年同一財季的</t>
    </r>
    <r>
      <rPr>
        <sz val="10"/>
        <rFont val="Arial"/>
        <family val="0"/>
        <charset val="1"/>
      </rPr>
      <t xml:space="preserve">QoQ</t>
    </r>
    <r>
      <rPr>
        <sz val="10"/>
        <rFont val="DejaVu Sans"/>
        <family val="2"/>
      </rPr>
      <t xml:space="preserve">。一樣在比季度成長率，但基準換成</t>
    </r>
  </si>
  <si>
    <t xml:space="preserve">去年同一季，季節性自動抵消。實務上這一欄才有訊號，建議以它為主、加速度當參考。</t>
  </si>
  <si>
    <t xml:space="preserve">年度層刻意不放加速度：一年才一個點，訊號遲鈍到失去意義。</t>
  </si>
  <si>
    <t xml:space="preserve">口徑</t>
  </si>
  <si>
    <r>
      <rPr>
        <sz val="10"/>
        <rFont val="Arial"/>
        <family val="0"/>
        <charset val="1"/>
      </rPr>
      <t xml:space="preserve">EPS / PE / PEG / EPS</t>
    </r>
    <r>
      <rPr>
        <sz val="10"/>
        <rFont val="DejaVu Sans"/>
        <family val="2"/>
      </rPr>
      <t xml:space="preserve">成長 → </t>
    </r>
    <r>
      <rPr>
        <sz val="10"/>
        <rFont val="Arial"/>
        <family val="0"/>
        <charset val="1"/>
      </rPr>
      <t xml:space="preserve">Adjusted</t>
    </r>
    <r>
      <rPr>
        <sz val="10"/>
        <rFont val="DejaVu Sans"/>
        <family val="2"/>
      </rPr>
      <t xml:space="preserve">，與分析師預估和市場定價同口徑。</t>
    </r>
  </si>
  <si>
    <r>
      <rPr>
        <sz val="10"/>
        <rFont val="Arial"/>
        <family val="0"/>
        <charset val="1"/>
      </rPr>
      <t xml:space="preserve">ROE → </t>
    </r>
    <r>
      <rPr>
        <sz val="10"/>
        <rFont val="DejaVu Sans"/>
        <family val="2"/>
      </rPr>
      <t xml:space="preserve">分子用 </t>
    </r>
    <r>
      <rPr>
        <sz val="10"/>
        <rFont val="Arial"/>
        <family val="0"/>
        <charset val="1"/>
      </rPr>
      <t xml:space="preserve">adjusted EPS </t>
    </r>
    <r>
      <rPr>
        <sz val="10"/>
        <rFont val="DejaVu Sans"/>
        <family val="2"/>
      </rPr>
      <t xml:space="preserve">反推的淨利，分母用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股東權益（你選的口徑）。</t>
    </r>
  </si>
  <si>
    <r>
      <rPr>
        <sz val="10"/>
        <rFont val="DejaVu Sans"/>
        <family val="2"/>
      </rPr>
      <t xml:space="preserve">注意：這代表 </t>
    </r>
    <r>
      <rPr>
        <sz val="10"/>
        <rFont val="Arial"/>
        <family val="0"/>
        <charset val="1"/>
      </rPr>
      <t xml:space="preserve">ROE </t>
    </r>
    <r>
      <rPr>
        <sz val="10"/>
        <rFont val="DejaVu Sans"/>
        <family val="2"/>
      </rPr>
      <t xml:space="preserve">數字會與各大財經網站（多用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淨利）不同，這是刻意的。</t>
    </r>
  </si>
  <si>
    <t xml:space="preserve">顏色慣例</t>
  </si>
  <si>
    <t xml:space="preserve">藍字＝你手動輸入 ｜ 黑字＝公式 ｜ 綠字＝跨分頁連結 ｜ 黃底＝資料管線寫入區，請勿手改</t>
  </si>
  <si>
    <t xml:space="preserve">新增一檔股票</t>
  </si>
  <si>
    <r>
      <rPr>
        <sz val="10"/>
        <rFont val="Arial"/>
        <family val="0"/>
        <charset val="1"/>
      </rPr>
      <t xml:space="preserve">① Tickers </t>
    </r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2~21 </t>
    </r>
    <r>
      <rPr>
        <sz val="10"/>
        <rFont val="DejaVu Sans"/>
        <family val="2"/>
      </rPr>
      <t xml:space="preserve">列往下打一列 → ② 重跑資料管線 → ③ </t>
    </r>
    <r>
      <rPr>
        <sz val="10"/>
        <rFont val="Arial"/>
        <family val="0"/>
        <charset val="1"/>
      </rPr>
      <t xml:space="preserve">Excel </t>
    </r>
    <r>
      <rPr>
        <sz val="10"/>
        <rFont val="DejaVu Sans"/>
        <family val="2"/>
      </rPr>
      <t xml:space="preserve">按「資料 → 全部重新整理」</t>
    </r>
  </si>
  <si>
    <t xml:space="preserve">基本</t>
  </si>
  <si>
    <t xml:space="preserve">估值</t>
  </si>
  <si>
    <t xml:space="preserve">殖利率</t>
  </si>
  <si>
    <t xml:space="preserve">成長</t>
  </si>
  <si>
    <t xml:space="preserve">毛利率</t>
  </si>
  <si>
    <t xml:space="preserve">ROE</t>
  </si>
  <si>
    <t xml:space="preserve">預估</t>
  </si>
  <si>
    <t xml:space="preserve">Ticker</t>
  </si>
  <si>
    <t xml:space="preserve">公司</t>
  </si>
  <si>
    <t xml:space="preserve">等級</t>
  </si>
  <si>
    <t xml:space="preserve">股價</t>
  </si>
  <si>
    <t xml:space="preserve">PE_TTM</t>
  </si>
  <si>
    <t xml:space="preserve">PE Forward</t>
  </si>
  <si>
    <t xml:space="preserve">PEG_T</t>
  </si>
  <si>
    <t xml:space="preserve">PEG_F</t>
  </si>
  <si>
    <r>
      <rPr>
        <b val="true"/>
        <sz val="10"/>
        <color rgb="FFFFFFFF"/>
        <rFont val="DejaVu Sans"/>
        <family val="2"/>
      </rPr>
      <t xml:space="preserve">配息</t>
    </r>
    <r>
      <rPr>
        <b val="true"/>
        <sz val="10"/>
        <color rgb="FFFFFFFF"/>
        <rFont val="Arial"/>
        <family val="0"/>
        <charset val="1"/>
      </rPr>
      <t xml:space="preserve">YoY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</si>
  <si>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QoQ</t>
    </r>
  </si>
  <si>
    <r>
      <rPr>
        <b val="true"/>
        <sz val="10"/>
        <color rgb="FFFFFFFF"/>
        <rFont val="DejaVu Sans"/>
        <family val="2"/>
      </rPr>
      <t xml:space="preserve">上季</t>
    </r>
    <r>
      <rPr>
        <b val="true"/>
        <sz val="10"/>
        <color rgb="FFFFFFFF"/>
        <rFont val="Arial"/>
        <family val="0"/>
        <charset val="1"/>
      </rPr>
      <t xml:space="preserve">QoQ</t>
    </r>
  </si>
  <si>
    <r>
      <rPr>
        <b val="true"/>
        <sz val="10"/>
        <color rgb="FFFFFFFF"/>
        <rFont val="DejaVu Sans"/>
        <family val="2"/>
      </rPr>
      <t xml:space="preserve">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</si>
  <si>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t xml:space="preserve">動能判讀</t>
  </si>
  <si>
    <r>
      <rPr>
        <b val="true"/>
        <sz val="10"/>
        <color rgb="FFFFFFFF"/>
        <rFont val="DejaVu Sans"/>
        <family val="2"/>
      </rPr>
      <t xml:space="preserve">同期加速度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</si>
  <si>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YoY</t>
    </r>
  </si>
  <si>
    <t xml:space="preserve">EPS_YoY</t>
  </si>
  <si>
    <t xml:space="preserve">EPS_TTM_YoY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</si>
  <si>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年平均</t>
    </r>
  </si>
  <si>
    <r>
      <rPr>
        <b val="true"/>
        <sz val="10"/>
        <color rgb="FFFFFFFF"/>
        <rFont val="Arial"/>
        <family val="0"/>
        <charset val="1"/>
      </rPr>
      <t xml:space="preserve">vs5</t>
    </r>
    <r>
      <rPr>
        <b val="true"/>
        <sz val="10"/>
        <color rgb="FFFFFFFF"/>
        <rFont val="DejaVu Sans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(bps)</t>
    </r>
  </si>
  <si>
    <t xml:space="preserve">ΔGM_YoY(bps)</t>
  </si>
  <si>
    <t xml:space="preserve">ROE_TTM</t>
  </si>
  <si>
    <r>
      <rPr>
        <b val="true"/>
        <sz val="10"/>
        <color rgb="FFFFFFFF"/>
        <rFont val="Arial"/>
        <family val="0"/>
        <charset val="1"/>
      </rPr>
      <t xml:space="preserve">ROE_5</t>
    </r>
    <r>
      <rPr>
        <b val="true"/>
        <sz val="10"/>
        <color rgb="FFFFFFFF"/>
        <rFont val="DejaVu Sans"/>
        <family val="2"/>
      </rPr>
      <t xml:space="preserve">年平均</t>
    </r>
  </si>
  <si>
    <t xml:space="preserve">ROE Forward</t>
  </si>
  <si>
    <r>
      <rPr>
        <b val="true"/>
        <sz val="10"/>
        <color rgb="FFFFFFFF"/>
        <rFont val="DejaVu Sans"/>
        <family val="2"/>
      </rPr>
      <t xml:space="preserve">當季</t>
    </r>
    <r>
      <rPr>
        <b val="true"/>
        <sz val="10"/>
        <color rgb="FFFFFFFF"/>
        <rFont val="Arial"/>
        <family val="0"/>
        <charset val="1"/>
      </rPr>
      <t xml:space="preserve">EPS</t>
    </r>
    <r>
      <rPr>
        <b val="true"/>
        <sz val="10"/>
        <color rgb="FFFFFFFF"/>
        <rFont val="DejaVu Sans"/>
        <family val="2"/>
      </rPr>
      <t xml:space="preserve">預估</t>
    </r>
  </si>
  <si>
    <t xml:space="preserve">預估期別</t>
  </si>
  <si>
    <t xml:space="preserve">來源</t>
  </si>
  <si>
    <t xml:space="preserve">下次財報</t>
  </si>
  <si>
    <r>
      <rPr>
        <i val="true"/>
        <sz val="9"/>
        <color rgb="FF808080"/>
        <rFont val="DejaVu Sans"/>
        <family val="2"/>
      </rPr>
      <t xml:space="preserve">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＝ 最新季 </t>
    </r>
    <r>
      <rPr>
        <i val="true"/>
        <sz val="9"/>
        <color rgb="FF808080"/>
        <rFont val="Arial"/>
        <family val="0"/>
        <charset val="1"/>
      </rPr>
      <t xml:space="preserve">QoQ − </t>
    </r>
    <r>
      <rPr>
        <i val="true"/>
        <sz val="9"/>
        <color rgb="FF808080"/>
        <rFont val="DejaVu Sans"/>
        <family val="2"/>
      </rPr>
      <t xml:space="preserve">上一季 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。</t>
    </r>
    <r>
      <rPr>
        <i val="true"/>
        <sz val="9"/>
        <color rgb="FF808080"/>
        <rFont val="Arial"/>
        <family val="0"/>
        <charset val="1"/>
      </rPr>
      <t xml:space="preserve">QoQ </t>
    </r>
    <r>
      <rPr>
        <i val="true"/>
        <sz val="9"/>
        <color rgb="FF808080"/>
        <rFont val="DejaVu Sans"/>
        <family val="2"/>
      </rPr>
      <t xml:space="preserve">＝ 本季營收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DejaVu Sans"/>
        <family val="2"/>
      </rPr>
      <t xml:space="preserve">上一季營收 −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DejaVu Sans"/>
        <family val="2"/>
      </rPr>
      <t xml:space="preserve">（季度成長率）。正值代表這一季的成長速度比上一季快。</t>
    </r>
  </si>
  <si>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顯示 </t>
    </r>
    <r>
      <rPr>
        <i val="true"/>
        <sz val="9"/>
        <color rgb="FF808080"/>
        <rFont val="Arial"/>
        <family val="0"/>
        <charset val="1"/>
      </rPr>
      <t xml:space="preserve">N/M </t>
    </r>
    <r>
      <rPr>
        <i val="true"/>
        <sz val="9"/>
        <color rgb="FF808080"/>
        <rFont val="DejaVu Sans"/>
        <family val="2"/>
      </rPr>
      <t xml:space="preserve">代表股東權益為負（大量庫藏股或累積虧損），此時 </t>
    </r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沒有比較意義。殖利率顯示「不配息」代表該檔近四季沒有配息紀錄。</t>
    </r>
  </si>
  <si>
    <r>
      <rPr>
        <i val="true"/>
        <sz val="9"/>
        <color rgb="FF808080"/>
        <rFont val="DejaVu Sans"/>
        <family val="2"/>
      </rPr>
      <t xml:space="preserve">資料來源：</t>
    </r>
    <r>
      <rPr>
        <i val="true"/>
        <sz val="9"/>
        <color rgb="FF808080"/>
        <rFont val="Arial"/>
        <family val="0"/>
        <charset val="1"/>
      </rPr>
      <t xml:space="preserve">yfinance / yahooquery / Alpha Vantage / SEC EDGAR</t>
    </r>
  </si>
  <si>
    <t xml:space="preserve">個股卡</t>
  </si>
  <si>
    <t xml:space="preserve">選擇股票 →</t>
  </si>
  <si>
    <t xml:space="preserve">AAPL</t>
  </si>
  <si>
    <t xml:space="preserve">← 這個下拉同時驅動「年度檢視」與「季度檢視」兩頁</t>
  </si>
  <si>
    <t xml:space="preserve">分析師家數</t>
  </si>
  <si>
    <t xml:space="preserve">下次財報日</t>
  </si>
  <si>
    <t xml:space="preserve">資料日期</t>
  </si>
  <si>
    <r>
      <rPr>
        <b val="true"/>
        <sz val="11"/>
        <color rgb="FFFFFFFF"/>
        <rFont val="DejaVu Sans"/>
        <family val="2"/>
      </rPr>
      <t xml:space="preserve">估值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DejaVu Sans"/>
        <family val="2"/>
      </rPr>
      <t xml:space="preserve">殖利率</t>
    </r>
  </si>
  <si>
    <r>
      <rPr>
        <b val="true"/>
        <sz val="11"/>
        <color rgb="FFFFFFFF"/>
        <rFont val="DejaVu Sans"/>
        <family val="2"/>
      </rPr>
      <t xml:space="preserve">毛利率 </t>
    </r>
    <r>
      <rPr>
        <b val="true"/>
        <sz val="11"/>
        <color rgb="FFFFFFFF"/>
        <rFont val="Arial"/>
        <family val="0"/>
        <charset val="1"/>
      </rPr>
      <t xml:space="preserve">· ROE</t>
    </r>
  </si>
  <si>
    <r>
      <rPr>
        <sz val="10"/>
        <rFont val="DejaVu Sans"/>
        <family val="2"/>
      </rPr>
      <t xml:space="preserve">營收</t>
    </r>
    <r>
      <rPr>
        <sz val="10"/>
        <rFont val="Arial"/>
        <family val="0"/>
        <charset val="1"/>
      </rPr>
      <t xml:space="preserve">QoQ </t>
    </r>
    <r>
      <rPr>
        <sz val="10"/>
        <rFont val="DejaVu Sans"/>
        <family val="2"/>
      </rPr>
      <t xml:space="preserve">最新季</t>
    </r>
  </si>
  <si>
    <r>
      <rPr>
        <sz val="10"/>
        <rFont val="DejaVu Sans"/>
        <family val="2"/>
      </rPr>
      <t xml:space="preserve">毛利率</t>
    </r>
    <r>
      <rPr>
        <sz val="10"/>
        <rFont val="Arial"/>
        <family val="0"/>
        <charset val="1"/>
      </rPr>
      <t xml:space="preserve">_TTM</t>
    </r>
  </si>
  <si>
    <r>
      <rPr>
        <sz val="10"/>
        <rFont val="DejaVu Sans"/>
        <family val="2"/>
      </rPr>
      <t xml:space="preserve">  上一季 </t>
    </r>
    <r>
      <rPr>
        <sz val="10"/>
        <rFont val="Arial"/>
        <family val="0"/>
        <charset val="1"/>
      </rPr>
      <t xml:space="preserve">QoQ</t>
    </r>
  </si>
  <si>
    <r>
      <rPr>
        <sz val="10"/>
        <rFont val="Arial"/>
        <family val="0"/>
        <charset val="1"/>
      </rPr>
      <t xml:space="preserve">  5 </t>
    </r>
    <r>
      <rPr>
        <sz val="10"/>
        <rFont val="DejaVu Sans"/>
        <family val="2"/>
      </rPr>
      <t xml:space="preserve">年平均</t>
    </r>
  </si>
  <si>
    <r>
      <rPr>
        <sz val="10"/>
        <rFont val="DejaVu Sans"/>
        <family val="2"/>
      </rPr>
      <t xml:space="preserve">  加速度 </t>
    </r>
    <r>
      <rPr>
        <sz val="10"/>
        <rFont val="Arial"/>
        <family val="0"/>
        <charset val="1"/>
      </rPr>
      <t xml:space="preserve">(pp)</t>
    </r>
  </si>
  <si>
    <r>
      <rPr>
        <sz val="10"/>
        <rFont val="DejaVu Sans"/>
        <family val="2"/>
      </rPr>
      <t xml:space="preserve">  差距 </t>
    </r>
    <r>
      <rPr>
        <sz val="10"/>
        <rFont val="Arial"/>
        <family val="0"/>
        <charset val="1"/>
      </rPr>
      <t xml:space="preserve">(bps)</t>
    </r>
  </si>
  <si>
    <t xml:space="preserve">  動能判讀</t>
  </si>
  <si>
    <t xml:space="preserve">  ΔGM_YoY (bps)</t>
  </si>
  <si>
    <t xml:space="preserve">EPS_TTM (Adj)</t>
  </si>
  <si>
    <r>
      <rPr>
        <sz val="10"/>
        <rFont val="DejaVu Sans"/>
        <family val="2"/>
      </rPr>
      <t xml:space="preserve">  同期加速度 </t>
    </r>
    <r>
      <rPr>
        <sz val="10"/>
        <rFont val="Arial"/>
        <family val="0"/>
        <charset val="1"/>
      </rPr>
      <t xml:space="preserve">(pp)</t>
    </r>
  </si>
  <si>
    <t xml:space="preserve">EPS Forward</t>
  </si>
  <si>
    <r>
      <rPr>
        <sz val="10"/>
        <rFont val="DejaVu Sans"/>
        <family val="2"/>
      </rPr>
      <t xml:space="preserve">營收</t>
    </r>
    <r>
      <rPr>
        <sz val="10"/>
        <rFont val="Arial"/>
        <family val="0"/>
        <charset val="1"/>
      </rPr>
      <t xml:space="preserve">YoY </t>
    </r>
    <r>
      <rPr>
        <sz val="10"/>
        <rFont val="DejaVu Sans"/>
        <family val="2"/>
      </rPr>
      <t xml:space="preserve">最新季</t>
    </r>
  </si>
  <si>
    <r>
      <rPr>
        <sz val="10"/>
        <rFont val="Arial"/>
        <family val="0"/>
        <charset val="1"/>
      </rPr>
      <t xml:space="preserve">EPS_YoY </t>
    </r>
    <r>
      <rPr>
        <sz val="10"/>
        <rFont val="DejaVu Sans"/>
        <family val="2"/>
      </rPr>
      <t xml:space="preserve">最新季</t>
    </r>
  </si>
  <si>
    <r>
      <rPr>
        <sz val="10"/>
        <rFont val="DejaVu Sans"/>
        <family val="2"/>
      </rPr>
      <t xml:space="preserve">每股配息 </t>
    </r>
    <r>
      <rPr>
        <sz val="10"/>
        <rFont val="Arial"/>
        <family val="0"/>
        <charset val="1"/>
      </rPr>
      <t xml:space="preserve">TTM</t>
    </r>
  </si>
  <si>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成長</t>
    </r>
    <r>
      <rPr>
        <sz val="10"/>
        <rFont val="Arial"/>
        <family val="0"/>
        <charset val="1"/>
      </rPr>
      <t xml:space="preserve">_F (F1→F2)</t>
    </r>
  </si>
  <si>
    <t xml:space="preserve">每股淨值</t>
  </si>
  <si>
    <r>
      <rPr>
        <sz val="10"/>
        <rFont val="DejaVu Sans"/>
        <family val="2"/>
      </rPr>
      <t xml:space="preserve">當季</t>
    </r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預估</t>
    </r>
  </si>
  <si>
    <t xml:space="preserve">旗標</t>
  </si>
  <si>
    <r>
      <rPr>
        <b val="true"/>
        <sz val="14"/>
        <color rgb="FF1F3864"/>
        <rFont val="DejaVu Sans"/>
        <family val="2"/>
      </rPr>
      <t xml:space="preserve">年度檢視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近六財年逐年指標</t>
    </r>
  </si>
  <si>
    <t xml:space="preserve">股票</t>
  </si>
  <si>
    <r>
      <rPr>
        <i val="true"/>
        <sz val="9"/>
        <color rgb="FF808080"/>
        <rFont val="DejaVu Sans"/>
        <family val="2"/>
      </rPr>
      <t xml:space="preserve">← 在 </t>
    </r>
    <r>
      <rPr>
        <i val="true"/>
        <sz val="9"/>
        <color rgb="FF808080"/>
        <rFont val="Arial"/>
        <family val="0"/>
        <charset val="1"/>
      </rPr>
      <t xml:space="preserve">Stock_Card </t>
    </r>
    <r>
      <rPr>
        <i val="true"/>
        <sz val="9"/>
        <color rgb="FF808080"/>
        <rFont val="DejaVu Sans"/>
        <family val="2"/>
      </rPr>
      <t xml:space="preserve">換股票，這一頁與「季度檢視」同步。每一列＝一個完整財年，全部由 </t>
    </r>
    <r>
      <rPr>
        <i val="true"/>
        <sz val="9"/>
        <color rgb="FF808080"/>
        <rFont val="Arial"/>
        <family val="0"/>
        <charset val="1"/>
      </rPr>
      <t xml:space="preserve">Raw_Q </t>
    </r>
    <r>
      <rPr>
        <i val="true"/>
        <sz val="9"/>
        <color rgb="FF808080"/>
        <rFont val="DejaVu Sans"/>
        <family val="2"/>
      </rPr>
      <t xml:space="preserve">的季度資料 </t>
    </r>
    <r>
      <rPr>
        <i val="true"/>
        <sz val="9"/>
        <color rgb="FF808080"/>
        <rFont val="Arial"/>
        <family val="0"/>
        <charset val="1"/>
      </rPr>
      <t xml:space="preserve">rollup </t>
    </r>
    <r>
      <rPr>
        <i val="true"/>
        <sz val="9"/>
        <color rgb="FF808080"/>
        <rFont val="DejaVu Sans"/>
        <family val="2"/>
      </rPr>
      <t xml:space="preserve">而來。</t>
    </r>
  </si>
  <si>
    <t xml:space="preserve">財年</t>
  </si>
  <si>
    <t xml:space="preserve">實際季數</t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</si>
  <si>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($M)</t>
    </r>
  </si>
  <si>
    <r>
      <rPr>
        <b val="true"/>
        <sz val="10"/>
        <color rgb="FFFFFFFF"/>
        <rFont val="DejaVu Sans"/>
        <family val="2"/>
      </rPr>
      <t xml:space="preserve">毛利率變化</t>
    </r>
    <r>
      <rPr>
        <b val="true"/>
        <sz val="10"/>
        <color rgb="FFFFFFFF"/>
        <rFont val="Arial"/>
        <family val="0"/>
        <charset val="1"/>
      </rPr>
      <t xml:space="preserve">(bps)</t>
    </r>
  </si>
  <si>
    <t xml:space="preserve">EPS(Adj)</t>
  </si>
  <si>
    <t xml:space="preserve">EPS YoY</t>
  </si>
  <si>
    <t xml:space="preserve">每股配息</t>
  </si>
  <si>
    <t xml:space="preserve">年末股價</t>
  </si>
  <si>
    <t xml:space="preserve">PE</t>
  </si>
  <si>
    <r>
      <rPr>
        <i val="true"/>
        <sz val="9"/>
        <color rgb="FF808080"/>
        <rFont val="DejaVu Sans"/>
        <family val="2"/>
      </rPr>
      <t xml:space="preserve">↓ 以下兩列是「現況」，不是年度值。</t>
    </r>
    <r>
      <rPr>
        <i val="true"/>
        <sz val="9"/>
        <color rgb="FF808080"/>
        <rFont val="Arial"/>
        <family val="0"/>
        <charset val="1"/>
      </rPr>
      <t xml:space="preserve">F </t>
    </r>
    <r>
      <rPr>
        <i val="true"/>
        <sz val="9"/>
        <color rgb="FF808080"/>
        <rFont val="DejaVu Sans"/>
        <family val="2"/>
      </rPr>
      <t xml:space="preserve">欄在 </t>
    </r>
    <r>
      <rPr>
        <i val="true"/>
        <sz val="9"/>
        <color rgb="FF808080"/>
        <rFont val="Arial"/>
        <family val="0"/>
        <charset val="1"/>
      </rPr>
      <t xml:space="preserve">TTM </t>
    </r>
    <r>
      <rPr>
        <i val="true"/>
        <sz val="9"/>
        <color rgb="FF808080"/>
        <rFont val="DejaVu Sans"/>
        <family val="2"/>
      </rPr>
      <t xml:space="preserve">列是「最新毛利率 − </t>
    </r>
    <r>
      <rPr>
        <i val="true"/>
        <sz val="9"/>
        <color rgb="FF808080"/>
        <rFont val="Arial"/>
        <family val="0"/>
        <charset val="1"/>
      </rPr>
      <t xml:space="preserve">5 </t>
    </r>
    <r>
      <rPr>
        <i val="true"/>
        <sz val="9"/>
        <color rgb="FF808080"/>
        <rFont val="DejaVu Sans"/>
        <family val="2"/>
      </rPr>
      <t xml:space="preserve">年平均」。</t>
    </r>
  </si>
  <si>
    <r>
      <rPr>
        <b val="true"/>
        <sz val="11"/>
        <color rgb="FF1F3864"/>
        <rFont val="Arial"/>
        <family val="0"/>
        <charset val="1"/>
      </rPr>
      <t xml:space="preserve">TTM / </t>
    </r>
    <r>
      <rPr>
        <b val="true"/>
        <sz val="11"/>
        <color rgb="FF1F3864"/>
        <rFont val="DejaVu Sans"/>
        <family val="2"/>
      </rPr>
      <t xml:space="preserve">最新季</t>
    </r>
  </si>
  <si>
    <r>
      <rPr>
        <b val="true"/>
        <sz val="11"/>
        <color rgb="FF1F3864"/>
        <rFont val="Arial"/>
        <family val="0"/>
        <charset val="1"/>
      </rPr>
      <t xml:space="preserve">Forward</t>
    </r>
    <r>
      <rPr>
        <b val="true"/>
        <sz val="11"/>
        <color rgb="FF1F3864"/>
        <rFont val="DejaVu Sans"/>
        <family val="2"/>
      </rPr>
      <t xml:space="preserve">（分析師共識）</t>
    </r>
  </si>
  <si>
    <t xml:space="preserve">近五年摘要</t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</si>
  <si>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年平均毛利率</t>
    </r>
  </si>
  <si>
    <t xml:space="preserve">五個完整財年的算術平均</t>
  </si>
  <si>
    <r>
      <rPr>
        <sz val="10"/>
        <rFont val="DejaVu Sans"/>
        <family val="2"/>
      </rPr>
      <t xml:space="preserve">最新毛利率 −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 </t>
    </r>
    <r>
      <rPr>
        <sz val="10"/>
        <rFont val="Arial"/>
        <family val="0"/>
        <charset val="1"/>
      </rPr>
      <t xml:space="preserve">(bps)</t>
    </r>
  </si>
  <si>
    <t xml:space="preserve">正值＝目前毛利率高於五年常態</t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</si>
  <si>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 </t>
    </r>
    <r>
      <rPr>
        <sz val="10"/>
        <rFont val="Arial"/>
        <family val="0"/>
        <charset val="1"/>
      </rPr>
      <t xml:space="preserve">ROE</t>
    </r>
  </si>
  <si>
    <r>
      <rPr>
        <i val="true"/>
        <sz val="9"/>
        <color rgb="FF808080"/>
        <rFont val="Arial"/>
        <family val="0"/>
        <charset val="1"/>
      </rPr>
      <t xml:space="preserve">N/M </t>
    </r>
    <r>
      <rPr>
        <i val="true"/>
        <sz val="9"/>
        <color rgb="FF808080"/>
        <rFont val="DejaVu Sans"/>
        <family val="2"/>
      </rPr>
      <t xml:space="preserve">的年度會被自動略過</t>
    </r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</si>
  <si>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年平均殖利率</t>
    </r>
  </si>
  <si>
    <t xml:space="preserve">以各財年年末股價計算</t>
  </si>
  <si>
    <r>
      <rPr>
        <i val="true"/>
        <sz val="9"/>
        <color rgb="FF808080"/>
        <rFont val="Arial"/>
        <family val="0"/>
        <charset val="1"/>
      </rPr>
      <t xml:space="preserve">PE </t>
    </r>
    <r>
      <rPr>
        <i val="true"/>
        <sz val="9"/>
        <color rgb="FF808080"/>
        <rFont val="DejaVu Sans"/>
        <family val="2"/>
      </rPr>
      <t xml:space="preserve">與殖利率都用「該財年年末股價」計算，不是用今天的股價除歷史數字——後者沒有估值意義。這需要 </t>
    </r>
    <r>
      <rPr>
        <i val="true"/>
        <sz val="9"/>
        <color rgb="FF808080"/>
        <rFont val="Arial"/>
        <family val="0"/>
        <charset val="1"/>
      </rPr>
      <t xml:space="preserve">Raw_Q </t>
    </r>
    <r>
      <rPr>
        <i val="true"/>
        <sz val="9"/>
        <color rgb="FF808080"/>
        <rFont val="DejaVu Sans"/>
        <family val="2"/>
      </rPr>
      <t xml:space="preserve">的 </t>
    </r>
    <r>
      <rPr>
        <i val="true"/>
        <sz val="9"/>
        <color rgb="FF808080"/>
        <rFont val="Arial"/>
        <family val="0"/>
        <charset val="1"/>
      </rPr>
      <t xml:space="preserve">price_at_end </t>
    </r>
    <r>
      <rPr>
        <i val="true"/>
        <sz val="9"/>
        <color rgb="FF808080"/>
        <rFont val="DejaVu Sans"/>
        <family val="2"/>
      </rPr>
      <t xml:space="preserve">欄。</t>
    </r>
  </si>
  <si>
    <r>
      <rPr>
        <i val="true"/>
        <sz val="9"/>
        <color rgb="FF808080"/>
        <rFont val="Arial"/>
        <family val="0"/>
        <charset val="1"/>
      </rPr>
      <t xml:space="preserve">PEG_T </t>
    </r>
    <r>
      <rPr>
        <i val="true"/>
        <sz val="9"/>
        <color rgb="FF808080"/>
        <rFont val="DejaVu Sans"/>
        <family val="2"/>
      </rPr>
      <t xml:space="preserve">＝ 當年 </t>
    </r>
    <r>
      <rPr>
        <i val="true"/>
        <sz val="9"/>
        <color rgb="FF808080"/>
        <rFont val="Arial"/>
        <family val="0"/>
        <charset val="1"/>
      </rPr>
      <t xml:space="preserve">PE ÷ </t>
    </r>
    <r>
      <rPr>
        <i val="true"/>
        <sz val="9"/>
        <color rgb="FF808080"/>
        <rFont val="DejaVu Sans"/>
        <family val="2"/>
      </rPr>
      <t xml:space="preserve">當年 </t>
    </r>
    <r>
      <rPr>
        <i val="true"/>
        <sz val="9"/>
        <color rgb="FF808080"/>
        <rFont val="Arial"/>
        <family val="0"/>
        <charset val="1"/>
      </rPr>
      <t xml:space="preserve">EPS </t>
    </r>
    <r>
      <rPr>
        <i val="true"/>
        <sz val="9"/>
        <color rgb="FF808080"/>
        <rFont val="DejaVu Sans"/>
        <family val="2"/>
      </rPr>
      <t xml:space="preserve">成長率，是「市場當時為已實現成長付了多少」；</t>
    </r>
    <r>
      <rPr>
        <i val="true"/>
        <sz val="9"/>
        <color rgb="FF808080"/>
        <rFont val="Arial"/>
        <family val="0"/>
        <charset val="1"/>
      </rPr>
      <t xml:space="preserve">PEG_F </t>
    </r>
    <r>
      <rPr>
        <i val="true"/>
        <sz val="9"/>
        <color rgb="FF808080"/>
        <rFont val="DejaVu Sans"/>
        <family val="2"/>
      </rPr>
      <t xml:space="preserve">＝ 前瞻 </t>
    </r>
    <r>
      <rPr>
        <i val="true"/>
        <sz val="9"/>
        <color rgb="FF808080"/>
        <rFont val="Arial"/>
        <family val="0"/>
        <charset val="1"/>
      </rPr>
      <t xml:space="preserve">PE ÷ </t>
    </r>
    <r>
      <rPr>
        <i val="true"/>
        <sz val="9"/>
        <color rgb="FF808080"/>
        <rFont val="DejaVu Sans"/>
        <family val="2"/>
      </rPr>
      <t xml:space="preserve">預估成長率，才是估值指標。兩者不要混著解讀。</t>
    </r>
  </si>
  <si>
    <t xml:space="preserve">年度層刻意不放加速度——加速度是季度層的訊號（這一季有沒有比上一季快），放在年度層會遲鈍到失去意義。</t>
  </si>
  <si>
    <r>
      <rPr>
        <b val="true"/>
        <sz val="14"/>
        <color rgb="FF1F3864"/>
        <rFont val="DejaVu Sans"/>
        <family val="2"/>
      </rPr>
      <t xml:space="preserve">季度檢視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近 </t>
    </r>
    <r>
      <rPr>
        <b val="true"/>
        <sz val="14"/>
        <color rgb="FF1F3864"/>
        <rFont val="Arial"/>
        <family val="0"/>
        <charset val="1"/>
      </rPr>
      <t xml:space="preserve">12 </t>
    </r>
    <r>
      <rPr>
        <b val="true"/>
        <sz val="14"/>
        <color rgb="FF1F3864"/>
        <rFont val="DejaVu Sans"/>
        <family val="2"/>
      </rPr>
      <t xml:space="preserve">季 </t>
    </r>
    <r>
      <rPr>
        <b val="true"/>
        <sz val="14"/>
        <color rgb="FF1F3864"/>
        <rFont val="Arial"/>
        <family val="0"/>
        <charset val="1"/>
      </rPr>
      <t xml:space="preserve">+ </t>
    </r>
    <r>
      <rPr>
        <b val="true"/>
        <sz val="14"/>
        <color rgb="FF1F3864"/>
        <rFont val="DejaVu Sans"/>
        <family val="2"/>
      </rPr>
      <t xml:space="preserve">當季預估</t>
    </r>
  </si>
  <si>
    <r>
      <rPr>
        <i val="true"/>
        <sz val="9"/>
        <color rgb="FF808080"/>
        <rFont val="DejaVu Sans"/>
        <family val="2"/>
      </rPr>
      <t xml:space="preserve">← 與 </t>
    </r>
    <r>
      <rPr>
        <i val="true"/>
        <sz val="9"/>
        <color rgb="FF808080"/>
        <rFont val="Arial"/>
        <family val="0"/>
        <charset val="1"/>
      </rPr>
      <t xml:space="preserve">Stock_Card / </t>
    </r>
    <r>
      <rPr>
        <i val="true"/>
        <sz val="9"/>
        <color rgb="FF808080"/>
        <rFont val="DejaVu Sans"/>
        <family val="2"/>
      </rPr>
      <t xml:space="preserve">年度檢視 同步。每一列＝一個財季。加速度只做在這一層。</t>
    </r>
  </si>
  <si>
    <t xml:space="preserve">期別</t>
  </si>
  <si>
    <t xml:space="preserve">期末日</t>
  </si>
  <si>
    <r>
      <rPr>
        <b val="true"/>
        <sz val="10"/>
        <color rgb="FFFFFFFF"/>
        <rFont val="DejaVu Sans"/>
        <family val="2"/>
      </rPr>
      <t xml:space="preserve">上一季</t>
    </r>
    <r>
      <rPr>
        <b val="true"/>
        <sz val="10"/>
        <color rgb="FFFFFFFF"/>
        <rFont val="Arial"/>
        <family val="0"/>
        <charset val="1"/>
      </rPr>
      <t xml:space="preserve">QoQ</t>
    </r>
  </si>
  <si>
    <t xml:space="preserve">狀態</t>
  </si>
  <si>
    <r>
      <rPr>
        <i val="true"/>
        <sz val="9"/>
        <color rgb="FF808080"/>
        <rFont val="DejaVu Sans"/>
        <family val="2"/>
      </rPr>
      <t xml:space="preserve">營收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（季度成長率）＝ 本季營收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DejaVu Sans"/>
        <family val="2"/>
      </rPr>
      <t xml:space="preserve">上一季營收 −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DejaVu Sans"/>
        <family val="2"/>
      </rPr>
      <t xml:space="preserve">。加速度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＝ 本季</t>
    </r>
    <r>
      <rPr>
        <i val="true"/>
        <sz val="9"/>
        <color rgb="FF808080"/>
        <rFont val="Arial"/>
        <family val="0"/>
        <charset val="1"/>
      </rPr>
      <t xml:space="preserve">QoQ − </t>
    </r>
    <r>
      <rPr>
        <i val="true"/>
        <sz val="9"/>
        <color rgb="FF808080"/>
        <rFont val="DejaVu Sans"/>
        <family val="2"/>
      </rPr>
      <t xml:space="preserve">上一季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。注意：加速度是「成長率的變化」，不是營收的變化——營收在衰退但衰退幅度縮小時，加速度一樣是正的。「動能判讀」欄就是為了讓正負號不再誤導。</t>
    </r>
  </si>
  <si>
    <r>
      <rPr>
        <i val="true"/>
        <sz val="9"/>
        <color rgb="FF808080"/>
        <rFont val="DejaVu Sans"/>
        <family val="2"/>
      </rPr>
      <t xml:space="preserve">⚠ 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會被季節性主宰：旺季那一季 </t>
    </r>
    <r>
      <rPr>
        <i val="true"/>
        <sz val="9"/>
        <color rgb="FF808080"/>
        <rFont val="Arial"/>
        <family val="0"/>
        <charset val="1"/>
      </rPr>
      <t xml:space="preserve">QoQ </t>
    </r>
    <r>
      <rPr>
        <i val="true"/>
        <sz val="9"/>
        <color rgb="FF808080"/>
        <rFont val="DejaVu Sans"/>
        <family val="2"/>
      </rPr>
      <t xml:space="preserve">天生就高、淡季天生就低，所以這一欄每年會在同一季出現同樣的大幅震盪，那是季節性不是動能。同期加速度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＝ 本季</t>
    </r>
    <r>
      <rPr>
        <i val="true"/>
        <sz val="9"/>
        <color rgb="FF808080"/>
        <rFont val="Arial"/>
        <family val="0"/>
        <charset val="1"/>
      </rPr>
      <t xml:space="preserve">QoQ − </t>
    </r>
    <r>
      <rPr>
        <i val="true"/>
        <sz val="9"/>
        <color rgb="FF808080"/>
        <rFont val="DejaVu Sans"/>
        <family val="2"/>
      </rPr>
      <t xml:space="preserve">去年同一財季的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：一樣是在比「季度成長率」，但拿去年同一季當基準，季節性自動抵消，剩下的才是真正的動能變化。最後一列黃底＝當季預估。</t>
    </r>
  </si>
  <si>
    <t xml:space="preserve">以下兩張矩陣同一欄＝同一個財季。長條排列會把旺季誤讀成成長，排成矩陣才看得出季節性與真實趨勢。黃底斜體＝當季預估。</t>
  </si>
  <si>
    <r>
      <rPr>
        <b val="true"/>
        <sz val="11"/>
        <color rgb="FF1F3864"/>
        <rFont val="Arial"/>
        <family val="0"/>
        <charset val="1"/>
      </rPr>
      <t xml:space="preserve">EPS (Adjusted)  ·  </t>
    </r>
    <r>
      <rPr>
        <b val="true"/>
        <sz val="11"/>
        <color rgb="FF1F3864"/>
        <rFont val="DejaVu Sans"/>
        <family val="2"/>
      </rPr>
      <t xml:space="preserve">年 </t>
    </r>
    <r>
      <rPr>
        <b val="true"/>
        <sz val="11"/>
        <color rgb="FF1F3864"/>
        <rFont val="Arial"/>
        <family val="0"/>
        <charset val="1"/>
      </rPr>
      <t xml:space="preserve">× </t>
    </r>
    <r>
      <rPr>
        <b val="true"/>
        <sz val="11"/>
        <color rgb="FF1F3864"/>
        <rFont val="DejaVu Sans"/>
        <family val="2"/>
      </rPr>
      <t xml:space="preserve">季矩陣</t>
    </r>
  </si>
  <si>
    <t xml:space="preserve">Q1</t>
  </si>
  <si>
    <t xml:space="preserve">Q2</t>
  </si>
  <si>
    <t xml:space="preserve">Q3</t>
  </si>
  <si>
    <t xml:space="preserve">Q4</t>
  </si>
  <si>
    <r>
      <rPr>
        <b val="true"/>
        <sz val="10"/>
        <color rgb="FFFFFFFF"/>
        <rFont val="Arial"/>
        <family val="0"/>
        <charset val="1"/>
      </rPr>
      <t xml:space="preserve">FY </t>
    </r>
    <r>
      <rPr>
        <b val="true"/>
        <sz val="10"/>
        <color rgb="FFFFFFFF"/>
        <rFont val="DejaVu Sans"/>
        <family val="2"/>
      </rPr>
      <t xml:space="preserve">合計</t>
    </r>
  </si>
  <si>
    <t xml:space="preserve">FY YoY</t>
  </si>
  <si>
    <t xml:space="preserve">↓ 這張就是「每季營收成長率」，季節可比。</t>
  </si>
  <si>
    <r>
      <rPr>
        <b val="true"/>
        <sz val="11"/>
        <color rgb="FF1F3864"/>
        <rFont val="DejaVu Sans"/>
        <family val="2"/>
      </rPr>
      <t xml:space="preserve">營收 </t>
    </r>
    <r>
      <rPr>
        <b val="true"/>
        <sz val="11"/>
        <color rgb="FF1F3864"/>
        <rFont val="Arial"/>
        <family val="0"/>
        <charset val="1"/>
      </rPr>
      <t xml:space="preserve">YoY </t>
    </r>
    <r>
      <rPr>
        <b val="true"/>
        <sz val="11"/>
        <color rgb="FF1F3864"/>
        <rFont val="DejaVu Sans"/>
        <family val="2"/>
      </rPr>
      <t xml:space="preserve">成長率  </t>
    </r>
    <r>
      <rPr>
        <b val="true"/>
        <sz val="11"/>
        <color rgb="FF1F3864"/>
        <rFont val="Arial"/>
        <family val="0"/>
        <charset val="1"/>
      </rPr>
      <t xml:space="preserve">·  </t>
    </r>
    <r>
      <rPr>
        <b val="true"/>
        <sz val="11"/>
        <color rgb="FF1F3864"/>
        <rFont val="DejaVu Sans"/>
        <family val="2"/>
      </rPr>
      <t xml:space="preserve">年 </t>
    </r>
    <r>
      <rPr>
        <b val="true"/>
        <sz val="11"/>
        <color rgb="FF1F3864"/>
        <rFont val="Arial"/>
        <family val="0"/>
        <charset val="1"/>
      </rPr>
      <t xml:space="preserve">× </t>
    </r>
    <r>
      <rPr>
        <b val="true"/>
        <sz val="11"/>
        <color rgb="FF1F3864"/>
        <rFont val="DejaVu Sans"/>
        <family val="2"/>
      </rPr>
      <t xml:space="preserve">季矩陣</t>
    </r>
  </si>
  <si>
    <t xml:space="preserve">資料完整度儀表板</t>
  </si>
  <si>
    <t xml:space="preserve">ticker</t>
  </si>
  <si>
    <t xml:space="preserve">目標</t>
  </si>
  <si>
    <t xml:space="preserve">最舊季</t>
  </si>
  <si>
    <t xml:space="preserve">最新實際季</t>
  </si>
  <si>
    <t xml:space="preserve">當季預估期別</t>
  </si>
  <si>
    <r>
      <rPr>
        <b val="true"/>
        <sz val="10"/>
        <color rgb="FFFFFFFF"/>
        <rFont val="DejaVu Sans"/>
        <family val="2"/>
      </rPr>
      <t xml:space="preserve">距財報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</si>
  <si>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狀態欄告訴資料管線該做什麼：需補歷史 → 只抓缺的那幾季；待更新財報 → 只抓最新 </t>
    </r>
    <r>
      <rPr>
        <i val="true"/>
        <sz val="9"/>
        <color rgb="FF808080"/>
        <rFont val="Arial"/>
        <family val="0"/>
        <charset val="1"/>
      </rPr>
      <t xml:space="preserve">1~2 </t>
    </r>
    <r>
      <rPr>
        <i val="true"/>
        <sz val="9"/>
        <color rgb="FF808080"/>
        <rFont val="DejaVu Sans"/>
        <family val="2"/>
      </rPr>
      <t xml:space="preserve">季；</t>
    </r>
    <r>
      <rPr>
        <i val="true"/>
        <sz val="9"/>
        <color rgb="FF808080"/>
        <rFont val="Arial"/>
        <family val="0"/>
        <charset val="1"/>
      </rPr>
      <t xml:space="preserve">OK → </t>
    </r>
    <r>
      <rPr>
        <i val="true"/>
        <sz val="9"/>
        <color rgb="FF808080"/>
        <rFont val="DejaVu Sans"/>
        <family val="2"/>
      </rPr>
      <t xml:space="preserve">整檔跳過季度 </t>
    </r>
    <r>
      <rPr>
        <i val="true"/>
        <sz val="9"/>
        <color rgb="FF808080"/>
        <rFont val="Arial"/>
        <family val="0"/>
        <charset val="1"/>
      </rPr>
      <t xml:space="preserve">API</t>
    </r>
    <r>
      <rPr>
        <i val="true"/>
        <sz val="9"/>
        <color rgb="FF808080"/>
        <rFont val="DejaVu Sans"/>
        <family val="2"/>
      </rPr>
      <t xml:space="preserve">。這是增量更新省下絕大部分請求的關鍵。</t>
    </r>
  </si>
  <si>
    <t xml:space="preserve">公司名稱</t>
  </si>
  <si>
    <t xml:space="preserve">產業</t>
  </si>
  <si>
    <t xml:space="preserve">標籤</t>
  </si>
  <si>
    <t xml:space="preserve">加入日期</t>
  </si>
  <si>
    <t xml:space="preserve">備註</t>
  </si>
  <si>
    <t xml:space="preserve">Apple Inc.</t>
  </si>
  <si>
    <t xml:space="preserve">資訊科技硬體</t>
  </si>
  <si>
    <t xml:space="preserve">MSFT</t>
  </si>
  <si>
    <t xml:space="preserve">Microsoft Corporation</t>
  </si>
  <si>
    <t xml:space="preserve">軟體</t>
  </si>
  <si>
    <t xml:space="preserve">NVDA</t>
  </si>
  <si>
    <t xml:space="preserve">NVIDIA Corporation</t>
  </si>
  <si>
    <t xml:space="preserve">半導體</t>
  </si>
  <si>
    <t xml:space="preserve">AAOI</t>
  </si>
  <si>
    <t xml:space="preserve">Applied Optoelectronics, Inc.</t>
  </si>
  <si>
    <t xml:space="preserve">觀察</t>
  </si>
  <si>
    <t xml:space="preserve">CPO</t>
  </si>
  <si>
    <t xml:space="preserve">MRVL</t>
  </si>
  <si>
    <t xml:space="preserve">Marvell Technology, Inc.</t>
  </si>
  <si>
    <t xml:space="preserve">池子</t>
  </si>
  <si>
    <t xml:space="preserve">MU</t>
  </si>
  <si>
    <t xml:space="preserve">Micron Technology, Inc.</t>
  </si>
  <si>
    <t xml:space="preserve">TER</t>
  </si>
  <si>
    <t xml:space="preserve">Teradyne, Inc.</t>
  </si>
  <si>
    <t xml:space="preserve">半導體設備</t>
  </si>
  <si>
    <t xml:space="preserve">DELL</t>
  </si>
  <si>
    <t xml:space="preserve">Dell Technologies Inc.</t>
  </si>
  <si>
    <t xml:space="preserve">DIOD</t>
  </si>
  <si>
    <t xml:space="preserve">Diodes Incorporated</t>
  </si>
  <si>
    <t xml:space="preserve">CRWD</t>
  </si>
  <si>
    <t xml:space="preserve">CrowdStrike Holdings, Inc.</t>
  </si>
  <si>
    <t xml:space="preserve">NET</t>
  </si>
  <si>
    <t xml:space="preserve">Cloudflare, Inc.</t>
  </si>
  <si>
    <t xml:space="preserve">核心</t>
  </si>
  <si>
    <t xml:space="preserve">CEG</t>
  </si>
  <si>
    <t xml:space="preserve">Constellation Energy Corporation</t>
  </si>
  <si>
    <t xml:space="preserve">公用事業</t>
  </si>
  <si>
    <t xml:space="preserve">AMZN</t>
  </si>
  <si>
    <t xml:space="preserve">Amazon.com, Inc.</t>
  </si>
  <si>
    <t xml:space="preserve">電商</t>
  </si>
  <si>
    <t xml:space="preserve">GOOG</t>
  </si>
  <si>
    <t xml:space="preserve">Alphabet Inc.</t>
  </si>
  <si>
    <t xml:space="preserve">網路服務</t>
  </si>
  <si>
    <t xml:space="preserve">OKTA</t>
  </si>
  <si>
    <t xml:space="preserve">Okta, Inc.</t>
  </si>
  <si>
    <t xml:space="preserve">資安</t>
  </si>
  <si>
    <t xml:space="preserve">PLTR</t>
  </si>
  <si>
    <t xml:space="preserve">Palantir Technologies Inc.</t>
  </si>
  <si>
    <t xml:space="preserve">SMTC</t>
  </si>
  <si>
    <t xml:space="preserve">Semtech Corporation</t>
  </si>
  <si>
    <t xml:space="preserve">QCOM</t>
  </si>
  <si>
    <t xml:space="preserve">QUALCOMM Incorporated</t>
  </si>
  <si>
    <t xml:space="preserve">AVGO</t>
  </si>
  <si>
    <t xml:space="preserve">Broadcom Inc.</t>
  </si>
  <si>
    <t xml:space="preserve">FTNT</t>
  </si>
  <si>
    <t xml:space="preserve">Fortinet, Inc.</t>
  </si>
  <si>
    <r>
      <rPr>
        <i val="true"/>
        <sz val="9"/>
        <color rgb="FF808080"/>
        <rFont val="DejaVu Sans"/>
        <family val="2"/>
      </rPr>
      <t xml:space="preserve">↑ 藍字＝手動輸入。新增股票就在第 </t>
    </r>
    <r>
      <rPr>
        <i val="true"/>
        <sz val="9"/>
        <color rgb="FF808080"/>
        <rFont val="Arial"/>
        <family val="0"/>
        <charset val="1"/>
      </rPr>
      <t xml:space="preserve">2~21 </t>
    </r>
    <r>
      <rPr>
        <i val="true"/>
        <sz val="9"/>
        <color rgb="FF808080"/>
        <rFont val="DejaVu Sans"/>
        <family val="2"/>
      </rPr>
      <t xml:space="preserve">列往下打一列，其餘分頁全自動延伸。</t>
    </r>
  </si>
  <si>
    <t xml:space="preserve">period</t>
  </si>
  <si>
    <t xml:space="preserve">fy</t>
  </si>
  <si>
    <t xml:space="preserve">fq</t>
  </si>
  <si>
    <t xml:space="preserve">period_end</t>
  </si>
  <si>
    <t xml:space="preserve">is_est</t>
  </si>
  <si>
    <t xml:space="preserve">est_source</t>
  </si>
  <si>
    <t xml:space="preserve">eps_basis</t>
  </si>
  <si>
    <t xml:space="preserve">revenue ($M)</t>
  </si>
  <si>
    <t xml:space="preserve">gross_profit ($M)</t>
  </si>
  <si>
    <t xml:space="preserve">eps_diluted_adj</t>
  </si>
  <si>
    <t xml:space="preserve">shares_diluted (M)</t>
  </si>
  <si>
    <t xml:space="preserve">total_equity ($M)</t>
  </si>
  <si>
    <r>
      <rPr>
        <b val="true"/>
        <sz val="10"/>
        <color rgb="FFFFFFFF"/>
        <rFont val="Arial"/>
        <family val="0"/>
        <charset val="1"/>
      </rPr>
      <t xml:space="preserve">dps (</t>
    </r>
    <r>
      <rPr>
        <b val="true"/>
        <sz val="10"/>
        <color rgb="FFFFFFFF"/>
        <rFont val="DejaVu Sans"/>
        <family val="2"/>
      </rPr>
      <t xml:space="preserve">每股配息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</si>
  <si>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price_at_end</t>
  </si>
  <si>
    <t xml:space="preserve">seq</t>
  </si>
  <si>
    <t xml:space="preserve">key</t>
  </si>
  <si>
    <t xml:space="preserve">FY2026Q2</t>
  </si>
  <si>
    <t xml:space="preserve">N</t>
  </si>
  <si>
    <t xml:space="preserve">actual</t>
  </si>
  <si>
    <t xml:space="preserve">street</t>
  </si>
  <si>
    <t xml:space="preserve">AAOI|1</t>
  </si>
  <si>
    <t xml:space="preserve">FY2026Q1</t>
  </si>
  <si>
    <t xml:space="preserve">AAOI|2</t>
  </si>
  <si>
    <t xml:space="preserve">FY2025Q4</t>
  </si>
  <si>
    <t xml:space="preserve">AAOI|3</t>
  </si>
  <si>
    <t xml:space="preserve">FY2025Q3</t>
  </si>
  <si>
    <t xml:space="preserve">AAOI|4</t>
  </si>
  <si>
    <t xml:space="preserve">FY2025Q2</t>
  </si>
  <si>
    <t xml:space="preserve">AAOI|5</t>
  </si>
  <si>
    <t xml:space="preserve">FY2025Q1</t>
  </si>
  <si>
    <t xml:space="preserve">AAOI|6</t>
  </si>
  <si>
    <t xml:space="preserve">FY2024Q4</t>
  </si>
  <si>
    <t xml:space="preserve">AAOI|7</t>
  </si>
  <si>
    <t xml:space="preserve">FY2024Q3</t>
  </si>
  <si>
    <t xml:space="preserve">AAOI|8</t>
  </si>
  <si>
    <t xml:space="preserve">FY2024Q2</t>
  </si>
  <si>
    <t xml:space="preserve">AAOI|9</t>
  </si>
  <si>
    <t xml:space="preserve">FY2024Q1</t>
  </si>
  <si>
    <t xml:space="preserve">AAOI|10</t>
  </si>
  <si>
    <t xml:space="preserve">FY2023Q4</t>
  </si>
  <si>
    <t xml:space="preserve">AAOI|11</t>
  </si>
  <si>
    <t xml:space="preserve">FY2023Q3</t>
  </si>
  <si>
    <t xml:space="preserve">AAOI|12</t>
  </si>
  <si>
    <t xml:space="preserve">FY2023Q2</t>
  </si>
  <si>
    <t xml:space="preserve">AAOI|13</t>
  </si>
  <si>
    <t xml:space="preserve">FY2023Q1</t>
  </si>
  <si>
    <t xml:space="preserve">AAOI|14</t>
  </si>
  <si>
    <t xml:space="preserve">FY2022Q4</t>
  </si>
  <si>
    <t xml:space="preserve">AAOI|15</t>
  </si>
  <si>
    <t xml:space="preserve">FY2022Q3</t>
  </si>
  <si>
    <t xml:space="preserve">AAOI|16</t>
  </si>
  <si>
    <t xml:space="preserve">FY2022Q2</t>
  </si>
  <si>
    <t xml:space="preserve">AAOI|17</t>
  </si>
  <si>
    <t xml:space="preserve">FY2022Q1</t>
  </si>
  <si>
    <t xml:space="preserve">AAOI|18</t>
  </si>
  <si>
    <t xml:space="preserve">FY2021Q4</t>
  </si>
  <si>
    <t xml:space="preserve">AAOI|19</t>
  </si>
  <si>
    <t xml:space="preserve">FY2021Q3</t>
  </si>
  <si>
    <t xml:space="preserve">AAOI|20</t>
  </si>
  <si>
    <t xml:space="preserve">FY2021Q2</t>
  </si>
  <si>
    <t xml:space="preserve">AAOI|21</t>
  </si>
  <si>
    <t xml:space="preserve">FY2021Q1</t>
  </si>
  <si>
    <t xml:space="preserve">AAOI|22</t>
  </si>
  <si>
    <t xml:space="preserve">FY2020Q4</t>
  </si>
  <si>
    <t xml:space="preserve">AAOI|23</t>
  </si>
  <si>
    <t xml:space="preserve">FY2020Q3</t>
  </si>
  <si>
    <t xml:space="preserve">AAOI|24</t>
  </si>
  <si>
    <t xml:space="preserve">FY2026Q3</t>
  </si>
  <si>
    <t xml:space="preserve">AAPL|1</t>
  </si>
  <si>
    <t xml:space="preserve">AAPL|2</t>
  </si>
  <si>
    <t xml:space="preserve">AAPL|3</t>
  </si>
  <si>
    <t xml:space="preserve">AAPL|4</t>
  </si>
  <si>
    <t xml:space="preserve">AAPL|5</t>
  </si>
  <si>
    <t xml:space="preserve">AAPL|6</t>
  </si>
  <si>
    <t xml:space="preserve">AAPL|7</t>
  </si>
  <si>
    <t xml:space="preserve">AAPL|8</t>
  </si>
  <si>
    <t xml:space="preserve">AAPL|9</t>
  </si>
  <si>
    <t xml:space="preserve">AAPL|10</t>
  </si>
  <si>
    <t xml:space="preserve">AAPL|11</t>
  </si>
  <si>
    <t xml:space="preserve">AAPL|12</t>
  </si>
  <si>
    <t xml:space="preserve">AAPL|13</t>
  </si>
  <si>
    <t xml:space="preserve">AAPL|14</t>
  </si>
  <si>
    <t xml:space="preserve">AAPL|15</t>
  </si>
  <si>
    <t xml:space="preserve">AAPL|16</t>
  </si>
  <si>
    <t xml:space="preserve">AAPL|17</t>
  </si>
  <si>
    <t xml:space="preserve">AAPL|18</t>
  </si>
  <si>
    <t xml:space="preserve">AAPL|19</t>
  </si>
  <si>
    <t xml:space="preserve">AAPL|20</t>
  </si>
  <si>
    <t xml:space="preserve">AAPL|21</t>
  </si>
  <si>
    <t xml:space="preserve">AAPL|22</t>
  </si>
  <si>
    <t xml:space="preserve">AAPL|23</t>
  </si>
  <si>
    <t xml:space="preserve">AAPL|24</t>
  </si>
  <si>
    <t xml:space="preserve">AMZN|1</t>
  </si>
  <si>
    <t xml:space="preserve">AMZN|2</t>
  </si>
  <si>
    <t xml:space="preserve">AMZN|3</t>
  </si>
  <si>
    <t xml:space="preserve">AMZN|4</t>
  </si>
  <si>
    <t xml:space="preserve">AMZN|5</t>
  </si>
  <si>
    <t xml:space="preserve">AMZN|6</t>
  </si>
  <si>
    <t xml:space="preserve">AMZN|7</t>
  </si>
  <si>
    <t xml:space="preserve">AMZN|8</t>
  </si>
  <si>
    <t xml:space="preserve">AMZN|9</t>
  </si>
  <si>
    <t xml:space="preserve">AMZN|10</t>
  </si>
  <si>
    <t xml:space="preserve">AMZN|11</t>
  </si>
  <si>
    <t xml:space="preserve">AMZN|12</t>
  </si>
  <si>
    <t xml:space="preserve">AMZN|13</t>
  </si>
  <si>
    <t xml:space="preserve">AMZN|14</t>
  </si>
  <si>
    <t xml:space="preserve">AMZN|15</t>
  </si>
  <si>
    <t xml:space="preserve">AMZN|16</t>
  </si>
  <si>
    <t xml:space="preserve">AMZN|17</t>
  </si>
  <si>
    <t xml:space="preserve">AMZN|18</t>
  </si>
  <si>
    <t xml:space="preserve">AMZN|19</t>
  </si>
  <si>
    <t xml:space="preserve">AMZN|20</t>
  </si>
  <si>
    <t xml:space="preserve">AMZN|21</t>
  </si>
  <si>
    <t xml:space="preserve">AMZN|22</t>
  </si>
  <si>
    <t xml:space="preserve">AMZN|23</t>
  </si>
  <si>
    <t xml:space="preserve">AMZN|24</t>
  </si>
  <si>
    <t xml:space="preserve">AVGO|1</t>
  </si>
  <si>
    <t xml:space="preserve">AVGO|2</t>
  </si>
  <si>
    <t xml:space="preserve">AVGO|3</t>
  </si>
  <si>
    <t xml:space="preserve">AVGO|4</t>
  </si>
  <si>
    <t xml:space="preserve">AVGO|5</t>
  </si>
  <si>
    <t xml:space="preserve">AVGO|6</t>
  </si>
  <si>
    <t xml:space="preserve">AVGO|7</t>
  </si>
  <si>
    <t xml:space="preserve">AVGO|8</t>
  </si>
  <si>
    <t xml:space="preserve">AVGO|9</t>
  </si>
  <si>
    <t xml:space="preserve">AVGO|10</t>
  </si>
  <si>
    <t xml:space="preserve">AVGO|11</t>
  </si>
  <si>
    <t xml:space="preserve">AVGO|12</t>
  </si>
  <si>
    <t xml:space="preserve">AVGO|13</t>
  </si>
  <si>
    <t xml:space="preserve">AVGO|14</t>
  </si>
  <si>
    <t xml:space="preserve">AVGO|15</t>
  </si>
  <si>
    <t xml:space="preserve">AVGO|16</t>
  </si>
  <si>
    <t xml:space="preserve">AVGO|17</t>
  </si>
  <si>
    <t xml:space="preserve">AVGO|18</t>
  </si>
  <si>
    <t xml:space="preserve">AVGO|19</t>
  </si>
  <si>
    <t xml:space="preserve">AVGO|20</t>
  </si>
  <si>
    <t xml:space="preserve">AVGO|21</t>
  </si>
  <si>
    <t xml:space="preserve">AVGO|22</t>
  </si>
  <si>
    <t xml:space="preserve">AVGO|23</t>
  </si>
  <si>
    <t xml:space="preserve">AVGO|24</t>
  </si>
  <si>
    <t xml:space="preserve">CEG|1</t>
  </si>
  <si>
    <t xml:space="preserve">CEG|2</t>
  </si>
  <si>
    <t xml:space="preserve">CEG|3</t>
  </si>
  <si>
    <t xml:space="preserve">CEG|4</t>
  </si>
  <si>
    <t xml:space="preserve">CEG|5</t>
  </si>
  <si>
    <t xml:space="preserve">CEG|6</t>
  </si>
  <si>
    <t xml:space="preserve">CEG|7</t>
  </si>
  <si>
    <t xml:space="preserve">CEG|8</t>
  </si>
  <si>
    <t xml:space="preserve">CEG|9</t>
  </si>
  <si>
    <t xml:space="preserve">CEG|10</t>
  </si>
  <si>
    <t xml:space="preserve">CEG|11</t>
  </si>
  <si>
    <t xml:space="preserve">CEG|12</t>
  </si>
  <si>
    <t xml:space="preserve">CEG|13</t>
  </si>
  <si>
    <t xml:space="preserve">CEG|14</t>
  </si>
  <si>
    <t xml:space="preserve">CEG|15</t>
  </si>
  <si>
    <t xml:space="preserve">CEG|16</t>
  </si>
  <si>
    <t xml:space="preserve">CEG|17</t>
  </si>
  <si>
    <t xml:space="preserve">CEG|18</t>
  </si>
  <si>
    <t xml:space="preserve">CEG|19</t>
  </si>
  <si>
    <t xml:space="preserve">CEG|20</t>
  </si>
  <si>
    <t xml:space="preserve">CEG|21</t>
  </si>
  <si>
    <t xml:space="preserve">CEG|22</t>
  </si>
  <si>
    <t xml:space="preserve">CEG|23</t>
  </si>
  <si>
    <t xml:space="preserve">CEG|24</t>
  </si>
  <si>
    <t xml:space="preserve">FY2027Q2</t>
  </si>
  <si>
    <t xml:space="preserve">CRWD|1</t>
  </si>
  <si>
    <t xml:space="preserve">FY2027Q1</t>
  </si>
  <si>
    <t xml:space="preserve">CRWD|2</t>
  </si>
  <si>
    <t xml:space="preserve">FY2026Q4</t>
  </si>
  <si>
    <t xml:space="preserve">CRWD|3</t>
  </si>
  <si>
    <t xml:space="preserve">CRWD|4</t>
  </si>
  <si>
    <t xml:space="preserve">CRWD|5</t>
  </si>
  <si>
    <t xml:space="preserve">CRWD|6</t>
  </si>
  <si>
    <t xml:space="preserve">CRWD|7</t>
  </si>
  <si>
    <t xml:space="preserve">CRWD|8</t>
  </si>
  <si>
    <t xml:space="preserve">CRWD|9</t>
  </si>
  <si>
    <t xml:space="preserve">CRWD|10</t>
  </si>
  <si>
    <t xml:space="preserve">CRWD|11</t>
  </si>
  <si>
    <t xml:space="preserve">CRWD|12</t>
  </si>
  <si>
    <t xml:space="preserve">CRWD|13</t>
  </si>
  <si>
    <t xml:space="preserve">CRWD|14</t>
  </si>
  <si>
    <t xml:space="preserve">CRWD|15</t>
  </si>
  <si>
    <t xml:space="preserve">CRWD|16</t>
  </si>
  <si>
    <t xml:space="preserve">CRWD|17</t>
  </si>
  <si>
    <t xml:space="preserve">CRWD|18</t>
  </si>
  <si>
    <t xml:space="preserve">CRWD|19</t>
  </si>
  <si>
    <t xml:space="preserve">CRWD|20</t>
  </si>
  <si>
    <t xml:space="preserve">CRWD|21</t>
  </si>
  <si>
    <t xml:space="preserve">CRWD|22</t>
  </si>
  <si>
    <t xml:space="preserve">CRWD|23</t>
  </si>
  <si>
    <t xml:space="preserve">CRWD|24</t>
  </si>
  <si>
    <t xml:space="preserve">DELL|1</t>
  </si>
  <si>
    <t xml:space="preserve">DELL|2</t>
  </si>
  <si>
    <t xml:space="preserve">DELL|3</t>
  </si>
  <si>
    <t xml:space="preserve">DELL|4</t>
  </si>
  <si>
    <t xml:space="preserve">DELL|5</t>
  </si>
  <si>
    <t xml:space="preserve">DELL|6</t>
  </si>
  <si>
    <t xml:space="preserve">DELL|7</t>
  </si>
  <si>
    <t xml:space="preserve">DELL|8</t>
  </si>
  <si>
    <t xml:space="preserve">DELL|9</t>
  </si>
  <si>
    <t xml:space="preserve">DELL|10</t>
  </si>
  <si>
    <t xml:space="preserve">DELL|11</t>
  </si>
  <si>
    <t xml:space="preserve">DELL|12</t>
  </si>
  <si>
    <t xml:space="preserve">DELL|13</t>
  </si>
  <si>
    <t xml:space="preserve">DELL|14</t>
  </si>
  <si>
    <t xml:space="preserve">DELL|15</t>
  </si>
  <si>
    <t xml:space="preserve">DELL|16</t>
  </si>
  <si>
    <t xml:space="preserve">DELL|17</t>
  </si>
  <si>
    <t xml:space="preserve">DELL|18</t>
  </si>
  <si>
    <t xml:space="preserve">DELL|19</t>
  </si>
  <si>
    <t xml:space="preserve">DELL|20</t>
  </si>
  <si>
    <t xml:space="preserve">DELL|21</t>
  </si>
  <si>
    <t xml:space="preserve">DELL|22</t>
  </si>
  <si>
    <t xml:space="preserve">DELL|23</t>
  </si>
  <si>
    <t xml:space="preserve">DELL|24</t>
  </si>
  <si>
    <t xml:space="preserve">DIOD|1</t>
  </si>
  <si>
    <t xml:space="preserve">DIOD|2</t>
  </si>
  <si>
    <t xml:space="preserve">DIOD|3</t>
  </si>
  <si>
    <t xml:space="preserve">DIOD|4</t>
  </si>
  <si>
    <t xml:space="preserve">DIOD|5</t>
  </si>
  <si>
    <t xml:space="preserve">DIOD|6</t>
  </si>
  <si>
    <t xml:space="preserve">DIOD|7</t>
  </si>
  <si>
    <t xml:space="preserve">DIOD|8</t>
  </si>
  <si>
    <t xml:space="preserve">DIOD|9</t>
  </si>
  <si>
    <t xml:space="preserve">DIOD|10</t>
  </si>
  <si>
    <t xml:space="preserve">DIOD|11</t>
  </si>
  <si>
    <t xml:space="preserve">DIOD|12</t>
  </si>
  <si>
    <t xml:space="preserve">DIOD|13</t>
  </si>
  <si>
    <t xml:space="preserve">DIOD|14</t>
  </si>
  <si>
    <t xml:space="preserve">DIOD|15</t>
  </si>
  <si>
    <t xml:space="preserve">DIOD|16</t>
  </si>
  <si>
    <t xml:space="preserve">DIOD|17</t>
  </si>
  <si>
    <t xml:space="preserve">DIOD|18</t>
  </si>
  <si>
    <t xml:space="preserve">DIOD|19</t>
  </si>
  <si>
    <t xml:space="preserve">DIOD|20</t>
  </si>
  <si>
    <t xml:space="preserve">DIOD|21</t>
  </si>
  <si>
    <t xml:space="preserve">DIOD|22</t>
  </si>
  <si>
    <t xml:space="preserve">DIOD|23</t>
  </si>
  <si>
    <t xml:space="preserve">DIOD|24</t>
  </si>
  <si>
    <t xml:space="preserve">FTNT|1</t>
  </si>
  <si>
    <t xml:space="preserve">FTNT|2</t>
  </si>
  <si>
    <t xml:space="preserve">FTNT|3</t>
  </si>
  <si>
    <t xml:space="preserve">FTNT|4</t>
  </si>
  <si>
    <t xml:space="preserve">FTNT|5</t>
  </si>
  <si>
    <t xml:space="preserve">FTNT|6</t>
  </si>
  <si>
    <t xml:space="preserve">FTNT|7</t>
  </si>
  <si>
    <t xml:space="preserve">FTNT|8</t>
  </si>
  <si>
    <t xml:space="preserve">FTNT|9</t>
  </si>
  <si>
    <t xml:space="preserve">FTNT|10</t>
  </si>
  <si>
    <t xml:space="preserve">FTNT|11</t>
  </si>
  <si>
    <t xml:space="preserve">FTNT|12</t>
  </si>
  <si>
    <t xml:space="preserve">FTNT|13</t>
  </si>
  <si>
    <t xml:space="preserve">FTNT|14</t>
  </si>
  <si>
    <t xml:space="preserve">FTNT|15</t>
  </si>
  <si>
    <t xml:space="preserve">FTNT|16</t>
  </si>
  <si>
    <t xml:space="preserve">FTNT|17</t>
  </si>
  <si>
    <t xml:space="preserve">FTNT|18</t>
  </si>
  <si>
    <t xml:space="preserve">FTNT|19</t>
  </si>
  <si>
    <t xml:space="preserve">FTNT|20</t>
  </si>
  <si>
    <t xml:space="preserve">FTNT|21</t>
  </si>
  <si>
    <t xml:space="preserve">FTNT|22</t>
  </si>
  <si>
    <t xml:space="preserve">FTNT|23</t>
  </si>
  <si>
    <t xml:space="preserve">FTNT|24</t>
  </si>
  <si>
    <t xml:space="preserve">GOOG|1</t>
  </si>
  <si>
    <t xml:space="preserve">GOOG|2</t>
  </si>
  <si>
    <t xml:space="preserve">GOOG|3</t>
  </si>
  <si>
    <t xml:space="preserve">GOOG|4</t>
  </si>
  <si>
    <t xml:space="preserve">GOOG|5</t>
  </si>
  <si>
    <t xml:space="preserve">GOOG|6</t>
  </si>
  <si>
    <t xml:space="preserve">GOOG|7</t>
  </si>
  <si>
    <t xml:space="preserve">GOOG|8</t>
  </si>
  <si>
    <t xml:space="preserve">GOOG|9</t>
  </si>
  <si>
    <t xml:space="preserve">GOOG|10</t>
  </si>
  <si>
    <t xml:space="preserve">GOOG|11</t>
  </si>
  <si>
    <t xml:space="preserve">GOOG|12</t>
  </si>
  <si>
    <t xml:space="preserve">GOOG|13</t>
  </si>
  <si>
    <t xml:space="preserve">GOOG|14</t>
  </si>
  <si>
    <t xml:space="preserve">GOOG|15</t>
  </si>
  <si>
    <t xml:space="preserve">GOOG|16</t>
  </si>
  <si>
    <t xml:space="preserve">GOOG|17</t>
  </si>
  <si>
    <t xml:space="preserve">GOOG|18</t>
  </si>
  <si>
    <t xml:space="preserve">GOOG|19</t>
  </si>
  <si>
    <t xml:space="preserve">GOOG|20</t>
  </si>
  <si>
    <t xml:space="preserve">GOOG|21</t>
  </si>
  <si>
    <t xml:space="preserve">GOOG|22</t>
  </si>
  <si>
    <t xml:space="preserve">GOOG|23</t>
  </si>
  <si>
    <t xml:space="preserve">GOOG|24</t>
  </si>
  <si>
    <t xml:space="preserve">MRVL|1</t>
  </si>
  <si>
    <t xml:space="preserve">MRVL|2</t>
  </si>
  <si>
    <t xml:space="preserve">MRVL|3</t>
  </si>
  <si>
    <t xml:space="preserve">MRVL|4</t>
  </si>
  <si>
    <t xml:space="preserve">MRVL|5</t>
  </si>
  <si>
    <t xml:space="preserve">MRVL|6</t>
  </si>
  <si>
    <t xml:space="preserve">MRVL|7</t>
  </si>
  <si>
    <t xml:space="preserve">MRVL|8</t>
  </si>
  <si>
    <t xml:space="preserve">MRVL|9</t>
  </si>
  <si>
    <t xml:space="preserve">MRVL|10</t>
  </si>
  <si>
    <t xml:space="preserve">MRVL|11</t>
  </si>
  <si>
    <t xml:space="preserve">MRVL|12</t>
  </si>
  <si>
    <t xml:space="preserve">MRVL|13</t>
  </si>
  <si>
    <t xml:space="preserve">MRVL|14</t>
  </si>
  <si>
    <t xml:space="preserve">MRVL|15</t>
  </si>
  <si>
    <t xml:space="preserve">MRVL|16</t>
  </si>
  <si>
    <t xml:space="preserve">MRVL|17</t>
  </si>
  <si>
    <t xml:space="preserve">MRVL|18</t>
  </si>
  <si>
    <t xml:space="preserve">MRVL|19</t>
  </si>
  <si>
    <t xml:space="preserve">MRVL|20</t>
  </si>
  <si>
    <t xml:space="preserve">MRVL|21</t>
  </si>
  <si>
    <t xml:space="preserve">MRVL|22</t>
  </si>
  <si>
    <t xml:space="preserve">MRVL|23</t>
  </si>
  <si>
    <t xml:space="preserve">MRVL|24</t>
  </si>
  <si>
    <t xml:space="preserve">MSFT|1</t>
  </si>
  <si>
    <t xml:space="preserve">MSFT|2</t>
  </si>
  <si>
    <t xml:space="preserve">MSFT|3</t>
  </si>
  <si>
    <t xml:space="preserve">MSFT|4</t>
  </si>
  <si>
    <t xml:space="preserve">MSFT|5</t>
  </si>
  <si>
    <t xml:space="preserve">MSFT|6</t>
  </si>
  <si>
    <t xml:space="preserve">MSFT|7</t>
  </si>
  <si>
    <t xml:space="preserve">MSFT|8</t>
  </si>
  <si>
    <t xml:space="preserve">MSFT|9</t>
  </si>
  <si>
    <t xml:space="preserve">MSFT|10</t>
  </si>
  <si>
    <t xml:space="preserve">MSFT|11</t>
  </si>
  <si>
    <t xml:space="preserve">MSFT|12</t>
  </si>
  <si>
    <t xml:space="preserve">MSFT|13</t>
  </si>
  <si>
    <t xml:space="preserve">MSFT|14</t>
  </si>
  <si>
    <t xml:space="preserve">MSFT|15</t>
  </si>
  <si>
    <t xml:space="preserve">MSFT|16</t>
  </si>
  <si>
    <t xml:space="preserve">MSFT|17</t>
  </si>
  <si>
    <t xml:space="preserve">MSFT|18</t>
  </si>
  <si>
    <t xml:space="preserve">MSFT|19</t>
  </si>
  <si>
    <t xml:space="preserve">MSFT|20</t>
  </si>
  <si>
    <t xml:space="preserve">MSFT|21</t>
  </si>
  <si>
    <t xml:space="preserve">MSFT|22</t>
  </si>
  <si>
    <t xml:space="preserve">MSFT|23</t>
  </si>
  <si>
    <t xml:space="preserve">MSFT|24</t>
  </si>
  <si>
    <t xml:space="preserve">MU|1</t>
  </si>
  <si>
    <t xml:space="preserve">MU|2</t>
  </si>
  <si>
    <t xml:space="preserve">MU|3</t>
  </si>
  <si>
    <t xml:space="preserve">MU|4</t>
  </si>
  <si>
    <t xml:space="preserve">MU|5</t>
  </si>
  <si>
    <t xml:space="preserve">MU|6</t>
  </si>
  <si>
    <t xml:space="preserve">MU|7</t>
  </si>
  <si>
    <t xml:space="preserve">MU|8</t>
  </si>
  <si>
    <t xml:space="preserve">MU|9</t>
  </si>
  <si>
    <t xml:space="preserve">MU|10</t>
  </si>
  <si>
    <t xml:space="preserve">MU|11</t>
  </si>
  <si>
    <t xml:space="preserve">MU|12</t>
  </si>
  <si>
    <t xml:space="preserve">MU|13</t>
  </si>
  <si>
    <t xml:space="preserve">MU|14</t>
  </si>
  <si>
    <t xml:space="preserve">MU|15</t>
  </si>
  <si>
    <t xml:space="preserve">MU|16</t>
  </si>
  <si>
    <t xml:space="preserve">MU|17</t>
  </si>
  <si>
    <t xml:space="preserve">MU|18</t>
  </si>
  <si>
    <t xml:space="preserve">MU|19</t>
  </si>
  <si>
    <t xml:space="preserve">MU|20</t>
  </si>
  <si>
    <t xml:space="preserve">MU|21</t>
  </si>
  <si>
    <t xml:space="preserve">MU|22</t>
  </si>
  <si>
    <t xml:space="preserve">MU|23</t>
  </si>
  <si>
    <t xml:space="preserve">MU|24</t>
  </si>
  <si>
    <t xml:space="preserve">NET|1</t>
  </si>
  <si>
    <t xml:space="preserve">NET|2</t>
  </si>
  <si>
    <t xml:space="preserve">NET|3</t>
  </si>
  <si>
    <t xml:space="preserve">NET|4</t>
  </si>
  <si>
    <t xml:space="preserve">NET|5</t>
  </si>
  <si>
    <t xml:space="preserve">NET|6</t>
  </si>
  <si>
    <t xml:space="preserve">NET|7</t>
  </si>
  <si>
    <t xml:space="preserve">NET|8</t>
  </si>
  <si>
    <t xml:space="preserve">NET|9</t>
  </si>
  <si>
    <t xml:space="preserve">NET|10</t>
  </si>
  <si>
    <t xml:space="preserve">NET|11</t>
  </si>
  <si>
    <t xml:space="preserve">NET|12</t>
  </si>
  <si>
    <t xml:space="preserve">NET|13</t>
  </si>
  <si>
    <t xml:space="preserve">NET|14</t>
  </si>
  <si>
    <t xml:space="preserve">NET|15</t>
  </si>
  <si>
    <t xml:space="preserve">NET|16</t>
  </si>
  <si>
    <t xml:space="preserve">NET|17</t>
  </si>
  <si>
    <t xml:space="preserve">NET|18</t>
  </si>
  <si>
    <t xml:space="preserve">NET|19</t>
  </si>
  <si>
    <t xml:space="preserve">NET|20</t>
  </si>
  <si>
    <t xml:space="preserve">NET|21</t>
  </si>
  <si>
    <t xml:space="preserve">NET|22</t>
  </si>
  <si>
    <t xml:space="preserve">NET|23</t>
  </si>
  <si>
    <t xml:space="preserve">NET|24</t>
  </si>
  <si>
    <t xml:space="preserve">NVDA|1</t>
  </si>
  <si>
    <t xml:space="preserve">NVDA|2</t>
  </si>
  <si>
    <t xml:space="preserve">NVDA|3</t>
  </si>
  <si>
    <t xml:space="preserve">NVDA|4</t>
  </si>
  <si>
    <t xml:space="preserve">NVDA|5</t>
  </si>
  <si>
    <t xml:space="preserve">NVDA|6</t>
  </si>
  <si>
    <t xml:space="preserve">NVDA|7</t>
  </si>
  <si>
    <t xml:space="preserve">NVDA|8</t>
  </si>
  <si>
    <t xml:space="preserve">NVDA|9</t>
  </si>
  <si>
    <t xml:space="preserve">NVDA|10</t>
  </si>
  <si>
    <t xml:space="preserve">NVDA|11</t>
  </si>
  <si>
    <t xml:space="preserve">NVDA|12</t>
  </si>
  <si>
    <t xml:space="preserve">NVDA|13</t>
  </si>
  <si>
    <t xml:space="preserve">NVDA|14</t>
  </si>
  <si>
    <t xml:space="preserve">NVDA|15</t>
  </si>
  <si>
    <t xml:space="preserve">NVDA|16</t>
  </si>
  <si>
    <t xml:space="preserve">NVDA|17</t>
  </si>
  <si>
    <t xml:space="preserve">NVDA|18</t>
  </si>
  <si>
    <t xml:space="preserve">NVDA|19</t>
  </si>
  <si>
    <t xml:space="preserve">NVDA|20</t>
  </si>
  <si>
    <t xml:space="preserve">NVDA|21</t>
  </si>
  <si>
    <t xml:space="preserve">NVDA|22</t>
  </si>
  <si>
    <t xml:space="preserve">NVDA|23</t>
  </si>
  <si>
    <t xml:space="preserve">NVDA|24</t>
  </si>
  <si>
    <t xml:space="preserve">NVDA|25</t>
  </si>
  <si>
    <t xml:space="preserve">OKTA|1</t>
  </si>
  <si>
    <t xml:space="preserve">OKTA|2</t>
  </si>
  <si>
    <t xml:space="preserve">OKTA|3</t>
  </si>
  <si>
    <t xml:space="preserve">OKTA|4</t>
  </si>
  <si>
    <t xml:space="preserve">OKTA|5</t>
  </si>
  <si>
    <t xml:space="preserve">OKTA|6</t>
  </si>
  <si>
    <t xml:space="preserve">OKTA|7</t>
  </si>
  <si>
    <t xml:space="preserve">OKTA|8</t>
  </si>
  <si>
    <t xml:space="preserve">OKTA|9</t>
  </si>
  <si>
    <t xml:space="preserve">OKTA|10</t>
  </si>
  <si>
    <t xml:space="preserve">OKTA|11</t>
  </si>
  <si>
    <t xml:space="preserve">OKTA|12</t>
  </si>
  <si>
    <t xml:space="preserve">OKTA|13</t>
  </si>
  <si>
    <t xml:space="preserve">OKTA|14</t>
  </si>
  <si>
    <t xml:space="preserve">OKTA|15</t>
  </si>
  <si>
    <t xml:space="preserve">OKTA|16</t>
  </si>
  <si>
    <t xml:space="preserve">OKTA|17</t>
  </si>
  <si>
    <t xml:space="preserve">OKTA|18</t>
  </si>
  <si>
    <t xml:space="preserve">OKTA|19</t>
  </si>
  <si>
    <t xml:space="preserve">OKTA|20</t>
  </si>
  <si>
    <t xml:space="preserve">OKTA|21</t>
  </si>
  <si>
    <t xml:space="preserve">OKTA|22</t>
  </si>
  <si>
    <t xml:space="preserve">OKTA|23</t>
  </si>
  <si>
    <t xml:space="preserve">OKTA|24</t>
  </si>
  <si>
    <t xml:space="preserve">PLTR|1</t>
  </si>
  <si>
    <t xml:space="preserve">PLTR|2</t>
  </si>
  <si>
    <t xml:space="preserve">PLTR|3</t>
  </si>
  <si>
    <t xml:space="preserve">PLTR|4</t>
  </si>
  <si>
    <t xml:space="preserve">PLTR|5</t>
  </si>
  <si>
    <t xml:space="preserve">PLTR|6</t>
  </si>
  <si>
    <t xml:space="preserve">PLTR|7</t>
  </si>
  <si>
    <t xml:space="preserve">PLTR|8</t>
  </si>
  <si>
    <t xml:space="preserve">PLTR|9</t>
  </si>
  <si>
    <t xml:space="preserve">PLTR|10</t>
  </si>
  <si>
    <t xml:space="preserve">PLTR|11</t>
  </si>
  <si>
    <t xml:space="preserve">PLTR|12</t>
  </si>
  <si>
    <t xml:space="preserve">PLTR|13</t>
  </si>
  <si>
    <t xml:space="preserve">PLTR|14</t>
  </si>
  <si>
    <t xml:space="preserve">PLTR|15</t>
  </si>
  <si>
    <t xml:space="preserve">PLTR|16</t>
  </si>
  <si>
    <t xml:space="preserve">PLTR|17</t>
  </si>
  <si>
    <t xml:space="preserve">PLTR|18</t>
  </si>
  <si>
    <t xml:space="preserve">PLTR|19</t>
  </si>
  <si>
    <t xml:space="preserve">PLTR|20</t>
  </si>
  <si>
    <t xml:space="preserve">PLTR|21</t>
  </si>
  <si>
    <t xml:space="preserve">PLTR|22</t>
  </si>
  <si>
    <t xml:space="preserve">PLTR|23</t>
  </si>
  <si>
    <t xml:space="preserve">PLTR|24</t>
  </si>
  <si>
    <t xml:space="preserve">QCOM|1</t>
  </si>
  <si>
    <t xml:space="preserve">QCOM|2</t>
  </si>
  <si>
    <t xml:space="preserve">QCOM|3</t>
  </si>
  <si>
    <t xml:space="preserve">QCOM|4</t>
  </si>
  <si>
    <t xml:space="preserve">QCOM|5</t>
  </si>
  <si>
    <t xml:space="preserve">QCOM|6</t>
  </si>
  <si>
    <t xml:space="preserve">QCOM|7</t>
  </si>
  <si>
    <t xml:space="preserve">QCOM|8</t>
  </si>
  <si>
    <t xml:space="preserve">QCOM|9</t>
  </si>
  <si>
    <t xml:space="preserve">QCOM|10</t>
  </si>
  <si>
    <t xml:space="preserve">QCOM|11</t>
  </si>
  <si>
    <t xml:space="preserve">QCOM|12</t>
  </si>
  <si>
    <t xml:space="preserve">QCOM|13</t>
  </si>
  <si>
    <t xml:space="preserve">QCOM|14</t>
  </si>
  <si>
    <t xml:space="preserve">QCOM|15</t>
  </si>
  <si>
    <t xml:space="preserve">QCOM|16</t>
  </si>
  <si>
    <t xml:space="preserve">QCOM|17</t>
  </si>
  <si>
    <t xml:space="preserve">QCOM|18</t>
  </si>
  <si>
    <t xml:space="preserve">QCOM|19</t>
  </si>
  <si>
    <t xml:space="preserve">QCOM|20</t>
  </si>
  <si>
    <t xml:space="preserve">QCOM|21</t>
  </si>
  <si>
    <t xml:space="preserve">QCOM|22</t>
  </si>
  <si>
    <t xml:space="preserve">QCOM|23</t>
  </si>
  <si>
    <t xml:space="preserve">QCOM|24</t>
  </si>
  <si>
    <t xml:space="preserve">SMTC|1</t>
  </si>
  <si>
    <t xml:space="preserve">SMTC|2</t>
  </si>
  <si>
    <t xml:space="preserve">SMTC|3</t>
  </si>
  <si>
    <t xml:space="preserve">SMTC|4</t>
  </si>
  <si>
    <t xml:space="preserve">SMTC|5</t>
  </si>
  <si>
    <t xml:space="preserve">SMTC|6</t>
  </si>
  <si>
    <t xml:space="preserve">SMTC|7</t>
  </si>
  <si>
    <t xml:space="preserve">SMTC|8</t>
  </si>
  <si>
    <t xml:space="preserve">SMTC|9</t>
  </si>
  <si>
    <t xml:space="preserve">SMTC|10</t>
  </si>
  <si>
    <t xml:space="preserve">SMTC|11</t>
  </si>
  <si>
    <t xml:space="preserve">SMTC|12</t>
  </si>
  <si>
    <t xml:space="preserve">SMTC|13</t>
  </si>
  <si>
    <t xml:space="preserve">SMTC|14</t>
  </si>
  <si>
    <t xml:space="preserve">SMTC|15</t>
  </si>
  <si>
    <t xml:space="preserve">SMTC|16</t>
  </si>
  <si>
    <t xml:space="preserve">SMTC|17</t>
  </si>
  <si>
    <t xml:space="preserve">SMTC|18</t>
  </si>
  <si>
    <t xml:space="preserve">SMTC|19</t>
  </si>
  <si>
    <t xml:space="preserve">SMTC|20</t>
  </si>
  <si>
    <t xml:space="preserve">SMTC|21</t>
  </si>
  <si>
    <t xml:space="preserve">SMTC|22</t>
  </si>
  <si>
    <t xml:space="preserve">SMTC|23</t>
  </si>
  <si>
    <t xml:space="preserve">SMTC|24</t>
  </si>
  <si>
    <t xml:space="preserve">TER|1</t>
  </si>
  <si>
    <t xml:space="preserve">TER|2</t>
  </si>
  <si>
    <t xml:space="preserve">TER|3</t>
  </si>
  <si>
    <t xml:space="preserve">TER|4</t>
  </si>
  <si>
    <t xml:space="preserve">TER|5</t>
  </si>
  <si>
    <t xml:space="preserve">TER|6</t>
  </si>
  <si>
    <t xml:space="preserve">TER|7</t>
  </si>
  <si>
    <t xml:space="preserve">TER|8</t>
  </si>
  <si>
    <t xml:space="preserve">TER|9</t>
  </si>
  <si>
    <t xml:space="preserve">TER|10</t>
  </si>
  <si>
    <t xml:space="preserve">TER|11</t>
  </si>
  <si>
    <t xml:space="preserve">TER|12</t>
  </si>
  <si>
    <t xml:space="preserve">TER|13</t>
  </si>
  <si>
    <t xml:space="preserve">TER|14</t>
  </si>
  <si>
    <t xml:space="preserve">TER|15</t>
  </si>
  <si>
    <t xml:space="preserve">TER|16</t>
  </si>
  <si>
    <t xml:space="preserve">TER|17</t>
  </si>
  <si>
    <t xml:space="preserve">TER|18</t>
  </si>
  <si>
    <t xml:space="preserve">TER|19</t>
  </si>
  <si>
    <t xml:space="preserve">TER|20</t>
  </si>
  <si>
    <t xml:space="preserve">TER|21</t>
  </si>
  <si>
    <t xml:space="preserve">TER|22</t>
  </si>
  <si>
    <t xml:space="preserve">TER|23</t>
  </si>
  <si>
    <t xml:space="preserve">TER|24</t>
  </si>
  <si>
    <t xml:space="preserve">FY2026Q3E</t>
  </si>
  <si>
    <t xml:space="preserve">Y</t>
  </si>
  <si>
    <t xml:space="preserve">consensus</t>
  </si>
  <si>
    <t xml:space="preserve">AAOI|0</t>
  </si>
  <si>
    <t xml:space="preserve">FY2026Q4E</t>
  </si>
  <si>
    <t xml:space="preserve">AAPL|0</t>
  </si>
  <si>
    <t xml:space="preserve">AMZN|0</t>
  </si>
  <si>
    <t xml:space="preserve">AVGO|0</t>
  </si>
  <si>
    <t xml:space="preserve">CEG|0</t>
  </si>
  <si>
    <t xml:space="preserve">FY2027Q3E</t>
  </si>
  <si>
    <t xml:space="preserve">CRWD|0</t>
  </si>
  <si>
    <t xml:space="preserve">FY2027Q2E</t>
  </si>
  <si>
    <t xml:space="preserve">DELL|0</t>
  </si>
  <si>
    <t xml:space="preserve">DIOD|0</t>
  </si>
  <si>
    <t xml:space="preserve">FTNT|0</t>
  </si>
  <si>
    <t xml:space="preserve">GOOG|0</t>
  </si>
  <si>
    <t xml:space="preserve">MRVL|0</t>
  </si>
  <si>
    <t xml:space="preserve">FY2027Q1E</t>
  </si>
  <si>
    <t xml:space="preserve">MSFT|0</t>
  </si>
  <si>
    <t xml:space="preserve">MU|0</t>
  </si>
  <si>
    <t xml:space="preserve">NET|0</t>
  </si>
  <si>
    <t xml:space="preserve">NVDA|0</t>
  </si>
  <si>
    <t xml:space="preserve">OKTA|0</t>
  </si>
  <si>
    <t xml:space="preserve">PLTR|0</t>
  </si>
  <si>
    <t xml:space="preserve">QCOM|0</t>
  </si>
  <si>
    <t xml:space="preserve">SMTC|0</t>
  </si>
  <si>
    <t xml:space="preserve">TER|0</t>
  </si>
  <si>
    <r>
      <rPr>
        <b val="true"/>
        <sz val="10"/>
        <color rgb="FFC00000"/>
        <rFont val="DejaVu Sans"/>
        <family val="2"/>
      </rPr>
      <t xml:space="preserve">⚠ 黃底＝資料管線寫入區，請勿手改。</t>
    </r>
    <r>
      <rPr>
        <b val="true"/>
        <sz val="10"/>
        <color rgb="FFC00000"/>
        <rFont val="Arial"/>
        <family val="0"/>
        <charset val="1"/>
      </rPr>
      <t xml:space="preserve">seq </t>
    </r>
    <r>
      <rPr>
        <b val="true"/>
        <sz val="10"/>
        <color rgb="FFC00000"/>
        <rFont val="DejaVu Sans"/>
        <family val="2"/>
      </rPr>
      <t xml:space="preserve">與 </t>
    </r>
    <r>
      <rPr>
        <b val="true"/>
        <sz val="10"/>
        <color rgb="FFC00000"/>
        <rFont val="Arial"/>
        <family val="0"/>
        <charset val="1"/>
      </rPr>
      <t xml:space="preserve">key </t>
    </r>
    <r>
      <rPr>
        <b val="true"/>
        <sz val="10"/>
        <color rgb="FFC00000"/>
        <rFont val="DejaVu Sans"/>
        <family val="2"/>
      </rPr>
      <t xml:space="preserve">是公式：</t>
    </r>
    <r>
      <rPr>
        <b val="true"/>
        <sz val="10"/>
        <color rgb="FFC00000"/>
        <rFont val="Arial"/>
        <family val="0"/>
        <charset val="1"/>
      </rPr>
      <t xml:space="preserve">is_est="Y" </t>
    </r>
    <r>
      <rPr>
        <b val="true"/>
        <sz val="10"/>
        <color rgb="FFC00000"/>
        <rFont val="DejaVu Sans"/>
        <family val="2"/>
      </rPr>
      <t xml:space="preserve">記為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DejaVu Sans"/>
        <family val="2"/>
      </rPr>
      <t xml:space="preserve">（當季預估），實際季由新到舊排 </t>
    </r>
    <r>
      <rPr>
        <b val="true"/>
        <sz val="10"/>
        <color rgb="FFC00000"/>
        <rFont val="Arial"/>
        <family val="0"/>
        <charset val="1"/>
      </rPr>
      <t xml:space="preserve">1</t>
    </r>
    <r>
      <rPr>
        <b val="true"/>
        <sz val="10"/>
        <color rgb="FFC00000"/>
        <rFont val="DejaVu Sans"/>
        <family val="2"/>
      </rPr>
      <t xml:space="preserve">、</t>
    </r>
    <r>
      <rPr>
        <b val="true"/>
        <sz val="10"/>
        <color rgb="FFC00000"/>
        <rFont val="Arial"/>
        <family val="0"/>
        <charset val="1"/>
      </rPr>
      <t xml:space="preserve">2</t>
    </r>
    <r>
      <rPr>
        <b val="true"/>
        <sz val="10"/>
        <color rgb="FFC00000"/>
        <rFont val="DejaVu Sans"/>
        <family val="2"/>
      </rPr>
      <t xml:space="preserve">、</t>
    </r>
    <r>
      <rPr>
        <b val="true"/>
        <sz val="10"/>
        <color rgb="FFC00000"/>
        <rFont val="Arial"/>
        <family val="0"/>
        <charset val="1"/>
      </rPr>
      <t xml:space="preserve">3…</t>
    </r>
    <r>
      <rPr>
        <b val="true"/>
        <sz val="10"/>
        <color rgb="FFC00000"/>
        <rFont val="DejaVu Sans"/>
        <family val="2"/>
      </rPr>
      <t xml:space="preserve">；補進新一季時整欄自動重排。</t>
    </r>
  </si>
  <si>
    <t xml:space="preserve">每一欄的用途：</t>
  </si>
  <si>
    <t xml:space="preserve">A  ticker</t>
  </si>
  <si>
    <t xml:space="preserve">鍵值</t>
  </si>
  <si>
    <t xml:space="preserve">B  period</t>
  </si>
  <si>
    <t xml:space="preserve">C  fy</t>
  </si>
  <si>
    <t xml:space="preserve">D  fq</t>
  </si>
  <si>
    <t xml:space="preserve">E  period_end</t>
  </si>
  <si>
    <t xml:space="preserve">F  is_est</t>
  </si>
  <si>
    <t xml:space="preserve">治理</t>
  </si>
  <si>
    <t xml:space="preserve">G  est_source</t>
  </si>
  <si>
    <t xml:space="preserve">H  eps_basis</t>
  </si>
  <si>
    <r>
      <rPr>
        <i val="true"/>
        <sz val="9"/>
        <color rgb="FF808080"/>
        <rFont val="Arial"/>
        <family val="0"/>
        <charset val="1"/>
      </rPr>
      <t xml:space="preserve">EPS </t>
    </r>
    <r>
      <rPr>
        <i val="true"/>
        <sz val="9"/>
        <color rgb="FF808080"/>
        <rFont val="DejaVu Sans"/>
        <family val="2"/>
      </rPr>
      <t xml:space="preserve">口徑：</t>
    </r>
    <r>
      <rPr>
        <i val="true"/>
        <sz val="9"/>
        <color rgb="FF808080"/>
        <rFont val="Arial"/>
        <family val="0"/>
        <charset val="1"/>
      </rPr>
      <t xml:space="preserve">street=</t>
    </r>
    <r>
      <rPr>
        <i val="true"/>
        <sz val="9"/>
        <color rgb="FF808080"/>
        <rFont val="DejaVu Sans"/>
        <family val="2"/>
      </rPr>
      <t xml:space="preserve">市場口徑，</t>
    </r>
    <r>
      <rPr>
        <i val="true"/>
        <sz val="9"/>
        <color rgb="FF808080"/>
        <rFont val="Arial"/>
        <family val="0"/>
        <charset val="1"/>
      </rPr>
      <t xml:space="preserve">gaap=</t>
    </r>
    <r>
      <rPr>
        <i val="true"/>
        <sz val="9"/>
        <color rgb="FF808080"/>
        <rFont val="DejaVu Sans"/>
        <family val="2"/>
      </rPr>
      <t xml:space="preserve">降級</t>
    </r>
  </si>
  <si>
    <t xml:space="preserve">I  revenue ($M)</t>
  </si>
  <si>
    <r>
      <rPr>
        <i val="true"/>
        <sz val="9"/>
        <color rgb="FF808080"/>
        <rFont val="DejaVu Sans"/>
        <family val="2"/>
      </rPr>
      <t xml:space="preserve">營收成長率 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DejaVu Sans"/>
        <family val="2"/>
      </rPr>
      <t xml:space="preserve">毛利率分母</t>
    </r>
  </si>
  <si>
    <t xml:space="preserve">J  gross_profit ($M)</t>
  </si>
  <si>
    <t xml:space="preserve">毛利率分子</t>
  </si>
  <si>
    <t xml:space="preserve">K  eps_diluted_adj</t>
  </si>
  <si>
    <r>
      <rPr>
        <i val="true"/>
        <sz val="9"/>
        <color rgb="FF808080"/>
        <rFont val="Arial"/>
        <family val="0"/>
        <charset val="1"/>
      </rPr>
      <t xml:space="preserve">EPS · PE · PEG · EPS</t>
    </r>
    <r>
      <rPr>
        <i val="true"/>
        <sz val="9"/>
        <color rgb="FF808080"/>
        <rFont val="DejaVu Sans"/>
        <family val="2"/>
      </rPr>
      <t xml:space="preserve">成長率</t>
    </r>
  </si>
  <si>
    <t xml:space="preserve">L  shares_diluted (M)</t>
  </si>
  <si>
    <r>
      <rPr>
        <i val="true"/>
        <sz val="9"/>
        <color rgb="FF808080"/>
        <rFont val="DejaVu Sans"/>
        <family val="2"/>
      </rPr>
      <t xml:space="preserve">反推 </t>
    </r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淨利 </t>
    </r>
    <r>
      <rPr>
        <i val="true"/>
        <sz val="9"/>
        <color rgb="FF808080"/>
        <rFont val="Arial"/>
        <family val="0"/>
        <charset val="1"/>
      </rPr>
      <t xml:space="preserve">· ROE_F </t>
    </r>
    <r>
      <rPr>
        <i val="true"/>
        <sz val="9"/>
        <color rgb="FF808080"/>
        <rFont val="DejaVu Sans"/>
        <family val="2"/>
      </rPr>
      <t xml:space="preserve">的 </t>
    </r>
    <r>
      <rPr>
        <i val="true"/>
        <sz val="9"/>
        <color rgb="FF808080"/>
        <rFont val="Arial"/>
        <family val="0"/>
        <charset val="1"/>
      </rPr>
      <t xml:space="preserve">BVPS</t>
    </r>
  </si>
  <si>
    <t xml:space="preserve">M  total_equity ($M)</t>
  </si>
  <si>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分母</t>
    </r>
  </si>
  <si>
    <r>
      <rPr>
        <sz val="9"/>
        <rFont val="Arial"/>
        <family val="0"/>
        <charset val="1"/>
      </rPr>
      <t xml:space="preserve">N  dps (</t>
    </r>
    <r>
      <rPr>
        <sz val="9"/>
        <rFont val="DejaVu Sans"/>
        <family val="2"/>
      </rPr>
      <t xml:space="preserve">每股配息</t>
    </r>
    <r>
      <rPr>
        <sz val="9"/>
        <rFont val="Arial"/>
        <family val="0"/>
        <charset val="1"/>
      </rPr>
      <t xml:space="preserve">)</t>
    </r>
  </si>
  <si>
    <t xml:space="preserve">O  price_at_end</t>
  </si>
  <si>
    <r>
      <rPr>
        <i val="true"/>
        <sz val="9"/>
        <color rgb="FF808080"/>
        <rFont val="DejaVu Sans"/>
        <family val="2"/>
      </rPr>
      <t xml:space="preserve">歷史 </t>
    </r>
    <r>
      <rPr>
        <i val="true"/>
        <sz val="9"/>
        <color rgb="FF808080"/>
        <rFont val="Arial"/>
        <family val="0"/>
        <charset val="1"/>
      </rPr>
      <t xml:space="preserve">PE · PEG_T · </t>
    </r>
    <r>
      <rPr>
        <i val="true"/>
        <sz val="9"/>
        <color rgb="FF808080"/>
        <rFont val="DejaVu Sans"/>
        <family val="2"/>
      </rPr>
      <t xml:space="preserve">歷史殖利率</t>
    </r>
  </si>
  <si>
    <t xml:space="preserve">示範資料為合成數字，非真實財報。</t>
  </si>
  <si>
    <t xml:space="preserve">eps_f1</t>
  </si>
  <si>
    <t xml:space="preserve">eps_f2</t>
  </si>
  <si>
    <t xml:space="preserve">fy1_end</t>
  </si>
  <si>
    <t xml:space="preserve">n_analysts</t>
  </si>
  <si>
    <t xml:space="preserve">as_of</t>
  </si>
  <si>
    <r>
      <rPr>
        <i val="true"/>
        <sz val="9"/>
        <color rgb="FF808080"/>
        <rFont val="Arial"/>
        <family val="0"/>
        <charset val="1"/>
      </rPr>
      <t xml:space="preserve">eps_f1</t>
    </r>
    <r>
      <rPr>
        <i val="true"/>
        <sz val="9"/>
        <color rgb="FF808080"/>
        <rFont val="DejaVu Sans"/>
        <family val="2"/>
      </rPr>
      <t xml:space="preserve">＝本財年共識、</t>
    </r>
    <r>
      <rPr>
        <i val="true"/>
        <sz val="9"/>
        <color rgb="FF808080"/>
        <rFont val="Arial"/>
        <family val="0"/>
        <charset val="1"/>
      </rPr>
      <t xml:space="preserve">eps_f2</t>
    </r>
    <r>
      <rPr>
        <i val="true"/>
        <sz val="9"/>
        <color rgb="FF808080"/>
        <rFont val="DejaVu Sans"/>
        <family val="2"/>
      </rPr>
      <t xml:space="preserve">＝下一財年共識，皆為 </t>
    </r>
    <r>
      <rPr>
        <i val="true"/>
        <sz val="9"/>
        <color rgb="FF808080"/>
        <rFont val="Arial"/>
        <family val="0"/>
        <charset val="1"/>
      </rPr>
      <t xml:space="preserve">Adjusted </t>
    </r>
    <r>
      <rPr>
        <i val="true"/>
        <sz val="9"/>
        <color rgb="FF808080"/>
        <rFont val="DejaVu Sans"/>
        <family val="2"/>
      </rPr>
      <t xml:space="preserve">口徑（與 </t>
    </r>
    <r>
      <rPr>
        <i val="true"/>
        <sz val="9"/>
        <color rgb="FF808080"/>
        <rFont val="Arial"/>
        <family val="0"/>
        <charset val="1"/>
      </rPr>
      <t xml:space="preserve">EPS_TTM </t>
    </r>
    <r>
      <rPr>
        <i val="true"/>
        <sz val="9"/>
        <color rgb="FF808080"/>
        <rFont val="DejaVu Sans"/>
        <family val="2"/>
      </rPr>
      <t xml:space="preserve">同口徑）。</t>
    </r>
  </si>
  <si>
    <t xml:space="preserve">price</t>
  </si>
  <si>
    <t xml:space="preserve">price_date</t>
  </si>
  <si>
    <t xml:space="preserve">next_earnings</t>
  </si>
  <si>
    <t xml:space="preserve">Rev_TTM($M)</t>
  </si>
  <si>
    <t xml:space="preserve">EPS_TTM(Adj)</t>
  </si>
  <si>
    <t xml:space="preserve">EPS_TTM_fwd</t>
  </si>
  <si>
    <t xml:space="preserve">EPS_NTM</t>
  </si>
  <si>
    <t xml:space="preserve">PE_TTM_fwd</t>
  </si>
  <si>
    <t xml:space="preserve">PE_NTM</t>
  </si>
  <si>
    <r>
      <rPr>
        <b val="true"/>
        <sz val="10"/>
        <color rgb="FFFFFFFF"/>
        <rFont val="Arial"/>
        <family val="0"/>
        <charset val="1"/>
      </rPr>
      <t xml:space="preserve">EPS</t>
    </r>
    <r>
      <rPr>
        <b val="true"/>
        <sz val="10"/>
        <color rgb="FFFFFFFF"/>
        <rFont val="DejaVu Sans"/>
        <family val="2"/>
      </rPr>
      <t xml:space="preserve">成長</t>
    </r>
    <r>
      <rPr>
        <b val="true"/>
        <sz val="10"/>
        <color rgb="FFFFFFFF"/>
        <rFont val="Arial"/>
        <family val="0"/>
        <charset val="1"/>
      </rPr>
      <t xml:space="preserve">_F</t>
    </r>
  </si>
  <si>
    <t xml:space="preserve">DPS_TTM</t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</si>
  <si>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YoY_</t>
    </r>
    <r>
      <rPr>
        <b val="true"/>
        <sz val="10"/>
        <color rgb="FFFFFFFF"/>
        <rFont val="DejaVu Sans"/>
        <family val="2"/>
      </rPr>
      <t xml:space="preserve">最新季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</si>
  <si>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QoQ_</t>
    </r>
    <r>
      <rPr>
        <b val="true"/>
        <sz val="10"/>
        <color rgb="FFFFFFFF"/>
        <rFont val="DejaVu Sans"/>
        <family val="2"/>
      </rPr>
      <t xml:space="preserve">最新季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</si>
  <si>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QoQ_</t>
    </r>
    <r>
      <rPr>
        <b val="true"/>
        <sz val="10"/>
        <color rgb="FFFFFFFF"/>
        <rFont val="DejaVu Sans"/>
        <family val="2"/>
      </rPr>
      <t xml:space="preserve">上一季</t>
    </r>
  </si>
  <si>
    <r>
      <rPr>
        <b val="true"/>
        <sz val="10"/>
        <color rgb="FFFFFFFF"/>
        <rFont val="DejaVu Sans"/>
        <family val="2"/>
      </rPr>
      <t xml:space="preserve">營收加速度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</si>
  <si>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Arial"/>
        <family val="0"/>
        <charset val="1"/>
      </rPr>
      <t xml:space="preserve">EPS_YoY_</t>
    </r>
    <r>
      <rPr>
        <b val="true"/>
        <sz val="10"/>
        <color rgb="FFFFFFFF"/>
        <rFont val="DejaVu Sans"/>
        <family val="2"/>
      </rPr>
      <t xml:space="preserve">最新季</t>
    </r>
  </si>
  <si>
    <r>
      <rPr>
        <b val="true"/>
        <sz val="10"/>
        <color rgb="FFFFFFFF"/>
        <rFont val="DejaVu Sans"/>
        <family val="2"/>
      </rPr>
      <t xml:space="preserve">毛利率</t>
    </r>
    <r>
      <rPr>
        <b val="true"/>
        <sz val="10"/>
        <color rgb="FFFFFFFF"/>
        <rFont val="Arial"/>
        <family val="0"/>
        <charset val="1"/>
      </rPr>
      <t xml:space="preserve">_TTM</t>
    </r>
  </si>
  <si>
    <r>
      <rPr>
        <b val="true"/>
        <sz val="10"/>
        <color rgb="FFFFFFFF"/>
        <rFont val="DejaVu Sans"/>
        <family val="2"/>
      </rPr>
      <t xml:space="preserve">毛利率</t>
    </r>
    <r>
      <rPr>
        <b val="true"/>
        <sz val="10"/>
        <color rgb="FFFFFFFF"/>
        <rFont val="Arial"/>
        <family val="0"/>
        <charset val="1"/>
      </rPr>
      <t xml:space="preserve">_5</t>
    </r>
    <r>
      <rPr>
        <b val="true"/>
        <sz val="10"/>
        <color rgb="FFFFFFFF"/>
        <rFont val="DejaVu Sans"/>
        <family val="2"/>
      </rPr>
      <t xml:space="preserve">年平均</t>
    </r>
  </si>
  <si>
    <r>
      <rPr>
        <b val="true"/>
        <sz val="10"/>
        <color rgb="FFFFFFFF"/>
        <rFont val="Arial"/>
        <family val="0"/>
        <charset val="1"/>
      </rPr>
      <t xml:space="preserve">GM vs 5</t>
    </r>
    <r>
      <rPr>
        <b val="true"/>
        <sz val="10"/>
        <color rgb="FFFFFFFF"/>
        <rFont val="DejaVu Sans"/>
        <family val="2"/>
      </rPr>
      <t xml:space="preserve">年平均</t>
    </r>
    <r>
      <rPr>
        <b val="true"/>
        <sz val="10"/>
        <color rgb="FFFFFFFF"/>
        <rFont val="Arial"/>
        <family val="0"/>
        <charset val="1"/>
      </rPr>
      <t xml:space="preserve">(bps)</t>
    </r>
  </si>
  <si>
    <r>
      <rPr>
        <b val="true"/>
        <sz val="10"/>
        <color rgb="FFFFFFFF"/>
        <rFont val="DejaVu Sans"/>
        <family val="2"/>
      </rPr>
      <t xml:space="preserve">淨利</t>
    </r>
    <r>
      <rPr>
        <b val="true"/>
        <sz val="10"/>
        <color rgb="FFFFFFFF"/>
        <rFont val="Arial"/>
        <family val="0"/>
        <charset val="1"/>
      </rPr>
      <t xml:space="preserve">_TTM($M)</t>
    </r>
  </si>
  <si>
    <t xml:space="preserve">ROE_Forward</t>
  </si>
  <si>
    <t xml:space="preserve">預估來源</t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</si>
  <si>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_seq1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</si>
  <si>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_seq5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</si>
  <si>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_seq9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</si>
  <si>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_seq13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</si>
  <si>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_seq17</t>
    </r>
  </si>
  <si>
    <r>
      <rPr>
        <i val="true"/>
        <sz val="9"/>
        <color rgb="FF808080"/>
        <rFont val="Arial"/>
        <family val="0"/>
        <charset val="1"/>
      </rPr>
      <t xml:space="preserve">Calc </t>
    </r>
    <r>
      <rPr>
        <i val="true"/>
        <sz val="9"/>
        <color rgb="FF808080"/>
        <rFont val="DejaVu Sans"/>
        <family val="2"/>
      </rPr>
      <t xml:space="preserve">是引擎，不是給人看的。淨利</t>
    </r>
    <r>
      <rPr>
        <i val="true"/>
        <sz val="9"/>
        <color rgb="FF808080"/>
        <rFont val="Arial"/>
        <family val="0"/>
        <charset val="1"/>
      </rPr>
      <t xml:space="preserve">_TTM </t>
    </r>
    <r>
      <rPr>
        <i val="true"/>
        <sz val="9"/>
        <color rgb="FF808080"/>
        <rFont val="DejaVu Sans"/>
        <family val="2"/>
      </rPr>
      <t xml:space="preserve">是用「逐季 </t>
    </r>
    <r>
      <rPr>
        <i val="true"/>
        <sz val="9"/>
        <color rgb="FF808080"/>
        <rFont val="Arial"/>
        <family val="0"/>
        <charset val="1"/>
      </rPr>
      <t xml:space="preserve">adjusted EPS × </t>
    </r>
    <r>
      <rPr>
        <i val="true"/>
        <sz val="9"/>
        <color rgb="FF808080"/>
        <rFont val="DejaVu Sans"/>
        <family val="2"/>
      </rPr>
      <t xml:space="preserve">稀釋股數」反推的——沒有任何 </t>
    </r>
    <r>
      <rPr>
        <i val="true"/>
        <sz val="9"/>
        <color rgb="FF808080"/>
        <rFont val="Arial"/>
        <family val="0"/>
        <charset val="1"/>
      </rPr>
      <t xml:space="preserve">API </t>
    </r>
    <r>
      <rPr>
        <i val="true"/>
        <sz val="9"/>
        <color rgb="FF808080"/>
        <rFont val="DejaVu Sans"/>
        <family val="2"/>
      </rPr>
      <t xml:space="preserve">提供 </t>
    </r>
    <r>
      <rPr>
        <i val="true"/>
        <sz val="9"/>
        <color rgb="FF808080"/>
        <rFont val="Arial"/>
        <family val="0"/>
        <charset val="1"/>
      </rPr>
      <t xml:space="preserve">non-GAAP </t>
    </r>
    <r>
      <rPr>
        <i val="true"/>
        <sz val="9"/>
        <color rgb="FF808080"/>
        <rFont val="DejaVu Sans"/>
        <family val="2"/>
      </rPr>
      <t xml:space="preserve">淨利，這是唯一算得出 </t>
    </r>
    <r>
      <rPr>
        <i val="true"/>
        <sz val="9"/>
        <color rgb="FF808080"/>
        <rFont val="Arial"/>
        <family val="0"/>
        <charset val="1"/>
      </rPr>
      <t xml:space="preserve">Adjusted </t>
    </r>
    <r>
      <rPr>
        <i val="true"/>
        <sz val="9"/>
        <color rgb="FF808080"/>
        <rFont val="DejaVu Sans"/>
        <family val="2"/>
      </rPr>
      <t xml:space="preserve">口徑 </t>
    </r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的方法。</t>
    </r>
  </si>
  <si>
    <t xml:space="preserve">參數設定</t>
  </si>
  <si>
    <t xml:space="preserve">參數</t>
  </si>
  <si>
    <t xml:space="preserve">值</t>
  </si>
  <si>
    <t xml:space="preserve">用途</t>
  </si>
  <si>
    <t xml:space="preserve">目標季數（每檔應有的實際季數）</t>
  </si>
  <si>
    <r>
      <rPr>
        <i val="true"/>
        <sz val="9"/>
        <color rgb="FF808080"/>
        <rFont val="Arial"/>
        <family val="0"/>
        <charset val="1"/>
      </rPr>
      <t xml:space="preserve">_Manifest </t>
    </r>
    <r>
      <rPr>
        <i val="true"/>
        <sz val="9"/>
        <color rgb="FF808080"/>
        <rFont val="DejaVu Sans"/>
        <family val="2"/>
      </rPr>
      <t xml:space="preserve">判斷是否需要補歷史</t>
    </r>
  </si>
  <si>
    <t xml:space="preserve">毛利率五年平均取樣季數</t>
  </si>
  <si>
    <r>
      <rPr>
        <i val="true"/>
        <sz val="9"/>
        <color rgb="FF808080"/>
        <rFont val="Arial"/>
        <family val="0"/>
        <charset val="1"/>
      </rPr>
      <t xml:space="preserve">5 </t>
    </r>
    <r>
      <rPr>
        <i val="true"/>
        <sz val="9"/>
        <color rgb="FF808080"/>
        <rFont val="DejaVu Sans"/>
        <family val="2"/>
      </rPr>
      <t xml:space="preserve">年平均毛利率的取樣範圍</t>
    </r>
  </si>
  <si>
    <r>
      <rPr>
        <sz val="10"/>
        <rFont val="Arial"/>
        <family val="0"/>
        <charset val="1"/>
      </rPr>
      <t xml:space="preserve">PEG </t>
    </r>
    <r>
      <rPr>
        <sz val="10"/>
        <rFont val="DejaVu Sans"/>
        <family val="2"/>
      </rPr>
      <t xml:space="preserve">成長率下限</t>
    </r>
  </si>
  <si>
    <r>
      <rPr>
        <i val="true"/>
        <sz val="9"/>
        <color rgb="FF808080"/>
        <rFont val="DejaVu Sans"/>
        <family val="2"/>
      </rPr>
      <t xml:space="preserve">成長率低於此值時 </t>
    </r>
    <r>
      <rPr>
        <i val="true"/>
        <sz val="9"/>
        <color rgb="FF808080"/>
        <rFont val="Arial"/>
        <family val="0"/>
        <charset val="1"/>
      </rPr>
      <t xml:space="preserve">PEG </t>
    </r>
    <r>
      <rPr>
        <i val="true"/>
        <sz val="9"/>
        <color rgb="FF808080"/>
        <rFont val="DejaVu Sans"/>
        <family val="2"/>
      </rPr>
      <t xml:space="preserve">顯示 </t>
    </r>
    <r>
      <rPr>
        <i val="true"/>
        <sz val="9"/>
        <color rgb="FF808080"/>
        <rFont val="Arial"/>
        <family val="0"/>
        <charset val="1"/>
      </rPr>
      <t xml:space="preserve">N/M</t>
    </r>
    <r>
      <rPr>
        <i val="true"/>
        <sz val="9"/>
        <color rgb="FF808080"/>
        <rFont val="DejaVu Sans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PEG </t>
    </r>
    <r>
      <rPr>
        <i val="true"/>
        <sz val="9"/>
        <color rgb="FF808080"/>
        <rFont val="DejaVu Sans"/>
        <family val="2"/>
      </rPr>
      <t xml:space="preserve">在低成長時失真）</t>
    </r>
  </si>
  <si>
    <t xml:space="preserve">分析師家數下限</t>
  </si>
  <si>
    <t xml:space="preserve">低於此值時共識預估信心不足，會出旗標</t>
  </si>
  <si>
    <r>
      <rPr>
        <sz val="10"/>
        <rFont val="Arial"/>
        <family val="0"/>
        <charset val="1"/>
      </rPr>
      <t xml:space="preserve">NTM </t>
    </r>
    <r>
      <rPr>
        <sz val="10"/>
        <rFont val="DejaVu Sans"/>
        <family val="2"/>
      </rPr>
      <t xml:space="preserve">換算基準天數</t>
    </r>
  </si>
  <si>
    <r>
      <rPr>
        <i val="true"/>
        <sz val="9"/>
        <color rgb="FF808080"/>
        <rFont val="Arial"/>
        <family val="0"/>
        <charset val="1"/>
      </rPr>
      <t xml:space="preserve">EPS_NTM </t>
    </r>
    <r>
      <rPr>
        <i val="true"/>
        <sz val="9"/>
        <color rgb="FF808080"/>
        <rFont val="DejaVu Sans"/>
        <family val="2"/>
      </rPr>
      <t xml:space="preserve">依 </t>
    </r>
    <r>
      <rPr>
        <i val="true"/>
        <sz val="9"/>
        <color rgb="FF808080"/>
        <rFont val="Arial"/>
        <family val="0"/>
        <charset val="1"/>
      </rPr>
      <t xml:space="preserve">fy1_end </t>
    </r>
    <r>
      <rPr>
        <i val="true"/>
        <sz val="9"/>
        <color rgb="FF808080"/>
        <rFont val="DejaVu Sans"/>
        <family val="2"/>
      </rPr>
      <t xml:space="preserve">距今天數在 </t>
    </r>
    <r>
      <rPr>
        <i val="true"/>
        <sz val="9"/>
        <color rgb="FF808080"/>
        <rFont val="Arial"/>
        <family val="0"/>
        <charset val="1"/>
      </rPr>
      <t xml:space="preserve">F1 / F2 </t>
    </r>
    <r>
      <rPr>
        <i val="true"/>
        <sz val="9"/>
        <color rgb="FF808080"/>
        <rFont val="DejaVu Sans"/>
        <family val="2"/>
      </rPr>
      <t xml:space="preserve">之間加權</t>
    </r>
  </si>
  <si>
    <t xml:space="preserve">黃底藍字＝可以改，改了整張表的判斷規則跟著變。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</si>
</sst>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"/>
    <numFmt numFmtId="167" formatCode="0.0%"/>
    <numFmt numFmtId="168" formatCode="0.0;[RED]\-0.0"/>
    <numFmt numFmtId="169" formatCode="#,##0;[RED]\-#,##0"/>
    <numFmt numFmtId="170" formatCode="yyyy\-mm\-dd"/>
    <numFmt numFmtId="171" formatCode="General"/>
    <numFmt numFmtId="172" formatCode="0"/>
    <numFmt numFmtId="173" formatCode="#,##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DejaVu Sans"/>
      <family val="2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DejaVu Sans"/>
      <family val="2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DejaVu Sans"/>
      <family val="2"/>
    </font>
    <font>
      <sz val="10"/>
      <name val="DejaVu Sans"/>
      <family val="2"/>
    </font>
    <font>
      <b val="true"/>
      <sz val="10"/>
      <color rgb="FF1F3864"/>
      <name val="DejaVu Sans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8000"/>
      <name val="Arial"/>
      <family val="0"/>
      <charset val="1"/>
    </font>
    <font>
      <sz val="10"/>
      <color rgb="FF008000"/>
      <name val="DejaVu Sans"/>
      <family val="2"/>
    </font>
    <font>
      <i val="true"/>
      <sz val="9"/>
      <color rgb="FF808080"/>
      <name val="DejaVu Sans"/>
      <family val="2"/>
    </font>
    <font>
      <i val="true"/>
      <sz val="9"/>
      <color rgb="FF808080"/>
      <name val="Arial"/>
      <family val="0"/>
      <charset val="1"/>
    </font>
    <font>
      <b val="true"/>
      <sz val="11"/>
      <name val="DejaVu Sans"/>
      <family val="2"/>
    </font>
    <font>
      <b val="true"/>
      <sz val="13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808080"/>
      <name val="Arial"/>
      <family val="0"/>
      <charset val="1"/>
    </font>
    <font>
      <sz val="9"/>
      <color rgb="FF808080"/>
      <name val="DejaVu Sans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C00000"/>
      <name val="DejaVu Sans"/>
      <family val="2"/>
    </font>
    <font>
      <b val="true"/>
      <sz val="10"/>
      <name val="DejaVu Sans"/>
      <family val="2"/>
    </font>
    <font>
      <b val="true"/>
      <sz val="12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sz val="10"/>
      <color rgb="FF0000FF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EEBF7"/>
      </patternFill>
    </fill>
    <fill>
      <patternFill patternType="solid">
        <fgColor rgb="FFFCE4D6"/>
        <bgColor rgb="FFF2E3F1"/>
      </patternFill>
    </fill>
    <fill>
      <patternFill patternType="solid">
        <fgColor rgb="FFE7E6E6"/>
        <bgColor rgb="FFEDEDED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2E3F1"/>
        <bgColor rgb="FFE7E6E6"/>
      </patternFill>
    </fill>
    <fill>
      <patternFill patternType="solid">
        <fgColor rgb="FFDEEBF7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CC00"/>
      </patternFill>
    </fill>
    <fill>
      <patternFill patternType="solid">
        <fgColor rgb="FFEDEDED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8E9D1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74C589"/>
          <bgColor rgb="FF000000"/>
        </patternFill>
      </fill>
    </dxf>
    <dxf>
      <fill>
        <patternFill patternType="solid">
          <fgColor rgb="FF7CC990"/>
          <bgColor rgb="FF000000"/>
        </patternFill>
      </fill>
    </dxf>
    <dxf>
      <fill>
        <patternFill patternType="solid">
          <fgColor rgb="FFD1ECD9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92D2A3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FE4C9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B5B6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6EC385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FEF4F4"/>
          <bgColor rgb="FF000000"/>
        </patternFill>
      </fill>
    </dxf>
    <dxf>
      <fill>
        <patternFill patternType="solid">
          <fgColor rgb="FFFEF5F5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77C78C"/>
          <bgColor rgb="FF000000"/>
        </patternFill>
      </fill>
    </dxf>
    <dxf>
      <fill>
        <patternFill patternType="solid">
          <fgColor rgb="FF88CE9A"/>
          <bgColor rgb="FF000000"/>
        </patternFill>
      </fill>
    </dxf>
    <dxf>
      <fill>
        <patternFill patternType="solid">
          <fgColor rgb="FFD5EEDC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F98F90"/>
          <bgColor rgb="FF000000"/>
        </patternFill>
      </fill>
    </dxf>
    <dxf>
      <fill>
        <patternFill patternType="solid">
          <fgColor rgb="FFFCC4C5"/>
          <bgColor rgb="FF000000"/>
        </patternFill>
      </fill>
    </dxf>
    <dxf>
      <fill>
        <patternFill patternType="solid">
          <fgColor rgb="FFFCC6C7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80CB94"/>
          <bgColor rgb="FF000000"/>
        </patternFill>
      </fill>
    </dxf>
    <dxf>
      <fill>
        <patternFill patternType="solid">
          <fgColor rgb="FFFA9698"/>
          <bgColor rgb="FF000000"/>
        </patternFill>
      </fill>
    </dxf>
    <dxf>
      <fill>
        <patternFill patternType="solid">
          <fgColor rgb="FFFBB0B1"/>
          <bgColor rgb="FF000000"/>
        </patternFill>
      </fill>
    </dxf>
    <dxf>
      <fill>
        <patternFill patternType="solid">
          <fgColor rgb="FFFDDDDE"/>
          <bgColor rgb="FF000000"/>
        </patternFill>
      </fill>
    </dxf>
    <dxf>
      <fill>
        <patternFill patternType="solid">
          <fgColor rgb="FF71C487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D0ECD8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i val="1"/>
        <color rgb="FF808080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b val="1"/>
        <i val="1"/>
        <color rgb="FFBF8F00"/>
      </font>
      <fill>
        <patternFill>
          <bgColor rgb="FFFFF2C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7E6E6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2F3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E3F1"/>
      <rgbColor rgb="FFFCE4D6"/>
      <rgbColor rgb="FFEDEDED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B2" s="2"/>
    </row>
    <row r="3" customFormat="false" ht="27.75" hidden="false" customHeight="true" outlineLevel="0" collapsed="false">
      <c r="B3" s="3" t="s">
        <v>1</v>
      </c>
    </row>
    <row r="4" customFormat="false" ht="15" hidden="false" customHeight="false" outlineLevel="0" collapsed="false">
      <c r="B4" s="2"/>
    </row>
    <row r="5" customFormat="false" ht="14.9" hidden="false" customHeight="false" outlineLevel="0" collapsed="false">
      <c r="A5" s="4" t="s">
        <v>2</v>
      </c>
      <c r="B5" s="4"/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2"/>
    </row>
    <row r="11" customFormat="false" ht="14.9" hidden="false" customHeight="false" outlineLevel="0" collapsed="false">
      <c r="A11" s="4" t="s">
        <v>7</v>
      </c>
      <c r="B11" s="4"/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 t="s">
        <v>16</v>
      </c>
    </row>
    <row r="21" customFormat="false" ht="15" hidden="false" customHeight="false" outlineLevel="0" collapsed="false">
      <c r="B21" s="2" t="s">
        <v>17</v>
      </c>
    </row>
    <row r="22" customFormat="false" ht="1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A24" s="6" t="s">
        <v>19</v>
      </c>
      <c r="B24" s="6"/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B26" s="5" t="s">
        <v>21</v>
      </c>
    </row>
    <row r="27" customFormat="false" ht="15" hidden="false" customHeight="false" outlineLevel="0" collapsed="false">
      <c r="B27" s="2" t="s">
        <v>22</v>
      </c>
    </row>
    <row r="28" customFormat="false" ht="15" hidden="false" customHeight="false" outlineLevel="0" collapsed="false">
      <c r="B28" s="2" t="s">
        <v>23</v>
      </c>
    </row>
    <row r="29" customFormat="false" ht="15" hidden="false" customHeight="false" outlineLevel="0" collapsed="false">
      <c r="B29" s="5" t="s">
        <v>24</v>
      </c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A31" s="6" t="s">
        <v>25</v>
      </c>
      <c r="B31" s="6"/>
    </row>
    <row r="32" customFormat="false" ht="15" hidden="false" customHeight="false" outlineLevel="0" collapsed="false">
      <c r="B32" s="5" t="s">
        <v>26</v>
      </c>
    </row>
    <row r="33" customFormat="false" ht="15" hidden="false" customHeight="false" outlineLevel="0" collapsed="false">
      <c r="B33" s="5" t="s">
        <v>27</v>
      </c>
    </row>
    <row r="34" customFormat="false" ht="15" hidden="false" customHeight="false" outlineLevel="0" collapsed="false">
      <c r="B34" s="5" t="s">
        <v>28</v>
      </c>
    </row>
    <row r="35" customFormat="false" ht="15" hidden="false" customHeight="false" outlineLevel="0" collapsed="false">
      <c r="B35" s="5" t="s">
        <v>29</v>
      </c>
    </row>
    <row r="36" customFormat="false" ht="15" hidden="false" customHeight="false" outlineLevel="0" collapsed="false">
      <c r="B36" s="2"/>
    </row>
    <row r="37" customFormat="false" ht="15" hidden="false" customHeight="false" outlineLevel="0" collapsed="false">
      <c r="A37" s="6" t="s">
        <v>30</v>
      </c>
      <c r="B37" s="6"/>
    </row>
    <row r="38" customFormat="false" ht="15" hidden="false" customHeight="false" outlineLevel="0" collapsed="false">
      <c r="B38" s="5" t="s">
        <v>31</v>
      </c>
    </row>
    <row r="39" customFormat="false" ht="15" hidden="false" customHeight="false" outlineLevel="0" collapsed="false">
      <c r="B39" s="5" t="s">
        <v>32</v>
      </c>
    </row>
    <row r="40" customFormat="false" ht="15" hidden="false" customHeight="false" outlineLevel="0" collapsed="false">
      <c r="B40" s="5" t="s">
        <v>33</v>
      </c>
    </row>
    <row r="41" customFormat="false" ht="15" hidden="false" customHeight="false" outlineLevel="0" collapsed="false">
      <c r="B41" s="5" t="s">
        <v>34</v>
      </c>
    </row>
    <row r="42" customFormat="false" ht="15" hidden="false" customHeight="false" outlineLevel="0" collapsed="false">
      <c r="B42" s="5" t="s">
        <v>35</v>
      </c>
    </row>
    <row r="43" customFormat="false" ht="15" hidden="false" customHeight="false" outlineLevel="0" collapsed="false">
      <c r="B43" s="5" t="s">
        <v>36</v>
      </c>
    </row>
    <row r="44" customFormat="false" ht="15" hidden="false" customHeight="false" outlineLevel="0" collapsed="false">
      <c r="B44" s="2"/>
    </row>
    <row r="45" customFormat="false" ht="15" hidden="false" customHeight="false" outlineLevel="0" collapsed="false">
      <c r="A45" s="6" t="s">
        <v>37</v>
      </c>
      <c r="B45" s="6"/>
    </row>
    <row r="46" customFormat="false" ht="15" hidden="false" customHeight="false" outlineLevel="0" collapsed="false">
      <c r="B46" s="2" t="s">
        <v>38</v>
      </c>
    </row>
    <row r="47" customFormat="false" ht="15" hidden="false" customHeight="false" outlineLevel="0" collapsed="false">
      <c r="B47" s="2" t="s">
        <v>39</v>
      </c>
    </row>
    <row r="48" customFormat="false" ht="15" hidden="false" customHeight="false" outlineLevel="0" collapsed="false">
      <c r="B48" s="5" t="s">
        <v>40</v>
      </c>
    </row>
    <row r="49" customFormat="false" ht="15" hidden="false" customHeight="false" outlineLevel="0" collapsed="false">
      <c r="B49" s="2"/>
    </row>
    <row r="50" customFormat="false" ht="15" hidden="false" customHeight="false" outlineLevel="0" collapsed="false">
      <c r="A50" s="6" t="s">
        <v>41</v>
      </c>
      <c r="B50" s="6"/>
    </row>
    <row r="51" customFormat="false" ht="15" hidden="false" customHeight="false" outlineLevel="0" collapsed="false">
      <c r="B51" s="5" t="s">
        <v>42</v>
      </c>
    </row>
    <row r="52" customFormat="false" ht="15" hidden="false" customHeight="false" outlineLevel="0" collapsed="false">
      <c r="B52" s="2"/>
    </row>
    <row r="53" customFormat="false" ht="15" hidden="false" customHeight="false" outlineLevel="0" collapsed="false">
      <c r="A53" s="6" t="s">
        <v>43</v>
      </c>
      <c r="B53" s="6"/>
    </row>
    <row r="54" customFormat="false" ht="15" hidden="false" customHeight="false" outlineLevel="0" collapsed="false">
      <c r="B54" s="2" t="s">
        <v>44</v>
      </c>
    </row>
  </sheetData>
  <mergeCells count="8">
    <mergeCell ref="A5:B5"/>
    <mergeCell ref="A11:B11"/>
    <mergeCell ref="A24:B24"/>
    <mergeCell ref="A31:B31"/>
    <mergeCell ref="A37:B37"/>
    <mergeCell ref="A45:B45"/>
    <mergeCell ref="A50:B50"/>
    <mergeCell ref="A53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1" max="10" min="5" style="0" width="9"/>
    <col collapsed="false" customWidth="true" hidden="false" outlineLevel="1" max="25" min="11" style="0" width="10"/>
    <col collapsed="false" customWidth="true" hidden="false" outlineLevel="1" max="29" min="26" style="0" width="12"/>
  </cols>
  <sheetData>
    <row r="1" customFormat="false" ht="15" hidden="false" customHeight="false" outlineLevel="0" collapsed="false">
      <c r="A1" s="7" t="s">
        <v>45</v>
      </c>
      <c r="B1" s="7"/>
      <c r="C1" s="7"/>
      <c r="D1" s="7"/>
      <c r="E1" s="8" t="s">
        <v>46</v>
      </c>
      <c r="F1" s="8"/>
      <c r="G1" s="8"/>
      <c r="H1" s="8"/>
      <c r="I1" s="9" t="s">
        <v>47</v>
      </c>
      <c r="J1" s="9"/>
      <c r="K1" s="10" t="s">
        <v>48</v>
      </c>
      <c r="L1" s="10"/>
      <c r="M1" s="10"/>
      <c r="N1" s="10"/>
      <c r="O1" s="10"/>
      <c r="P1" s="10"/>
      <c r="Q1" s="10"/>
      <c r="R1" s="10"/>
      <c r="S1" s="11" t="s">
        <v>49</v>
      </c>
      <c r="T1" s="11"/>
      <c r="U1" s="11"/>
      <c r="V1" s="11"/>
      <c r="W1" s="12" t="s">
        <v>50</v>
      </c>
      <c r="X1" s="12"/>
      <c r="Y1" s="12"/>
      <c r="Z1" s="13" t="s">
        <v>51</v>
      </c>
      <c r="AA1" s="13"/>
      <c r="AB1" s="13"/>
      <c r="AC1" s="13"/>
    </row>
    <row r="2" customFormat="false" ht="31.5" hidden="false" customHeight="true" outlineLevel="0" collapsed="false">
      <c r="A2" s="14" t="s">
        <v>52</v>
      </c>
      <c r="B2" s="15" t="s">
        <v>53</v>
      </c>
      <c r="C2" s="15" t="s">
        <v>54</v>
      </c>
      <c r="D2" s="15" t="s">
        <v>55</v>
      </c>
      <c r="E2" s="14" t="s">
        <v>56</v>
      </c>
      <c r="F2" s="14" t="s">
        <v>57</v>
      </c>
      <c r="G2" s="14" t="s">
        <v>58</v>
      </c>
      <c r="H2" s="14" t="s">
        <v>59</v>
      </c>
      <c r="I2" s="15" t="s">
        <v>47</v>
      </c>
      <c r="J2" s="15" t="s">
        <v>60</v>
      </c>
      <c r="K2" s="15" t="s">
        <v>61</v>
      </c>
      <c r="L2" s="15" t="s">
        <v>62</v>
      </c>
      <c r="M2" s="15" t="s">
        <v>63</v>
      </c>
      <c r="N2" s="15" t="s">
        <v>64</v>
      </c>
      <c r="O2" s="15" t="s">
        <v>65</v>
      </c>
      <c r="P2" s="15" t="s">
        <v>66</v>
      </c>
      <c r="Q2" s="14" t="s">
        <v>67</v>
      </c>
      <c r="R2" s="14" t="s">
        <v>68</v>
      </c>
      <c r="S2" s="15" t="s">
        <v>49</v>
      </c>
      <c r="T2" s="14" t="s">
        <v>69</v>
      </c>
      <c r="U2" s="14" t="s">
        <v>70</v>
      </c>
      <c r="V2" s="14" t="s">
        <v>71</v>
      </c>
      <c r="W2" s="14" t="s">
        <v>72</v>
      </c>
      <c r="X2" s="14" t="s">
        <v>73</v>
      </c>
      <c r="Y2" s="14" t="s">
        <v>74</v>
      </c>
      <c r="Z2" s="15" t="s">
        <v>75</v>
      </c>
      <c r="AA2" s="15" t="s">
        <v>76</v>
      </c>
      <c r="AB2" s="15" t="s">
        <v>77</v>
      </c>
      <c r="AC2" s="15" t="s">
        <v>78</v>
      </c>
    </row>
    <row r="3" customFormat="false" ht="15" hidden="false" customHeight="false" outlineLevel="0" collapsed="false">
      <c r="A3" s="16" t="str">
        <f aca="false">IF(Calc!$A$2="","",Calc!A$2)</f>
        <v>AAPL</v>
      </c>
      <c r="B3" s="16" t="str">
        <f aca="false">IF(Calc!$A$2="","",Calc!B$2)</f>
        <v>Apple Inc.</v>
      </c>
      <c r="C3" s="16" t="n">
        <f aca="false">IF(Calc!$A$2="","",Calc!C$2)</f>
        <v>0</v>
      </c>
      <c r="D3" s="17" t="n">
        <f aca="false">IF(Calc!$A$2="","",Calc!D$2)</f>
        <v>329.359985351563</v>
      </c>
      <c r="E3" s="18" t="n">
        <f aca="false">IF(Calc!$A$2="","",Calc!J$2)</f>
        <v>37.7706405219682</v>
      </c>
      <c r="F3" s="18" t="n">
        <f aca="false">IF(Calc!$A$2="","",Calc!L$2)</f>
        <v>34.5077663111518</v>
      </c>
      <c r="G3" s="17" t="n">
        <f aca="false">IF(Calc!$A$2="","",Calc!N$2)</f>
        <v>1.16858460582052</v>
      </c>
      <c r="H3" s="17" t="n">
        <f aca="false">IF(Calc!$A$2="","",Calc!O$2)</f>
        <v>3.99732040728199</v>
      </c>
      <c r="I3" s="19" t="n">
        <f aca="false">IF(Calc!$A$2="","",Calc!Q$2)</f>
        <v>0.00318800111336906</v>
      </c>
      <c r="J3" s="19" t="n">
        <f aca="false">IF(Calc!$A$2="","",Calc!R$2)</f>
        <v>0.0396039603960396</v>
      </c>
      <c r="K3" s="19" t="n">
        <f aca="false">IF(Calc!$A$2="","",Calc!T$2)</f>
        <v>-0.0158925744711469</v>
      </c>
      <c r="L3" s="19" t="n">
        <f aca="false">IF(Calc!$A$2="","",Calc!U$2)</f>
        <v>-0.226578368902863</v>
      </c>
      <c r="M3" s="20" t="n">
        <f aca="false">IF(Calc!$A$2="","",Calc!V$2)</f>
        <v>21.0685794431716</v>
      </c>
      <c r="N3" s="21" t="str">
        <f aca="false">IF(Calc!$A$2="","",Calc!W$2)</f>
        <v>衰退但收斂</v>
      </c>
      <c r="O3" s="20" t="n">
        <f aca="false">IF(Calc!$A$2="","",Calc!X$2)</f>
        <v>-0.201868737082078</v>
      </c>
      <c r="P3" s="19" t="n">
        <f aca="false">IF(Calc!$A$2="","",Calc!S$2)</f>
        <v>0.163565017652814</v>
      </c>
      <c r="Q3" s="19" t="n">
        <f aca="false">IF(Calc!$A$2="","",Calc!Y$2)</f>
        <v>0.286624203821656</v>
      </c>
      <c r="R3" s="19" t="n">
        <f aca="false">IF(Calc!$A$2="","",Calc!I$2)</f>
        <v>0.323216995447648</v>
      </c>
      <c r="S3" s="19" t="n">
        <f aca="false">IF(Calc!$A$2="","",Calc!Z$2)</f>
        <v>0.48652915559002</v>
      </c>
      <c r="T3" s="19" t="n">
        <f aca="false">IF(Calc!$A$2="","",Calc!AA$2)</f>
        <v>0.457445562811989</v>
      </c>
      <c r="U3" s="22" t="n">
        <f aca="false">IF(Calc!$A$2="","",Calc!AB$2)</f>
        <v>290.835927780316</v>
      </c>
      <c r="V3" s="22" t="n">
        <f aca="false">IF(Calc!$A$2="","",Calc!AC$2)</f>
        <v>356.550130076156</v>
      </c>
      <c r="W3" s="19" t="n">
        <f aca="false">IF(Calc!$A$2="","",Calc!AF$2)</f>
        <v>1.48695399988463</v>
      </c>
      <c r="X3" s="19" t="n">
        <f aca="false">IF(Calc!$A$2="","",Calc!AG$2)</f>
        <v>1.43278029580883</v>
      </c>
      <c r="Y3" s="19" t="n">
        <f aca="false">IF(Calc!$A$2="","",Calc!AH$2)</f>
        <v>1.20635572400558</v>
      </c>
      <c r="Z3" s="17" t="n">
        <f aca="false">IF(Calc!$A$2="","",Calc!AI$2)</f>
        <v>1.97656</v>
      </c>
      <c r="AA3" s="16" t="str">
        <f aca="false">IF(Calc!$A$2="","",Calc!AJ$2)</f>
        <v>FY2026Q4E</v>
      </c>
      <c r="AB3" s="16" t="str">
        <f aca="false">IF(Calc!$A$2="","",Calc!AK$2)</f>
        <v>consensus</v>
      </c>
      <c r="AC3" s="23" t="n">
        <f aca="false">IF(Calc!$A$2="","",Calc!AM$2)</f>
        <v>46324</v>
      </c>
    </row>
    <row r="4" customFormat="false" ht="15" hidden="false" customHeight="false" outlineLevel="0" collapsed="false">
      <c r="A4" s="16" t="str">
        <f aca="false">IF(Calc!$A$3="","",Calc!A$3)</f>
        <v>MSFT</v>
      </c>
      <c r="B4" s="16" t="str">
        <f aca="false">IF(Calc!$A$3="","",Calc!B$3)</f>
        <v>Microsoft Corporation</v>
      </c>
      <c r="C4" s="16" t="n">
        <f aca="false">IF(Calc!$A$3="","",Calc!C$3)</f>
        <v>0</v>
      </c>
      <c r="D4" s="17" t="n">
        <f aca="false">IF(Calc!$A$3="","",Calc!D$3)</f>
        <v>500.839996337891</v>
      </c>
      <c r="E4" s="18" t="n">
        <f aca="false">IF(Calc!$A$3="","",Calc!J$3)</f>
        <v>28.9837960843687</v>
      </c>
      <c r="F4" s="18" t="n">
        <f aca="false">IF(Calc!$A$3="","",Calc!L$3)</f>
        <v>24.3500717796795</v>
      </c>
      <c r="G4" s="17" t="n">
        <f aca="false">IF(Calc!$A$3="","",Calc!N$3)</f>
        <v>1.08609609502964</v>
      </c>
      <c r="H4" s="17" t="n">
        <f aca="false">IF(Calc!$A$3="","",Calc!O$3)</f>
        <v>1.25529773424812</v>
      </c>
      <c r="I4" s="19" t="n">
        <f aca="false">IF(Calc!$A$3="","",Calc!Q$3)</f>
        <v>0.00710805851375786</v>
      </c>
      <c r="J4" s="19" t="n">
        <f aca="false">IF(Calc!$A$3="","",Calc!R$3)</f>
        <v>0.0987654320987654</v>
      </c>
      <c r="K4" s="19" t="n">
        <f aca="false">IF(Calc!$A$3="","",Calc!T$3)</f>
        <v>0.0859131819607655</v>
      </c>
      <c r="L4" s="19" t="n">
        <f aca="false">IF(Calc!$A$3="","",Calc!U$3)</f>
        <v>0.0198466895524958</v>
      </c>
      <c r="M4" s="20" t="n">
        <f aca="false">IF(Calc!$A$3="","",Calc!V$3)</f>
        <v>6.60664924082697</v>
      </c>
      <c r="N4" s="21" t="str">
        <f aca="false">IF(Calc!$A$3="","",Calc!W$3)</f>
        <v>成長且加速</v>
      </c>
      <c r="O4" s="20" t="n">
        <f aca="false">IF(Calc!$A$3="","",Calc!X$3)</f>
        <v>-0.507246014810336</v>
      </c>
      <c r="P4" s="19" t="n">
        <f aca="false">IF(Calc!$A$3="","",Calc!S$3)</f>
        <v>0.177470205779621</v>
      </c>
      <c r="Q4" s="19" t="n">
        <f aca="false">IF(Calc!$A$3="","",Calc!Y$3)</f>
        <v>0.298630136986301</v>
      </c>
      <c r="R4" s="19" t="n">
        <f aca="false">IF(Calc!$A$3="","",Calc!I$3)</f>
        <v>0.266862170087977</v>
      </c>
      <c r="S4" s="19" t="n">
        <f aca="false">IF(Calc!$A$3="","",Calc!Z$3)</f>
        <v>0.679440933705803</v>
      </c>
      <c r="T4" s="19" t="n">
        <f aca="false">IF(Calc!$A$3="","",Calc!AA$3)</f>
        <v>0.68725558961911</v>
      </c>
      <c r="U4" s="22" t="n">
        <f aca="false">IF(Calc!$A$3="","",Calc!AB$3)</f>
        <v>-78.1465591330677</v>
      </c>
      <c r="V4" s="22" t="n">
        <f aca="false">IF(Calc!$A$3="","",Calc!AC$3)</f>
        <v>-138.792591510458</v>
      </c>
      <c r="W4" s="19" t="n">
        <f aca="false">IF(Calc!$A$3="","",Calc!AF$3)</f>
        <v>0.32776313010106</v>
      </c>
      <c r="X4" s="19" t="n">
        <f aca="false">IF(Calc!$A$3="","",Calc!AG$3)</f>
        <v>0.313217683748641</v>
      </c>
      <c r="Y4" s="19" t="n">
        <f aca="false">IF(Calc!$A$3="","",Calc!AH$3)</f>
        <v>0.332450085468153</v>
      </c>
      <c r="Z4" s="17" t="n">
        <f aca="false">IF(Calc!$A$3="","",Calc!AI$3)</f>
        <v>4.72092</v>
      </c>
      <c r="AA4" s="16" t="str">
        <f aca="false">IF(Calc!$A$3="","",Calc!AJ$3)</f>
        <v>FY2027Q1E</v>
      </c>
      <c r="AB4" s="16" t="str">
        <f aca="false">IF(Calc!$A$3="","",Calc!AK$3)</f>
        <v>consensus</v>
      </c>
      <c r="AC4" s="23" t="n">
        <f aca="false">IF(Calc!$A$3="","",Calc!AM$3)</f>
        <v>46323</v>
      </c>
    </row>
    <row r="5" customFormat="false" ht="15" hidden="false" customHeight="false" outlineLevel="0" collapsed="false">
      <c r="A5" s="16" t="str">
        <f aca="false">IF(Calc!$A$4="","",Calc!A$4)</f>
        <v>NVDA</v>
      </c>
      <c r="B5" s="16" t="str">
        <f aca="false">IF(Calc!$A$4="","",Calc!B$4)</f>
        <v>NVIDIA Corporation</v>
      </c>
      <c r="C5" s="16" t="n">
        <f aca="false">IF(Calc!$A$4="","",Calc!C$4)</f>
        <v>0</v>
      </c>
      <c r="D5" s="17" t="n">
        <f aca="false">IF(Calc!$A$4="","",Calc!D$4)</f>
        <v>212.270004272461</v>
      </c>
      <c r="E5" s="18" t="n">
        <f aca="false">IF(Calc!$A$4="","",Calc!J$4)</f>
        <v>30.2810277136178</v>
      </c>
      <c r="F5" s="18" t="n">
        <f aca="false">IF(Calc!$A$4="","",Calc!L$4)</f>
        <v>16.0446687371251</v>
      </c>
      <c r="G5" s="17" t="n">
        <f aca="false">IF(Calc!$A$4="","",Calc!N$4)</f>
        <v>0.312465097566607</v>
      </c>
      <c r="H5" s="17" t="n">
        <f aca="false">IF(Calc!$A$4="","",Calc!O$4)</f>
        <v>0.236723482375591</v>
      </c>
      <c r="I5" s="19" t="n">
        <f aca="false">IF(Calc!$A$4="","",Calc!Q$4)</f>
        <v>0.00131907473672354</v>
      </c>
      <c r="J5" s="19" t="n">
        <f aca="false">IF(Calc!$A$4="","",Calc!R$4)</f>
        <v>6</v>
      </c>
      <c r="K5" s="19" t="n">
        <f aca="false">IF(Calc!$A$4="","",Calc!T$4)</f>
        <v>2.71218526006249</v>
      </c>
      <c r="L5" s="19" t="n">
        <f aca="false">IF(Calc!$A$4="","",Calc!U$4)</f>
        <v>0.197983178475494</v>
      </c>
      <c r="M5" s="20" t="n">
        <f aca="false">IF(Calc!$A$4="","",Calc!V$4)</f>
        <v>251.420208158699</v>
      </c>
      <c r="N5" s="21" t="str">
        <f aca="false">IF(Calc!$A$4="","",Calc!W$4)</f>
        <v>成長且加速</v>
      </c>
      <c r="O5" s="20" t="n">
        <f aca="false">IF(Calc!$A$4="","",Calc!X$4)</f>
        <v>265.133917953959</v>
      </c>
      <c r="P5" s="19" t="n">
        <f aca="false">IF(Calc!$A$4="","",Calc!S$4)</f>
        <v>5.48161222001155</v>
      </c>
      <c r="Q5" s="19" t="n">
        <f aca="false">IF(Calc!$A$4="","",Calc!Y$4)</f>
        <v>1.11428571428571</v>
      </c>
      <c r="R5" s="19" t="n">
        <f aca="false">IF(Calc!$A$4="","",Calc!I$4)</f>
        <v>0.969101123595506</v>
      </c>
      <c r="S5" s="19" t="n">
        <f aca="false">IF(Calc!$A$4="","",Calc!Z$4)</f>
        <v>0.746177298035384</v>
      </c>
      <c r="T5" s="19" t="n">
        <f aca="false">IF(Calc!$A$4="","",Calc!AA$4)</f>
        <v>0.729320755893876</v>
      </c>
      <c r="U5" s="22" t="n">
        <f aca="false">IF(Calc!$A$4="","",Calc!AB$4)</f>
        <v>168.565421415088</v>
      </c>
      <c r="V5" s="22" t="n">
        <f aca="false">IF(Calc!$A$4="","",Calc!AC$4)</f>
        <v>225.071179190973</v>
      </c>
      <c r="W5" s="19" t="n">
        <f aca="false">IF(Calc!$A$4="","",Calc!AF$4)</f>
        <v>1.04025255609741</v>
      </c>
      <c r="X5" s="19" t="n">
        <f aca="false">IF(Calc!$A$4="","",Calc!AG$4)</f>
        <v>0.636705495211558</v>
      </c>
      <c r="Y5" s="19" t="n">
        <f aca="false">IF(Calc!$A$4="","",Calc!AH$4)</f>
        <v>0.991616710447018</v>
      </c>
      <c r="Z5" s="17" t="n">
        <f aca="false">IF(Calc!$A$4="","",Calc!AI$4)</f>
        <v>2.34</v>
      </c>
      <c r="AA5" s="16" t="str">
        <f aca="false">IF(Calc!$A$4="","",Calc!AJ$4)</f>
        <v>FY2027Q3E</v>
      </c>
      <c r="AB5" s="16" t="str">
        <f aca="false">IF(Calc!$A$4="","",Calc!AK$4)</f>
        <v>consensus</v>
      </c>
      <c r="AC5" s="23" t="n">
        <f aca="false">IF(Calc!$A$4="","",Calc!AM$4)</f>
        <v>46343</v>
      </c>
    </row>
    <row r="6" customFormat="false" ht="15" hidden="false" customHeight="false" outlineLevel="0" collapsed="false">
      <c r="A6" s="16" t="str">
        <f aca="false">IF(Calc!$A$5="","",Calc!A$5)</f>
        <v>AAOI</v>
      </c>
      <c r="B6" s="16" t="str">
        <f aca="false">IF(Calc!$A$5="","",Calc!B$5)</f>
        <v>Applied Optoelectronics, Inc.</v>
      </c>
      <c r="C6" s="16" t="str">
        <f aca="false">IF(Calc!$A$5="","",Calc!C$5)</f>
        <v>觀察</v>
      </c>
      <c r="D6" s="17" t="n">
        <f aca="false">IF(Calc!$A$5="","",Calc!D$5)</f>
        <v>96.3499984741211</v>
      </c>
      <c r="E6" s="18" t="str">
        <f aca="false">IF(Calc!$A$5="","",Calc!J$5)</f>
        <v>N/M</v>
      </c>
      <c r="F6" s="18" t="n">
        <f aca="false">IF(Calc!$A$5="","",Calc!L$5)</f>
        <v>27.909228842589</v>
      </c>
      <c r="G6" s="17" t="str">
        <f aca="false">IF(Calc!$A$5="","",Calc!N$5)</f>
        <v>N/M</v>
      </c>
      <c r="H6" s="17" t="n">
        <f aca="false">IF(Calc!$A$5="","",Calc!O$5)</f>
        <v>0.0483892799922502</v>
      </c>
      <c r="I6" s="19" t="str">
        <f aca="false">IF(Calc!$A$5="","",Calc!Q$5)</f>
        <v>不配息</v>
      </c>
      <c r="J6" s="19" t="str">
        <f aca="false">IF(Calc!$A$5="","",Calc!R$5)</f>
        <v/>
      </c>
      <c r="K6" s="19" t="n">
        <f aca="false">IF(Calc!$A$5="","",Calc!T$5)</f>
        <v>0.269795691525962</v>
      </c>
      <c r="L6" s="19" t="n">
        <f aca="false">IF(Calc!$A$5="","",Calc!U$5)</f>
        <v>0.125638619539151</v>
      </c>
      <c r="M6" s="20" t="n">
        <f aca="false">IF(Calc!$A$5="","",Calc!V$5)</f>
        <v>14.4157071986811</v>
      </c>
      <c r="N6" s="21" t="str">
        <f aca="false">IF(Calc!$A$5="","",Calc!W$5)</f>
        <v>成長且加速</v>
      </c>
      <c r="O6" s="20" t="n">
        <f aca="false">IF(Calc!$A$5="","",Calc!X$5)</f>
        <v>23.8822018647203</v>
      </c>
      <c r="P6" s="19" t="n">
        <f aca="false">IF(Calc!$A$5="","",Calc!S$5)</f>
        <v>0.864189136685057</v>
      </c>
      <c r="Q6" s="19" t="n">
        <f aca="false">IF(Calc!$A$5="","",Calc!Y$5)</f>
        <v>-1.375</v>
      </c>
      <c r="R6" s="19" t="n">
        <f aca="false">IF(Calc!$A$5="","",Calc!I$5)</f>
        <v>-0.731707317073171</v>
      </c>
      <c r="S6" s="19" t="n">
        <f aca="false">IF(Calc!$A$5="","",Calc!Z$5)</f>
        <v>0.289158850277699</v>
      </c>
      <c r="T6" s="19" t="n">
        <f aca="false">IF(Calc!$A$5="","",Calc!AA$5)</f>
        <v>0.253464763497746</v>
      </c>
      <c r="U6" s="22" t="n">
        <f aca="false">IF(Calc!$A$5="","",Calc!AB$5)</f>
        <v>356.940867799522</v>
      </c>
      <c r="V6" s="22" t="n">
        <f aca="false">IF(Calc!$A$5="","",Calc!AC$5)</f>
        <v>-254.523289533234</v>
      </c>
      <c r="W6" s="19" t="n">
        <f aca="false">IF(Calc!$A$5="","",Calc!AF$5)</f>
        <v>-0.00652409978757825</v>
      </c>
      <c r="X6" s="19" t="n">
        <f aca="false">IF(Calc!$A$5="","",Calc!AG$5)</f>
        <v>-0.126183636440972</v>
      </c>
      <c r="Y6" s="19" t="n">
        <f aca="false">IF(Calc!$A$5="","",Calc!AH$5)</f>
        <v>0.0332526430958769</v>
      </c>
      <c r="Z6" s="17" t="n">
        <f aca="false">IF(Calc!$A$5="","",Calc!AI$5)</f>
        <v>0.14333</v>
      </c>
      <c r="AA6" s="16" t="str">
        <f aca="false">IF(Calc!$A$5="","",Calc!AJ$5)</f>
        <v>FY2026Q3E</v>
      </c>
      <c r="AB6" s="16" t="str">
        <f aca="false">IF(Calc!$A$5="","",Calc!AK$5)</f>
        <v>consensus</v>
      </c>
      <c r="AC6" s="23" t="n">
        <f aca="false">IF(Calc!$A$5="","",Calc!AM$5)</f>
        <v>46331</v>
      </c>
    </row>
    <row r="7" customFormat="false" ht="15" hidden="false" customHeight="false" outlineLevel="0" collapsed="false">
      <c r="A7" s="16" t="str">
        <f aca="false">IF(Calc!$A$6="","",Calc!A$6)</f>
        <v>MRVL</v>
      </c>
      <c r="B7" s="16" t="str">
        <f aca="false">IF(Calc!$A$6="","",Calc!B$6)</f>
        <v>Marvell Technology, Inc.</v>
      </c>
      <c r="C7" s="16" t="str">
        <f aca="false">IF(Calc!$A$6="","",Calc!C$6)</f>
        <v>池子</v>
      </c>
      <c r="D7" s="17" t="n">
        <f aca="false">IF(Calc!$A$6="","",Calc!D$6)</f>
        <v>224.320007324219</v>
      </c>
      <c r="E7" s="18" t="n">
        <f aca="false">IF(Calc!$A$6="","",Calc!J$6)</f>
        <v>67.9757597952178</v>
      </c>
      <c r="F7" s="18" t="n">
        <f aca="false">IF(Calc!$A$6="","",Calc!L$6)</f>
        <v>38.6929986459284</v>
      </c>
      <c r="G7" s="17" t="n">
        <f aca="false">IF(Calc!$A$6="","",Calc!N$6)</f>
        <v>1.60922206862148</v>
      </c>
      <c r="H7" s="17" t="n">
        <f aca="false">IF(Calc!$A$6="","",Calc!O$6)</f>
        <v>0.639724325268133</v>
      </c>
      <c r="I7" s="19" t="n">
        <f aca="false">IF(Calc!$A$6="","",Calc!Q$6)</f>
        <v>0.0010699001077203</v>
      </c>
      <c r="J7" s="19" t="n">
        <f aca="false">IF(Calc!$A$6="","",Calc!R$6)</f>
        <v>0</v>
      </c>
      <c r="K7" s="19" t="n">
        <f aca="false">IF(Calc!$A$6="","",Calc!T$6)</f>
        <v>0.132972123417983</v>
      </c>
      <c r="L7" s="19" t="n">
        <f aca="false">IF(Calc!$A$6="","",Calc!U$6)</f>
        <v>0.0897372335151216</v>
      </c>
      <c r="M7" s="20" t="n">
        <f aca="false">IF(Calc!$A$6="","",Calc!V$6)</f>
        <v>4.32348899028616</v>
      </c>
      <c r="N7" s="21" t="str">
        <f aca="false">IF(Calc!$A$6="","",Calc!W$6)</f>
        <v>成長且加速</v>
      </c>
      <c r="O7" s="20" t="n">
        <f aca="false">IF(Calc!$A$6="","",Calc!X$6)</f>
        <v>7.4511721370814</v>
      </c>
      <c r="P7" s="19" t="n">
        <f aca="false">IF(Calc!$A$6="","",Calc!S$6)</f>
        <v>0.365485269926724</v>
      </c>
      <c r="Q7" s="19" t="n">
        <f aca="false">IF(Calc!$A$6="","",Calc!Y$6)</f>
        <v>0.402985074626866</v>
      </c>
      <c r="R7" s="19" t="n">
        <f aca="false">IF(Calc!$A$6="","",Calc!I$6)</f>
        <v>0.422413793103448</v>
      </c>
      <c r="S7" s="19" t="n">
        <f aca="false">IF(Calc!$A$6="","",Calc!Z$6)</f>
        <v>0.522110409193359</v>
      </c>
      <c r="T7" s="19" t="n">
        <f aca="false">IF(Calc!$A$6="","",Calc!AA$6)</f>
        <v>0.478380825799555</v>
      </c>
      <c r="U7" s="22" t="n">
        <f aca="false">IF(Calc!$A$6="","",Calc!AB$6)</f>
        <v>437.295833938042</v>
      </c>
      <c r="V7" s="22" t="n">
        <f aca="false">IF(Calc!$A$6="","",Calc!AC$6)</f>
        <v>276.131078056631</v>
      </c>
      <c r="W7" s="19" t="n">
        <f aca="false">IF(Calc!$A$6="","",Calc!AF$6)</f>
        <v>0.182888152397405</v>
      </c>
      <c r="X7" s="19" t="n">
        <f aca="false">IF(Calc!$A$6="","",Calc!AG$6)</f>
        <v>0.0988212987040118</v>
      </c>
      <c r="Y7" s="19" t="n">
        <f aca="false">IF(Calc!$A$6="","",Calc!AH$6)</f>
        <v>0.209414972911136</v>
      </c>
      <c r="Z7" s="17" t="n">
        <f aca="false">IF(Calc!$A$6="","",Calc!AI$6)</f>
        <v>1.1004</v>
      </c>
      <c r="AA7" s="16" t="str">
        <f aca="false">IF(Calc!$A$6="","",Calc!AJ$6)</f>
        <v>FY2027Q3E</v>
      </c>
      <c r="AB7" s="16" t="str">
        <f aca="false">IF(Calc!$A$6="","",Calc!AK$6)</f>
        <v>consensus</v>
      </c>
      <c r="AC7" s="23" t="n">
        <f aca="false">IF(Calc!$A$6="","",Calc!AM$6)</f>
        <v>46357</v>
      </c>
    </row>
    <row r="8" customFormat="false" ht="15" hidden="false" customHeight="false" outlineLevel="0" collapsed="false">
      <c r="A8" s="16" t="str">
        <f aca="false">IF(Calc!$A$7="","",Calc!A$7)</f>
        <v>MU</v>
      </c>
      <c r="B8" s="16" t="str">
        <f aca="false">IF(Calc!$A$7="","",Calc!B$7)</f>
        <v>Micron Technology, Inc.</v>
      </c>
      <c r="C8" s="16" t="str">
        <f aca="false">IF(Calc!$A$7="","",Calc!C$7)</f>
        <v>池子</v>
      </c>
      <c r="D8" s="17" t="n">
        <f aca="false">IF(Calc!$A$7="","",Calc!D$7)</f>
        <v>932.77001953125</v>
      </c>
      <c r="E8" s="18" t="n">
        <f aca="false">IF(Calc!$A$7="","",Calc!J$7)</f>
        <v>20.6730944045047</v>
      </c>
      <c r="F8" s="18" t="n">
        <f aca="false">IF(Calc!$A$7="","",Calc!L$7)</f>
        <v>5.97676368432453</v>
      </c>
      <c r="G8" s="17" t="n">
        <f aca="false">IF(Calc!$A$7="","",Calc!N$7)</f>
        <v>0.0344195263611712</v>
      </c>
      <c r="H8" s="17" t="n">
        <f aca="false">IF(Calc!$A$7="","",Calc!O$7)</f>
        <v>0.0531212049234892</v>
      </c>
      <c r="I8" s="19" t="n">
        <f aca="false">IF(Calc!$A$7="","",Calc!Q$7)</f>
        <v>0.000530677433488648</v>
      </c>
      <c r="J8" s="19" t="n">
        <f aca="false">IF(Calc!$A$7="","",Calc!R$7)</f>
        <v>0.076086956521739</v>
      </c>
      <c r="K8" s="19" t="n">
        <f aca="false">IF(Calc!$A$7="","",Calc!T$7)</f>
        <v>0.737468566638726</v>
      </c>
      <c r="L8" s="19" t="n">
        <f aca="false">IF(Calc!$A$7="","",Calc!U$7)</f>
        <v>0.74888221065748</v>
      </c>
      <c r="M8" s="20" t="n">
        <f aca="false">IF(Calc!$A$7="","",Calc!V$7)</f>
        <v>-1.1413644018754</v>
      </c>
      <c r="N8" s="21" t="str">
        <f aca="false">IF(Calc!$A$7="","",Calc!W$7)</f>
        <v>成長但減速</v>
      </c>
      <c r="O8" s="20" t="n">
        <f aca="false">IF(Calc!$A$7="","",Calc!X$7)</f>
        <v>58.2495264763648</v>
      </c>
      <c r="P8" s="19" t="n">
        <f aca="false">IF(Calc!$A$7="","",Calc!S$7)</f>
        <v>3.45715514460811</v>
      </c>
      <c r="Q8" s="19" t="n">
        <f aca="false">IF(Calc!$A$7="","",Calc!Y$7)</f>
        <v>12.1465968586387</v>
      </c>
      <c r="R8" s="19" t="n">
        <f aca="false">IF(Calc!$A$7="","",Calc!I$7)</f>
        <v>6.00621118012422</v>
      </c>
      <c r="S8" s="19" t="n">
        <f aca="false">IF(Calc!$A$7="","",Calc!Z$7)</f>
        <v>0.725690675055941</v>
      </c>
      <c r="T8" s="19" t="n">
        <f aca="false">IF(Calc!$A$7="","",Calc!AA$7)</f>
        <v>0.496566676869707</v>
      </c>
      <c r="U8" s="22" t="n">
        <f aca="false">IF(Calc!$A$7="","",Calc!AB$7)</f>
        <v>2291.23998186234</v>
      </c>
      <c r="V8" s="22" t="n">
        <f aca="false">IF(Calc!$A$7="","",Calc!AC$7)</f>
        <v>4684.55706115273</v>
      </c>
      <c r="W8" s="19" t="n">
        <f aca="false">IF(Calc!$A$7="","",Calc!AF$7)</f>
        <v>0.680652793915707</v>
      </c>
      <c r="X8" s="19" t="n">
        <f aca="false">IF(Calc!$A$7="","",Calc!AG$7)</f>
        <v>0.179851756978296</v>
      </c>
      <c r="Y8" s="19" t="n">
        <f aca="false">IF(Calc!$A$7="","",Calc!AH$7)</f>
        <v>0.834829749116397</v>
      </c>
      <c r="Z8" s="17" t="n">
        <f aca="false">IF(Calc!$A$7="","",Calc!AI$7)</f>
        <v>31.28341</v>
      </c>
      <c r="AA8" s="16" t="str">
        <f aca="false">IF(Calc!$A$7="","",Calc!AJ$7)</f>
        <v>FY2026Q4E</v>
      </c>
      <c r="AB8" s="16" t="str">
        <f aca="false">IF(Calc!$A$7="","",Calc!AK$7)</f>
        <v>consensus</v>
      </c>
      <c r="AC8" s="23" t="n">
        <f aca="false">IF(Calc!$A$7="","",Calc!AM$7)</f>
        <v>46295</v>
      </c>
    </row>
    <row r="9" customFormat="false" ht="15" hidden="false" customHeight="false" outlineLevel="0" collapsed="false">
      <c r="A9" s="16" t="str">
        <f aca="false">IF(Calc!$A$8="","",Calc!A$8)</f>
        <v>TER</v>
      </c>
      <c r="B9" s="16" t="str">
        <f aca="false">IF(Calc!$A$8="","",Calc!B$8)</f>
        <v>Teradyne, Inc.</v>
      </c>
      <c r="C9" s="16" t="str">
        <f aca="false">IF(Calc!$A$8="","",Calc!C$8)</f>
        <v>池子</v>
      </c>
      <c r="D9" s="17" t="n">
        <f aca="false">IF(Calc!$A$8="","",Calc!D$8)</f>
        <v>328.125</v>
      </c>
      <c r="E9" s="18" t="n">
        <f aca="false">IF(Calc!$A$8="","",Calc!J$8)</f>
        <v>42.724609375</v>
      </c>
      <c r="F9" s="18" t="n">
        <f aca="false">IF(Calc!$A$8="","",Calc!L$8)</f>
        <v>30.0986317956919</v>
      </c>
      <c r="G9" s="17" t="n">
        <f aca="false">IF(Calc!$A$8="","",Calc!N$8)</f>
        <v>0.300303795385255</v>
      </c>
      <c r="H9" s="17" t="n">
        <f aca="false">IF(Calc!$A$8="","",Calc!O$8)</f>
        <v>1.06839577951513</v>
      </c>
      <c r="I9" s="19" t="n">
        <f aca="false">IF(Calc!$A$8="","",Calc!Q$8)</f>
        <v>0.00152380952380952</v>
      </c>
      <c r="J9" s="19" t="n">
        <f aca="false">IF(Calc!$A$8="","",Calc!R$8)</f>
        <v>0.0416666666666667</v>
      </c>
      <c r="K9" s="19" t="n">
        <f aca="false">IF(Calc!$A$8="","",Calc!T$8)</f>
        <v>0.0362543606441825</v>
      </c>
      <c r="L9" s="19" t="n">
        <f aca="false">IF(Calc!$A$8="","",Calc!U$8)</f>
        <v>0.183836608553017</v>
      </c>
      <c r="M9" s="20" t="n">
        <f aca="false">IF(Calc!$A$8="","",Calc!V$8)</f>
        <v>-14.7582247908835</v>
      </c>
      <c r="N9" s="21" t="str">
        <f aca="false">IF(Calc!$A$8="","",Calc!W$8)</f>
        <v>成長但減速</v>
      </c>
      <c r="O9" s="20" t="n">
        <f aca="false">IF(Calc!$A$8="","",Calc!X$8)</f>
        <v>8.56695397364704</v>
      </c>
      <c r="P9" s="19" t="n">
        <f aca="false">IF(Calc!$A$8="","",Calc!S$8)</f>
        <v>1.03896305137949</v>
      </c>
      <c r="Q9" s="19" t="n">
        <f aca="false">IF(Calc!$A$8="","",Calc!Y$8)</f>
        <v>3.33333333333333</v>
      </c>
      <c r="R9" s="19" t="n">
        <f aca="false">IF(Calc!$A$8="","",Calc!I$8)</f>
        <v>1.42271293375394</v>
      </c>
      <c r="S9" s="19" t="n">
        <f aca="false">IF(Calc!$A$8="","",Calc!Z$8)</f>
        <v>0.592415912882325</v>
      </c>
      <c r="T9" s="19" t="n">
        <f aca="false">IF(Calc!$A$8="","",Calc!AA$8)</f>
        <v>0.588385499583535</v>
      </c>
      <c r="U9" s="22" t="n">
        <f aca="false">IF(Calc!$A$8="","",Calc!AB$8)</f>
        <v>40.3041329879061</v>
      </c>
      <c r="V9" s="22" t="n">
        <f aca="false">IF(Calc!$A$8="","",Calc!AC$8)</f>
        <v>256.287212686569</v>
      </c>
      <c r="W9" s="19" t="n">
        <f aca="false">IF(Calc!$A$8="","",Calc!AF$8)</f>
        <v>0.386345132643224</v>
      </c>
      <c r="X9" s="19" t="n">
        <f aca="false">IF(Calc!$A$8="","",Calc!AG$8)</f>
        <v>0.19783528496635</v>
      </c>
      <c r="Y9" s="19" t="n">
        <f aca="false">IF(Calc!$A$8="","",Calc!AH$8)</f>
        <v>0.417097824882854</v>
      </c>
      <c r="Z9" s="17" t="n">
        <f aca="false">IF(Calc!$A$8="","",Calc!AI$8)</f>
        <v>2.05052</v>
      </c>
      <c r="AA9" s="16" t="str">
        <f aca="false">IF(Calc!$A$8="","",Calc!AJ$8)</f>
        <v>FY2026Q3E</v>
      </c>
      <c r="AB9" s="16" t="str">
        <f aca="false">IF(Calc!$A$8="","",Calc!AK$8)</f>
        <v>consensus</v>
      </c>
      <c r="AC9" s="23" t="n">
        <f aca="false">IF(Calc!$A$8="","",Calc!AM$8)</f>
        <v>46316</v>
      </c>
    </row>
    <row r="10" customFormat="false" ht="15" hidden="false" customHeight="false" outlineLevel="0" collapsed="false">
      <c r="A10" s="16" t="str">
        <f aca="false">IF(Calc!$A$9="","",Calc!A$9)</f>
        <v>DELL</v>
      </c>
      <c r="B10" s="16" t="str">
        <f aca="false">IF(Calc!$A$9="","",Calc!B$9)</f>
        <v>Dell Technologies Inc.</v>
      </c>
      <c r="C10" s="16" t="str">
        <f aca="false">IF(Calc!$A$9="","",Calc!C$9)</f>
        <v>池子</v>
      </c>
      <c r="D10" s="17" t="n">
        <f aca="false">IF(Calc!$A$9="","",Calc!D$9)</f>
        <v>555.690124511719</v>
      </c>
      <c r="E10" s="18" t="n">
        <f aca="false">IF(Calc!$A$9="","",Calc!J$9)</f>
        <v>40.6800969627905</v>
      </c>
      <c r="F10" s="18" t="n">
        <f aca="false">IF(Calc!$A$9="","",Calc!L$9)</f>
        <v>22.117062255142</v>
      </c>
      <c r="G10" s="17" t="n">
        <f aca="false">IF(Calc!$A$9="","",Calc!N$9)</f>
        <v>0.624164010913317</v>
      </c>
      <c r="H10" s="17" t="str">
        <f aca="false">IF(Calc!$A$9="","",Calc!O$9)</f>
        <v>N/M</v>
      </c>
      <c r="I10" s="19" t="n">
        <f aca="false">IF(Calc!$A$9="","",Calc!Q$9)</f>
        <v>0.00396803884527824</v>
      </c>
      <c r="J10" s="19" t="n">
        <f aca="false">IF(Calc!$A$9="","",Calc!R$9)</f>
        <v>0.185483870967742</v>
      </c>
      <c r="K10" s="19" t="n">
        <f aca="false">IF(Calc!$A$9="","",Calc!T$9)</f>
        <v>0.313460559034123</v>
      </c>
      <c r="L10" s="19" t="n">
        <f aca="false">IF(Calc!$A$9="","",Calc!U$9)</f>
        <v>0.236030364747269</v>
      </c>
      <c r="M10" s="20" t="n">
        <f aca="false">IF(Calc!$A$9="","",Calc!V$9)</f>
        <v>7.74301942868543</v>
      </c>
      <c r="N10" s="21" t="str">
        <f aca="false">IF(Calc!$A$9="","",Calc!W$9)</f>
        <v>成長且加速</v>
      </c>
      <c r="O10" s="20" t="n">
        <f aca="false">IF(Calc!$A$9="","",Calc!X$9)</f>
        <v>33.1439219875928</v>
      </c>
      <c r="P10" s="19" t="n">
        <f aca="false">IF(Calc!$A$9="","",Calc!S$9)</f>
        <v>0.87535289588502</v>
      </c>
      <c r="Q10" s="19" t="n">
        <f aca="false">IF(Calc!$A$9="","",Calc!Y$9)</f>
        <v>2.13548387096774</v>
      </c>
      <c r="R10" s="19" t="n">
        <f aca="false">IF(Calc!$A$9="","",Calc!I$9)</f>
        <v>0.651753325272068</v>
      </c>
      <c r="S10" s="19" t="n">
        <f aca="false">IF(Calc!$A$9="","",Calc!Z$9)</f>
        <v>0.19068372113849</v>
      </c>
      <c r="T10" s="19" t="n">
        <f aca="false">IF(Calc!$A$9="","",Calc!AA$9)</f>
        <v>0.205590388418855</v>
      </c>
      <c r="U10" s="22" t="n">
        <f aca="false">IF(Calc!$A$9="","",Calc!AB$9)</f>
        <v>-149.066672803646</v>
      </c>
      <c r="V10" s="22" t="n">
        <f aca="false">IF(Calc!$A$9="","",Calc!AC$9)</f>
        <v>-336.804262347599</v>
      </c>
      <c r="W10" s="19" t="str">
        <f aca="false">IF(Calc!$A$9="","",Calc!AF$9)</f>
        <v>N/M</v>
      </c>
      <c r="X10" s="19" t="str">
        <f aca="false">IF(Calc!$A$9="","",Calc!AG$9)</f>
        <v/>
      </c>
      <c r="Y10" s="19" t="str">
        <f aca="false">IF(Calc!$A$9="","",Calc!AH$9)</f>
        <v>N/M</v>
      </c>
      <c r="Z10" s="17" t="n">
        <f aca="false">IF(Calc!$A$9="","",Calc!AI$9)</f>
        <v>4.91986</v>
      </c>
      <c r="AA10" s="16" t="str">
        <f aca="false">IF(Calc!$A$9="","",Calc!AJ$9)</f>
        <v>FY2027Q2E</v>
      </c>
      <c r="AB10" s="16" t="str">
        <f aca="false">IF(Calc!$A$9="","",Calc!AK$9)</f>
        <v>consensus</v>
      </c>
      <c r="AC10" s="23" t="n">
        <f aca="false">IF(Calc!$A$9="","",Calc!AM$9)</f>
        <v>46353</v>
      </c>
    </row>
    <row r="11" customFormat="false" ht="15" hidden="false" customHeight="false" outlineLevel="0" collapsed="false">
      <c r="A11" s="16" t="str">
        <f aca="false">IF(Calc!$A$10="","",Calc!A$10)</f>
        <v>DIOD</v>
      </c>
      <c r="B11" s="16" t="str">
        <f aca="false">IF(Calc!$A$10="","",Calc!B$10)</f>
        <v>Diodes Incorporated</v>
      </c>
      <c r="C11" s="16" t="str">
        <f aca="false">IF(Calc!$A$10="","",Calc!C$10)</f>
        <v>池子</v>
      </c>
      <c r="D11" s="17" t="n">
        <f aca="false">IF(Calc!$A$10="","",Calc!D$10)</f>
        <v>87.5299987792969</v>
      </c>
      <c r="E11" s="18" t="n">
        <f aca="false">IF(Calc!$A$10="","",Calc!J$10)</f>
        <v>47.5706515104874</v>
      </c>
      <c r="F11" s="18" t="n">
        <f aca="false">IF(Calc!$A$10="","",Calc!L$10)</f>
        <v>17.2286886710851</v>
      </c>
      <c r="G11" s="17" t="n">
        <f aca="false">IF(Calc!$A$10="","",Calc!N$10)</f>
        <v>0.913658544883965</v>
      </c>
      <c r="H11" s="17" t="n">
        <f aca="false">IF(Calc!$A$10="","",Calc!O$10)</f>
        <v>0.211666746530474</v>
      </c>
      <c r="I11" s="19" t="str">
        <f aca="false">IF(Calc!$A$10="","",Calc!Q$10)</f>
        <v>不配息</v>
      </c>
      <c r="J11" s="19" t="str">
        <f aca="false">IF(Calc!$A$10="","",Calc!R$10)</f>
        <v/>
      </c>
      <c r="K11" s="19" t="n">
        <f aca="false">IF(Calc!$A$10="","",Calc!T$10)</f>
        <v>0.0988045882895525</v>
      </c>
      <c r="L11" s="19" t="n">
        <f aca="false">IF(Calc!$A$10="","",Calc!U$10)</f>
        <v>0.0354693062429452</v>
      </c>
      <c r="M11" s="20" t="n">
        <f aca="false">IF(Calc!$A$10="","",Calc!V$10)</f>
        <v>6.33352820466073</v>
      </c>
      <c r="N11" s="21" t="str">
        <f aca="false">IF(Calc!$A$10="","",Calc!W$10)</f>
        <v>成長且加速</v>
      </c>
      <c r="O11" s="20" t="n">
        <f aca="false">IF(Calc!$A$10="","",Calc!X$10)</f>
        <v>-0.386829714401982</v>
      </c>
      <c r="P11" s="19" t="n">
        <f aca="false">IF(Calc!$A$10="","",Calc!S$10)</f>
        <v>0.216587659607004</v>
      </c>
      <c r="Q11" s="19" t="n">
        <f aca="false">IF(Calc!$A$10="","",Calc!Y$10)</f>
        <v>1.1875</v>
      </c>
      <c r="R11" s="19" t="n">
        <f aca="false">IF(Calc!$A$10="","",Calc!I$10)</f>
        <v>0.520661157024793</v>
      </c>
      <c r="S11" s="19" t="n">
        <f aca="false">IF(Calc!$A$10="","",Calc!Z$10)</f>
        <v>0.317343877695835</v>
      </c>
      <c r="T11" s="19" t="n">
        <f aca="false">IF(Calc!$A$10="","",Calc!AA$10)</f>
        <v>0.367154264642682</v>
      </c>
      <c r="U11" s="22" t="n">
        <f aca="false">IF(Calc!$A$10="","",Calc!AB$10)</f>
        <v>-498.103869468474</v>
      </c>
      <c r="V11" s="22" t="n">
        <f aca="false">IF(Calc!$A$10="","",Calc!AC$10)</f>
        <v>163.047629749846</v>
      </c>
      <c r="W11" s="19" t="n">
        <f aca="false">IF(Calc!$A$10="","",Calc!AF$10)</f>
        <v>0.0445283756950168</v>
      </c>
      <c r="X11" s="19" t="n">
        <f aca="false">IF(Calc!$A$10="","",Calc!AG$10)</f>
        <v>0.0973734285146471</v>
      </c>
      <c r="Y11" s="19" t="n">
        <f aca="false">IF(Calc!$A$10="","",Calc!AH$10)</f>
        <v>0.0767240041366572</v>
      </c>
      <c r="Z11" s="17" t="n">
        <f aca="false">IF(Calc!$A$10="","",Calc!AI$10)</f>
        <v>1.055</v>
      </c>
      <c r="AA11" s="16" t="str">
        <f aca="false">IF(Calc!$A$10="","",Calc!AJ$10)</f>
        <v>FY2026Q3E</v>
      </c>
      <c r="AB11" s="16" t="str">
        <f aca="false">IF(Calc!$A$10="","",Calc!AK$10)</f>
        <v>consensus</v>
      </c>
      <c r="AC11" s="23" t="n">
        <f aca="false">IF(Calc!$A$10="","",Calc!AM$10)</f>
        <v>46331</v>
      </c>
    </row>
    <row r="12" customFormat="false" ht="15" hidden="false" customHeight="false" outlineLevel="0" collapsed="false">
      <c r="A12" s="16" t="str">
        <f aca="false">IF(Calc!$A$11="","",Calc!A$11)</f>
        <v>CRWD</v>
      </c>
      <c r="B12" s="16" t="str">
        <f aca="false">IF(Calc!$A$11="","",Calc!B$11)</f>
        <v>CrowdStrike Holdings, Inc.</v>
      </c>
      <c r="C12" s="16" t="str">
        <f aca="false">IF(Calc!$A$11="","",Calc!C$11)</f>
        <v>池子</v>
      </c>
      <c r="D12" s="17" t="n">
        <f aca="false">IF(Calc!$A$11="","",Calc!D$11)</f>
        <v>238.229995727539</v>
      </c>
      <c r="E12" s="18" t="n">
        <f aca="false">IF(Calc!$A$11="","",Calc!J$11)</f>
        <v>214.621617772558</v>
      </c>
      <c r="F12" s="18" t="n">
        <f aca="false">IF(Calc!$A$11="","",Calc!L$11)</f>
        <v>161.659899489388</v>
      </c>
      <c r="G12" s="17" t="n">
        <f aca="false">IF(Calc!$A$11="","",Calc!N$11)</f>
        <v>9.19806933310961</v>
      </c>
      <c r="H12" s="17" t="n">
        <f aca="false">IF(Calc!$A$11="","",Calc!O$11)</f>
        <v>5.80468192640858</v>
      </c>
      <c r="I12" s="19" t="str">
        <f aca="false">IF(Calc!$A$11="","",Calc!Q$11)</f>
        <v>不配息</v>
      </c>
      <c r="J12" s="19" t="str">
        <f aca="false">IF(Calc!$A$11="","",Calc!R$11)</f>
        <v/>
      </c>
      <c r="K12" s="19" t="n">
        <f aca="false">IF(Calc!$A$11="","",Calc!T$11)</f>
        <v>2.8943649418423</v>
      </c>
      <c r="L12" s="19" t="n">
        <f aca="false">IF(Calc!$A$11="","",Calc!U$11)</f>
        <v>0.0614796514411566</v>
      </c>
      <c r="M12" s="20" t="n">
        <f aca="false">IF(Calc!$A$11="","",Calc!V$11)</f>
        <v>283.288529040114</v>
      </c>
      <c r="N12" s="21" t="str">
        <f aca="false">IF(Calc!$A$11="","",Calc!W$11)</f>
        <v>成長且加速</v>
      </c>
      <c r="O12" s="20" t="n">
        <f aca="false">IF(Calc!$A$11="","",Calc!X$11)</f>
        <v>283.49884861594</v>
      </c>
      <c r="P12" s="19" t="n">
        <f aca="false">IF(Calc!$A$11="","",Calc!S$11)</f>
        <v>3.61622461829057</v>
      </c>
      <c r="Q12" s="19" t="n">
        <f aca="false">IF(Calc!$A$11="","",Calc!Y$11)</f>
        <v>0.347826086956522</v>
      </c>
      <c r="R12" s="19" t="n">
        <f aca="false">IF(Calc!$A$11="","",Calc!I$11)</f>
        <v>0.233333333333333</v>
      </c>
      <c r="S12" s="19" t="n">
        <f aca="false">IF(Calc!$A$11="","",Calc!Z$11)</f>
        <v>0.75319547196433</v>
      </c>
      <c r="T12" s="19" t="n">
        <f aca="false">IF(Calc!$A$11="","",Calc!AA$11)</f>
        <v>0.747800753212096</v>
      </c>
      <c r="U12" s="22" t="n">
        <f aca="false">IF(Calc!$A$11="","",Calc!AB$11)</f>
        <v>53.9471875223418</v>
      </c>
      <c r="V12" s="22" t="n">
        <f aca="false">IF(Calc!$A$11="","",Calc!AC$11)</f>
        <v>173.371959495257</v>
      </c>
      <c r="W12" s="19" t="n">
        <f aca="false">IF(Calc!$A$11="","",Calc!AF$11)</f>
        <v>0.256552951299128</v>
      </c>
      <c r="X12" s="19" t="n">
        <f aca="false">IF(Calc!$A$11="","",Calc!AG$11)</f>
        <v>0.126659297199705</v>
      </c>
      <c r="Y12" s="19" t="n">
        <f aca="false">IF(Calc!$A$11="","",Calc!AH$11)</f>
        <v>0.251860777649869</v>
      </c>
      <c r="Z12" s="17" t="n">
        <f aca="false">IF(Calc!$A$11="","",Calc!AI$11)</f>
        <v>0.31116</v>
      </c>
      <c r="AA12" s="16" t="str">
        <f aca="false">IF(Calc!$A$11="","",Calc!AJ$11)</f>
        <v>FY2027Q3E</v>
      </c>
      <c r="AB12" s="16" t="str">
        <f aca="false">IF(Calc!$A$11="","",Calc!AK$11)</f>
        <v>consensus</v>
      </c>
      <c r="AC12" s="23" t="n">
        <f aca="false">IF(Calc!$A$11="","",Calc!AM$11)</f>
        <v>46357</v>
      </c>
    </row>
    <row r="13" customFormat="false" ht="15" hidden="false" customHeight="false" outlineLevel="0" collapsed="false">
      <c r="A13" s="16" t="str">
        <f aca="false">IF(Calc!$A$12="","",Calc!A$12)</f>
        <v>NET</v>
      </c>
      <c r="B13" s="16" t="str">
        <f aca="false">IF(Calc!$A$12="","",Calc!B$12)</f>
        <v>Cloudflare, Inc.</v>
      </c>
      <c r="C13" s="16" t="str">
        <f aca="false">IF(Calc!$A$12="","",Calc!C$12)</f>
        <v>核心</v>
      </c>
      <c r="D13" s="17" t="n">
        <f aca="false">IF(Calc!$A$12="","",Calc!D$12)</f>
        <v>327.565002441406</v>
      </c>
      <c r="E13" s="18" t="n">
        <f aca="false">IF(Calc!$A$12="","",Calc!J$12)</f>
        <v>300.518350863675</v>
      </c>
      <c r="F13" s="18" t="n">
        <f aca="false">IF(Calc!$A$12="","",Calc!L$12)</f>
        <v>210.642625179057</v>
      </c>
      <c r="G13" s="17" t="n">
        <f aca="false">IF(Calc!$A$12="","",Calc!N$12)</f>
        <v>6.92102868655737</v>
      </c>
      <c r="H13" s="17" t="n">
        <f aca="false">IF(Calc!$A$12="","",Calc!O$12)</f>
        <v>6.44281414163344</v>
      </c>
      <c r="I13" s="19" t="str">
        <f aca="false">IF(Calc!$A$12="","",Calc!Q$12)</f>
        <v>不配息</v>
      </c>
      <c r="J13" s="19" t="str">
        <f aca="false">IF(Calc!$A$12="","",Calc!R$12)</f>
        <v/>
      </c>
      <c r="K13" s="19" t="n">
        <f aca="false">IF(Calc!$A$12="","",Calc!T$12)</f>
        <v>0.0880118170237045</v>
      </c>
      <c r="L13" s="19" t="n">
        <f aca="false">IF(Calc!$A$12="","",Calc!U$12)</f>
        <v>0.0410865946197523</v>
      </c>
      <c r="M13" s="20" t="n">
        <f aca="false">IF(Calc!$A$12="","",Calc!V$12)</f>
        <v>4.69252224039523</v>
      </c>
      <c r="N13" s="21" t="str">
        <f aca="false">IF(Calc!$A$12="","",Calc!W$12)</f>
        <v>成長且加速</v>
      </c>
      <c r="O13" s="20" t="n">
        <f aca="false">IF(Calc!$A$12="","",Calc!X$12)</f>
        <v>1.86528070735283</v>
      </c>
      <c r="P13" s="19" t="n">
        <f aca="false">IF(Calc!$A$12="","",Calc!S$12)</f>
        <v>0.35865559537473</v>
      </c>
      <c r="Q13" s="19" t="n">
        <f aca="false">IF(Calc!$A$12="","",Calc!Y$12)</f>
        <v>0.380952380952381</v>
      </c>
      <c r="R13" s="19" t="n">
        <f aca="false">IF(Calc!$A$12="","",Calc!I$12)</f>
        <v>0.43421052631579</v>
      </c>
      <c r="S13" s="19" t="n">
        <f aca="false">IF(Calc!$A$12="","",Calc!Z$12)</f>
        <v>0.72576512030569</v>
      </c>
      <c r="T13" s="19" t="n">
        <f aca="false">IF(Calc!$A$12="","",Calc!AA$12)</f>
        <v>0.752721951304442</v>
      </c>
      <c r="U13" s="22" t="n">
        <f aca="false">IF(Calc!$A$12="","",Calc!AB$12)</f>
        <v>-269.568309987523</v>
      </c>
      <c r="V13" s="22" t="n">
        <f aca="false">IF(Calc!$A$12="","",Calc!AC$12)</f>
        <v>-311.988086589622</v>
      </c>
      <c r="W13" s="19" t="n">
        <f aca="false">IF(Calc!$A$12="","",Calc!AF$12)</f>
        <v>0.268227720843837</v>
      </c>
      <c r="X13" s="19" t="n">
        <f aca="false">IF(Calc!$A$12="","",Calc!AG$12)</f>
        <v>0.188588489075384</v>
      </c>
      <c r="Y13" s="19" t="n">
        <f aca="false">IF(Calc!$A$12="","",Calc!AH$12)</f>
        <v>0.276280870260861</v>
      </c>
      <c r="Z13" s="17" t="n">
        <f aca="false">IF(Calc!$A$12="","",Calc!AI$12)</f>
        <v>0.34308</v>
      </c>
      <c r="AA13" s="16" t="str">
        <f aca="false">IF(Calc!$A$12="","",Calc!AJ$12)</f>
        <v>FY2026Q3E</v>
      </c>
      <c r="AB13" s="16" t="str">
        <f aca="false">IF(Calc!$A$12="","",Calc!AK$12)</f>
        <v>consensus</v>
      </c>
      <c r="AC13" s="23" t="n">
        <f aca="false">IF(Calc!$A$12="","",Calc!AM$12)</f>
        <v>46324</v>
      </c>
    </row>
    <row r="14" customFormat="false" ht="15" hidden="false" customHeight="false" outlineLevel="0" collapsed="false">
      <c r="A14" s="16" t="str">
        <f aca="false">IF(Calc!$A$13="","",Calc!A$13)</f>
        <v>CEG</v>
      </c>
      <c r="B14" s="16" t="str">
        <f aca="false">IF(Calc!$A$13="","",Calc!B$13)</f>
        <v>Constellation Energy Corporation</v>
      </c>
      <c r="C14" s="16" t="str">
        <f aca="false">IF(Calc!$A$13="","",Calc!C$13)</f>
        <v>池子</v>
      </c>
      <c r="D14" s="17" t="n">
        <f aca="false">IF(Calc!$A$13="","",Calc!D$13)</f>
        <v>261.25</v>
      </c>
      <c r="E14" s="18" t="n">
        <f aca="false">IF(Calc!$A$13="","",Calc!J$13)</f>
        <v>24.5766698024459</v>
      </c>
      <c r="F14" s="18" t="n">
        <f aca="false">IF(Calc!$A$13="","",Calc!L$13)</f>
        <v>20.1226712860931</v>
      </c>
      <c r="G14" s="17" t="n">
        <f aca="false">IF(Calc!$A$13="","",Calc!N$13)</f>
        <v>1.62030473054697</v>
      </c>
      <c r="H14" s="17" t="n">
        <f aca="false">IF(Calc!$A$13="","",Calc!O$13)</f>
        <v>1.99236773564794</v>
      </c>
      <c r="I14" s="19" t="n">
        <f aca="false">IF(Calc!$A$13="","",Calc!Q$13)</f>
        <v>0.00623923444976077</v>
      </c>
      <c r="J14" s="19" t="n">
        <f aca="false">IF(Calc!$A$13="","",Calc!R$13)</f>
        <v>0.0998650472334681</v>
      </c>
      <c r="K14" s="19" t="n">
        <f aca="false">IF(Calc!$A$13="","",Calc!T$13)</f>
        <v>-0.325301204819277</v>
      </c>
      <c r="L14" s="19" t="n">
        <f aca="false">IF(Calc!$A$13="","",Calc!U$13)</f>
        <v>0.831083305893974</v>
      </c>
      <c r="M14" s="20" t="n">
        <f aca="false">IF(Calc!$A$13="","",Calc!V$13)</f>
        <v>-115.638451071325</v>
      </c>
      <c r="N14" s="21" t="str">
        <f aca="false">IF(Calc!$A$13="","",Calc!W$13)</f>
        <v>衰退且惡化</v>
      </c>
      <c r="O14" s="20" t="n">
        <f aca="false">IF(Calc!$A$13="","",Calc!X$13)</f>
        <v>-22.4093190676673</v>
      </c>
      <c r="P14" s="19" t="n">
        <f aca="false">IF(Calc!$A$13="","",Calc!S$13)</f>
        <v>0.229962301262088</v>
      </c>
      <c r="Q14" s="19" t="n">
        <f aca="false">IF(Calc!$A$13="","",Calc!Y$13)</f>
        <v>0.335078534031414</v>
      </c>
      <c r="R14" s="19" t="n">
        <f aca="false">IF(Calc!$A$13="","",Calc!I$13)</f>
        <v>0.151679306608884</v>
      </c>
      <c r="S14" s="19" t="n">
        <f aca="false">IF(Calc!$A$13="","",Calc!Z$13)</f>
        <v>0.214262871762072</v>
      </c>
      <c r="T14" s="19" t="n">
        <f aca="false">IF(Calc!$A$13="","",Calc!AA$13)</f>
        <v>0.173244215614495</v>
      </c>
      <c r="U14" s="22" t="n">
        <f aca="false">IF(Calc!$A$13="","",Calc!AB$13)</f>
        <v>410.186561475772</v>
      </c>
      <c r="V14" s="22" t="n">
        <f aca="false">IF(Calc!$A$13="","",Calc!AC$13)</f>
        <v>-579.569604619328</v>
      </c>
      <c r="W14" s="19" t="n">
        <f aca="false">IF(Calc!$A$13="","",Calc!AF$13)</f>
        <v>0.156721484710389</v>
      </c>
      <c r="X14" s="19" t="n">
        <f aca="false">IF(Calc!$A$13="","",Calc!AG$13)</f>
        <v>0.143746296693665</v>
      </c>
      <c r="Y14" s="19" t="n">
        <f aca="false">IF(Calc!$A$13="","",Calc!AH$13)</f>
        <v>0.136422966507177</v>
      </c>
      <c r="Z14" s="17" t="n">
        <f aca="false">IF(Calc!$A$13="","",Calc!AI$13)</f>
        <v>3.74379</v>
      </c>
      <c r="AA14" s="16" t="str">
        <f aca="false">IF(Calc!$A$13="","",Calc!AJ$13)</f>
        <v>FY2026Q3E</v>
      </c>
      <c r="AB14" s="16" t="str">
        <f aca="false">IF(Calc!$A$13="","",Calc!AK$13)</f>
        <v>consensus</v>
      </c>
      <c r="AC14" s="23" t="n">
        <f aca="false">IF(Calc!$A$13="","",Calc!AM$13)</f>
        <v>46335</v>
      </c>
    </row>
    <row r="15" customFormat="false" ht="15" hidden="false" customHeight="false" outlineLevel="0" collapsed="false">
      <c r="A15" s="16" t="str">
        <f aca="false">IF(Calc!$A$14="","",Calc!A$14)</f>
        <v>AMZN</v>
      </c>
      <c r="B15" s="16" t="str">
        <f aca="false">IF(Calc!$A$14="","",Calc!B$14)</f>
        <v>Amazon.com, Inc.</v>
      </c>
      <c r="C15" s="16" t="str">
        <f aca="false">IF(Calc!$A$14="","",Calc!C$14)</f>
        <v>池子</v>
      </c>
      <c r="D15" s="17" t="n">
        <f aca="false">IF(Calc!$A$14="","",Calc!D$14)</f>
        <v>248.929992675781</v>
      </c>
      <c r="E15" s="18" t="n">
        <f aca="false">IF(Calc!$A$14="","",Calc!J$14)</f>
        <v>20.0265480833291</v>
      </c>
      <c r="F15" s="18" t="n">
        <f aca="false">IF(Calc!$A$14="","",Calc!L$14)</f>
        <v>22.2339591382568</v>
      </c>
      <c r="G15" s="17" t="n">
        <f aca="false">IF(Calc!$A$14="","",Calc!N$14)</f>
        <v>0.223806056944871</v>
      </c>
      <c r="H15" s="17" t="str">
        <f aca="false">IF(Calc!$A$14="","",Calc!O$14)</f>
        <v>N/M</v>
      </c>
      <c r="I15" s="19" t="str">
        <f aca="false">IF(Calc!$A$14="","",Calc!Q$14)</f>
        <v>不配息</v>
      </c>
      <c r="J15" s="19" t="str">
        <f aca="false">IF(Calc!$A$14="","",Calc!R$14)</f>
        <v/>
      </c>
      <c r="K15" s="19" t="n">
        <f aca="false">IF(Calc!$A$14="","",Calc!T$14)</f>
        <v>3.27327166853057</v>
      </c>
      <c r="L15" s="19" t="n">
        <f aca="false">IF(Calc!$A$14="","",Calc!U$14)</f>
        <v>-0.149339694262979</v>
      </c>
      <c r="M15" s="20" t="n">
        <f aca="false">IF(Calc!$A$14="","",Calc!V$14)</f>
        <v>342.261136279355</v>
      </c>
      <c r="N15" s="21" t="str">
        <f aca="false">IF(Calc!$A$14="","",Calc!W$14)</f>
        <v>成長且加速</v>
      </c>
      <c r="O15" s="20" t="n">
        <f aca="false">IF(Calc!$A$14="","",Calc!X$14)</f>
        <v>319.595920024892</v>
      </c>
      <c r="P15" s="19" t="n">
        <f aca="false">IF(Calc!$A$14="","",Calc!S$14)</f>
        <v>3.62534734230957</v>
      </c>
      <c r="Q15" s="19" t="n">
        <f aca="false">IF(Calc!$A$14="","",Calc!Y$14)</f>
        <v>2.42261904761905</v>
      </c>
      <c r="R15" s="19" t="n">
        <f aca="false">IF(Calc!$A$14="","",Calc!I$14)</f>
        <v>0.894817073170731</v>
      </c>
      <c r="S15" s="19" t="n">
        <f aca="false">IF(Calc!$A$14="","",Calc!Z$14)</f>
        <v>0.505489526590334</v>
      </c>
      <c r="T15" s="19" t="n">
        <f aca="false">IF(Calc!$A$14="","",Calc!AA$14)</f>
        <v>0.481684942536106</v>
      </c>
      <c r="U15" s="22" t="n">
        <f aca="false">IF(Calc!$A$14="","",Calc!AB$14)</f>
        <v>238.045840542275</v>
      </c>
      <c r="V15" s="22" t="n">
        <f aca="false">IF(Calc!$A$14="","",Calc!AC$14)</f>
        <v>-104.428457808706</v>
      </c>
      <c r="W15" s="19" t="n">
        <f aca="false">IF(Calc!$A$14="","",Calc!AF$14)</f>
        <v>0.305519163763066</v>
      </c>
      <c r="X15" s="19" t="n">
        <f aca="false">IF(Calc!$A$14="","",Calc!AG$14)</f>
        <v>0.16680834042705</v>
      </c>
      <c r="Y15" s="19" t="n">
        <f aca="false">IF(Calc!$A$14="","",Calc!AH$14)</f>
        <v>0.25485629083427</v>
      </c>
      <c r="Z15" s="17" t="n">
        <f aca="false">IF(Calc!$A$14="","",Calc!AI$14)</f>
        <v>1.95485</v>
      </c>
      <c r="AA15" s="16" t="str">
        <f aca="false">IF(Calc!$A$14="","",Calc!AJ$14)</f>
        <v>FY2026Q3E</v>
      </c>
      <c r="AB15" s="16" t="str">
        <f aca="false">IF(Calc!$A$14="","",Calc!AK$14)</f>
        <v>consensus</v>
      </c>
      <c r="AC15" s="23" t="n">
        <f aca="false">IF(Calc!$A$14="","",Calc!AM$14)</f>
        <v>46324</v>
      </c>
    </row>
    <row r="16" customFormat="false" ht="15" hidden="false" customHeight="false" outlineLevel="0" collapsed="false">
      <c r="A16" s="16" t="str">
        <f aca="false">IF(Calc!$A$15="","",Calc!A$15)</f>
        <v>GOOG</v>
      </c>
      <c r="B16" s="16" t="str">
        <f aca="false">IF(Calc!$A$15="","",Calc!B$15)</f>
        <v>Alphabet Inc.</v>
      </c>
      <c r="C16" s="16" t="str">
        <f aca="false">IF(Calc!$A$15="","",Calc!C$15)</f>
        <v>池子</v>
      </c>
      <c r="D16" s="17" t="n">
        <f aca="false">IF(Calc!$A$15="","",Calc!D$15)</f>
        <v>340.739990234375</v>
      </c>
      <c r="E16" s="18" t="n">
        <f aca="false">IF(Calc!$A$15="","",Calc!J$15)</f>
        <v>17.114012568276</v>
      </c>
      <c r="F16" s="18" t="n">
        <f aca="false">IF(Calc!$A$15="","",Calc!L$15)</f>
        <v>20.598814447896</v>
      </c>
      <c r="G16" s="17" t="n">
        <f aca="false">IF(Calc!$A$15="","",Calc!N$15)</f>
        <v>0.152757203437368</v>
      </c>
      <c r="H16" s="17" t="str">
        <f aca="false">IF(Calc!$A$15="","",Calc!O$15)</f>
        <v>N/M</v>
      </c>
      <c r="I16" s="19" t="n">
        <f aca="false">IF(Calc!$A$15="","",Calc!Q$15)</f>
        <v>0.00249457071186548</v>
      </c>
      <c r="J16" s="19" t="n">
        <f aca="false">IF(Calc!$A$15="","",Calc!R$15)</f>
        <v>0.0493827160493827</v>
      </c>
      <c r="K16" s="19" t="n">
        <f aca="false">IF(Calc!$A$15="","",Calc!T$15)</f>
        <v>0.090085171434811</v>
      </c>
      <c r="L16" s="19" t="n">
        <f aca="false">IF(Calc!$A$15="","",Calc!U$15)</f>
        <v>-0.0345518277416125</v>
      </c>
      <c r="M16" s="20" t="n">
        <f aca="false">IF(Calc!$A$15="","",Calc!V$15)</f>
        <v>12.4636999176423</v>
      </c>
      <c r="N16" s="21" t="str">
        <f aca="false">IF(Calc!$A$15="","",Calc!W$15)</f>
        <v>成長且加速</v>
      </c>
      <c r="O16" s="20" t="n">
        <f aca="false">IF(Calc!$A$15="","",Calc!X$15)</f>
        <v>2.14414229586268</v>
      </c>
      <c r="P16" s="19" t="n">
        <f aca="false">IF(Calc!$A$15="","",Calc!S$15)</f>
        <v>0.242336250881487</v>
      </c>
      <c r="Q16" s="19" t="n">
        <f aca="false">IF(Calc!$A$15="","",Calc!Y$15)</f>
        <v>2.94372294372294</v>
      </c>
      <c r="R16" s="19" t="n">
        <f aca="false">IF(Calc!$A$15="","",Calc!I$15)</f>
        <v>1.12034078807242</v>
      </c>
      <c r="S16" s="19" t="n">
        <f aca="false">IF(Calc!$A$15="","",Calc!Z$15)</f>
        <v>0.6089641081309</v>
      </c>
      <c r="T16" s="19" t="n">
        <f aca="false">IF(Calc!$A$15="","",Calc!AA$15)</f>
        <v>0.525885758980166</v>
      </c>
      <c r="U16" s="22" t="n">
        <f aca="false">IF(Calc!$A$15="","",Calc!AB$15)</f>
        <v>830.783491507341</v>
      </c>
      <c r="V16" s="22" t="n">
        <f aca="false">IF(Calc!$A$15="","",Calc!AC$15)</f>
        <v>213.409871628631</v>
      </c>
      <c r="W16" s="19" t="n">
        <f aca="false">IF(Calc!$A$15="","",Calc!AF$15)</f>
        <v>0.486700644610901</v>
      </c>
      <c r="X16" s="19" t="n">
        <f aca="false">IF(Calc!$A$15="","",Calc!AG$15)</f>
        <v>0.193749214862732</v>
      </c>
      <c r="Y16" s="19" t="n">
        <f aca="false">IF(Calc!$A$15="","",Calc!AH$15)</f>
        <v>0.39598318982638</v>
      </c>
      <c r="Z16" s="17" t="n">
        <f aca="false">IF(Calc!$A$15="","",Calc!AI$15)</f>
        <v>3.00444</v>
      </c>
      <c r="AA16" s="16" t="str">
        <f aca="false">IF(Calc!$A$15="","",Calc!AJ$15)</f>
        <v>FY2026Q3E</v>
      </c>
      <c r="AB16" s="16" t="str">
        <f aca="false">IF(Calc!$A$15="","",Calc!AK$15)</f>
        <v>consensus</v>
      </c>
      <c r="AC16" s="23" t="n">
        <f aca="false">IF(Calc!$A$15="","",Calc!AM$15)</f>
        <v>46323</v>
      </c>
    </row>
    <row r="17" customFormat="false" ht="15" hidden="false" customHeight="false" outlineLevel="0" collapsed="false">
      <c r="A17" s="16" t="str">
        <f aca="false">IF(Calc!$A$16="","",Calc!A$16)</f>
        <v>OKTA</v>
      </c>
      <c r="B17" s="16" t="str">
        <f aca="false">IF(Calc!$A$16="","",Calc!B$16)</f>
        <v>Okta, Inc.</v>
      </c>
      <c r="C17" s="16" t="str">
        <f aca="false">IF(Calc!$A$16="","",Calc!C$16)</f>
        <v>池子</v>
      </c>
      <c r="D17" s="17" t="n">
        <f aca="false">IF(Calc!$A$16="","",Calc!D$16)</f>
        <v>187.755004882813</v>
      </c>
      <c r="E17" s="18" t="n">
        <f aca="false">IF(Calc!$A$16="","",Calc!J$16)</f>
        <v>51.0203817616338</v>
      </c>
      <c r="F17" s="18" t="n">
        <f aca="false">IF(Calc!$A$16="","",Calc!L$16)</f>
        <v>44.6129039210881</v>
      </c>
      <c r="G17" s="17" t="n">
        <f aca="false">IF(Calc!$A$16="","",Calc!N$16)</f>
        <v>3.57142672331437</v>
      </c>
      <c r="H17" s="17" t="n">
        <f aca="false">IF(Calc!$A$16="","",Calc!O$16)</f>
        <v>3.89961185736983</v>
      </c>
      <c r="I17" s="19" t="str">
        <f aca="false">IF(Calc!$A$16="","",Calc!Q$16)</f>
        <v>不配息</v>
      </c>
      <c r="J17" s="19" t="str">
        <f aca="false">IF(Calc!$A$16="","",Calc!R$16)</f>
        <v/>
      </c>
      <c r="K17" s="19" t="n">
        <f aca="false">IF(Calc!$A$16="","",Calc!T$16)</f>
        <v>0.0522875816993464</v>
      </c>
      <c r="L17" s="19" t="n">
        <f aca="false">IF(Calc!$A$16="","",Calc!U$16)</f>
        <v>0.00525624178712225</v>
      </c>
      <c r="M17" s="20" t="n">
        <f aca="false">IF(Calc!$A$16="","",Calc!V$16)</f>
        <v>4.70313399122242</v>
      </c>
      <c r="N17" s="21" t="str">
        <f aca="false">IF(Calc!$A$16="","",Calc!W$16)</f>
        <v>成長且加速</v>
      </c>
      <c r="O17" s="20" t="n">
        <f aca="false">IF(Calc!$A$16="","",Calc!X$16)</f>
        <v>-0.585195318437459</v>
      </c>
      <c r="P17" s="19" t="n">
        <f aca="false">IF(Calc!$A$16="","",Calc!S$16)</f>
        <v>0.105769230769231</v>
      </c>
      <c r="Q17" s="19" t="n">
        <f aca="false">IF(Calc!$A$16="","",Calc!Y$16)</f>
        <v>0.153846153846154</v>
      </c>
      <c r="R17" s="19" t="n">
        <f aca="false">IF(Calc!$A$16="","",Calc!I$16)</f>
        <v>0.142857142857143</v>
      </c>
      <c r="S17" s="19" t="n">
        <f aca="false">IF(Calc!$A$16="","",Calc!Z$16)</f>
        <v>0.781321184510251</v>
      </c>
      <c r="T17" s="19" t="n">
        <f aca="false">IF(Calc!$A$16="","",Calc!AA$16)</f>
        <v>0.751640093804975</v>
      </c>
      <c r="U17" s="22" t="n">
        <f aca="false">IF(Calc!$A$16="","",Calc!AB$16)</f>
        <v>296.810907052756</v>
      </c>
      <c r="V17" s="22" t="n">
        <f aca="false">IF(Calc!$A$16="","",Calc!AC$16)</f>
        <v>270.425226946965</v>
      </c>
      <c r="W17" s="19" t="n">
        <f aca="false">IF(Calc!$A$16="","",Calc!AF$16)</f>
        <v>0.095891182341371</v>
      </c>
      <c r="X17" s="19" t="n">
        <f aca="false">IF(Calc!$A$16="","",Calc!AG$16)</f>
        <v>0.0511715271572818</v>
      </c>
      <c r="Y17" s="19" t="n">
        <f aca="false">IF(Calc!$A$16="","",Calc!AH$16)</f>
        <v>0.100750730520579</v>
      </c>
      <c r="Z17" s="17" t="n">
        <f aca="false">IF(Calc!$A$16="","",Calc!AI$16)</f>
        <v>0.93474</v>
      </c>
      <c r="AA17" s="16" t="str">
        <f aca="false">IF(Calc!$A$16="","",Calc!AJ$16)</f>
        <v>FY2027Q3E</v>
      </c>
      <c r="AB17" s="16" t="str">
        <f aca="false">IF(Calc!$A$16="","",Calc!AK$16)</f>
        <v>consensus</v>
      </c>
      <c r="AC17" s="23" t="n">
        <f aca="false">IF(Calc!$A$16="","",Calc!AM$16)</f>
        <v>46357</v>
      </c>
    </row>
    <row r="18" customFormat="false" ht="15" hidden="false" customHeight="false" outlineLevel="0" collapsed="false">
      <c r="A18" s="16" t="str">
        <f aca="false">IF(Calc!$A$17="","",Calc!A$17)</f>
        <v>PLTR</v>
      </c>
      <c r="B18" s="16" t="str">
        <f aca="false">IF(Calc!$A$17="","",Calc!B$17)</f>
        <v>Palantir Technologies Inc.</v>
      </c>
      <c r="C18" s="16" t="str">
        <f aca="false">IF(Calc!$A$17="","",Calc!C$17)</f>
        <v>池子</v>
      </c>
      <c r="D18" s="17" t="n">
        <f aca="false">IF(Calc!$A$17="","",Calc!D$17)</f>
        <v>171.809997558594</v>
      </c>
      <c r="E18" s="18" t="n">
        <f aca="false">IF(Calc!$A$17="","",Calc!J$17)</f>
        <v>143.174997965495</v>
      </c>
      <c r="F18" s="18" t="n">
        <f aca="false">IF(Calc!$A$17="","",Calc!L$17)</f>
        <v>81.3031365583824</v>
      </c>
      <c r="G18" s="17" t="n">
        <f aca="false">IF(Calc!$A$17="","",Calc!N$17)</f>
        <v>1.13257834211511</v>
      </c>
      <c r="H18" s="17" t="n">
        <f aca="false">IF(Calc!$A$17="","",Calc!O$17)</f>
        <v>1.82613095564023</v>
      </c>
      <c r="I18" s="19" t="str">
        <f aca="false">IF(Calc!$A$17="","",Calc!Q$17)</f>
        <v>不配息</v>
      </c>
      <c r="J18" s="19" t="str">
        <f aca="false">IF(Calc!$A$17="","",Calc!R$17)</f>
        <v/>
      </c>
      <c r="K18" s="19" t="n">
        <f aca="false">IF(Calc!$A$17="","",Calc!T$17)</f>
        <v>0.185522573737446</v>
      </c>
      <c r="L18" s="19" t="n">
        <f aca="false">IF(Calc!$A$17="","",Calc!U$17)</f>
        <v>0.160492379169208</v>
      </c>
      <c r="M18" s="20" t="n">
        <f aca="false">IF(Calc!$A$17="","",Calc!V$17)</f>
        <v>2.50301945682374</v>
      </c>
      <c r="N18" s="21" t="str">
        <f aca="false">IF(Calc!$A$17="","",Calc!W$17)</f>
        <v>成長且加速</v>
      </c>
      <c r="O18" s="20" t="n">
        <f aca="false">IF(Calc!$A$17="","",Calc!X$17)</f>
        <v>4.99324599744415</v>
      </c>
      <c r="P18" s="19" t="n">
        <f aca="false">IF(Calc!$A$17="","",Calc!S$17)</f>
        <v>0.928334945705726</v>
      </c>
      <c r="Q18" s="19" t="n">
        <f aca="false">IF(Calc!$A$17="","",Calc!Y$17)</f>
        <v>1.5625</v>
      </c>
      <c r="R18" s="19" t="n">
        <f aca="false">IF(Calc!$A$17="","",Calc!I$17)</f>
        <v>1.26415094339623</v>
      </c>
      <c r="S18" s="19" t="n">
        <f aca="false">IF(Calc!$A$17="","",Calc!Z$17)</f>
        <v>0.847961343359204</v>
      </c>
      <c r="T18" s="19" t="n">
        <f aca="false">IF(Calc!$A$17="","",Calc!AA$17)</f>
        <v>0.818350148655245</v>
      </c>
      <c r="U18" s="22" t="n">
        <f aca="false">IF(Calc!$A$17="","",Calc!AB$17)</f>
        <v>296.111947039589</v>
      </c>
      <c r="V18" s="22" t="n">
        <f aca="false">IF(Calc!$A$17="","",Calc!AC$17)</f>
        <v>388.389421941139</v>
      </c>
      <c r="W18" s="19" t="n">
        <f aca="false">IF(Calc!$A$17="","",Calc!AF$17)</f>
        <v>0.392798841891997</v>
      </c>
      <c r="X18" s="19" t="n">
        <f aca="false">IF(Calc!$A$17="","",Calc!AG$17)</f>
        <v>0.201125942281595</v>
      </c>
      <c r="Y18" s="19" t="n">
        <f aca="false">IF(Calc!$A$17="","",Calc!AH$17)</f>
        <v>0.422420098050028</v>
      </c>
      <c r="Z18" s="17" t="n">
        <f aca="false">IF(Calc!$A$17="","",Calc!AI$17)</f>
        <v>0.41452</v>
      </c>
      <c r="AA18" s="16" t="str">
        <f aca="false">IF(Calc!$A$17="","",Calc!AJ$17)</f>
        <v>FY2026Q3E</v>
      </c>
      <c r="AB18" s="16" t="str">
        <f aca="false">IF(Calc!$A$17="","",Calc!AK$17)</f>
        <v>consensus</v>
      </c>
      <c r="AC18" s="23" t="n">
        <f aca="false">IF(Calc!$A$17="","",Calc!AM$17)</f>
        <v>46328</v>
      </c>
    </row>
    <row r="19" customFormat="false" ht="15" hidden="false" customHeight="false" outlineLevel="0" collapsed="false">
      <c r="A19" s="16" t="str">
        <f aca="false">IF(Calc!$A$18="","",Calc!A$18)</f>
        <v>SMTC</v>
      </c>
      <c r="B19" s="16" t="str">
        <f aca="false">IF(Calc!$A$18="","",Calc!B$18)</f>
        <v>Semtech Corporation</v>
      </c>
      <c r="C19" s="16" t="str">
        <f aca="false">IF(Calc!$A$18="","",Calc!C$18)</f>
        <v>池子</v>
      </c>
      <c r="D19" s="17" t="n">
        <f aca="false">IF(Calc!$A$18="","",Calc!D$18)</f>
        <v>151.039993286133</v>
      </c>
      <c r="E19" s="18" t="n">
        <f aca="false">IF(Calc!$A$18="","",Calc!J$18)</f>
        <v>70.5794361150153</v>
      </c>
      <c r="F19" s="18" t="n">
        <f aca="false">IF(Calc!$A$18="","",Calc!L$18)</f>
        <v>30.557512470978</v>
      </c>
      <c r="G19" s="17" t="n">
        <f aca="false">IF(Calc!$A$18="","",Calc!N$18)</f>
        <v>1.4831910487938</v>
      </c>
      <c r="H19" s="17" t="n">
        <f aca="false">IF(Calc!$A$18="","",Calc!O$18)</f>
        <v>0.44958063249578</v>
      </c>
      <c r="I19" s="19" t="str">
        <f aca="false">IF(Calc!$A$18="","",Calc!Q$18)</f>
        <v>不配息</v>
      </c>
      <c r="J19" s="19" t="str">
        <f aca="false">IF(Calc!$A$18="","",Calc!R$18)</f>
        <v/>
      </c>
      <c r="K19" s="19" t="n">
        <f aca="false">IF(Calc!$A$18="","",Calc!T$18)</f>
        <v>0.174741768550399</v>
      </c>
      <c r="L19" s="19" t="n">
        <f aca="false">IF(Calc!$A$18="","",Calc!U$18)</f>
        <v>0.0607351788740864</v>
      </c>
      <c r="M19" s="20" t="n">
        <f aca="false">IF(Calc!$A$18="","",Calc!V$18)</f>
        <v>11.4006589676313</v>
      </c>
      <c r="N19" s="21" t="str">
        <f aca="false">IF(Calc!$A$18="","",Calc!W$18)</f>
        <v>成長且加速</v>
      </c>
      <c r="O19" s="20" t="n">
        <f aca="false">IF(Calc!$A$18="","",Calc!X$18)</f>
        <v>14.8736032869685</v>
      </c>
      <c r="P19" s="19" t="n">
        <f aca="false">IF(Calc!$A$18="","",Calc!S$18)</f>
        <v>0.327195648882522</v>
      </c>
      <c r="Q19" s="19" t="n">
        <f aca="false">IF(Calc!$A$18="","",Calc!Y$18)</f>
        <v>0.731707317073171</v>
      </c>
      <c r="R19" s="19" t="n">
        <f aca="false">IF(Calc!$A$18="","",Calc!I$18)</f>
        <v>0.475862068965517</v>
      </c>
      <c r="S19" s="19" t="n">
        <f aca="false">IF(Calc!$A$18="","",Calc!Z$18)</f>
        <v>0.521180533377618</v>
      </c>
      <c r="T19" s="19" t="n">
        <f aca="false">IF(Calc!$A$18="","",Calc!AA$18)</f>
        <v>0.528690470966052</v>
      </c>
      <c r="U19" s="22" t="n">
        <f aca="false">IF(Calc!$A$18="","",Calc!AB$18)</f>
        <v>-75.0993758843332</v>
      </c>
      <c r="V19" s="22" t="n">
        <f aca="false">IF(Calc!$A$18="","",Calc!AC$18)</f>
        <v>169.082124737384</v>
      </c>
      <c r="W19" s="19" t="n">
        <f aca="false">IF(Calc!$A$18="","",Calc!AF$18)</f>
        <v>0.31401698003632</v>
      </c>
      <c r="X19" s="19" t="n">
        <f aca="false">IF(Calc!$A$18="","",Calc!AG$18)</f>
        <v>0.201999641068383</v>
      </c>
      <c r="Y19" s="19" t="n">
        <f aca="false">IF(Calc!$A$18="","",Calc!AH$18)</f>
        <v>0.467638496298433</v>
      </c>
      <c r="Z19" s="17" t="n">
        <f aca="false">IF(Calc!$A$18="","",Calc!AI$18)</f>
        <v>1.0557</v>
      </c>
      <c r="AA19" s="16" t="str">
        <f aca="false">IF(Calc!$A$18="","",Calc!AJ$18)</f>
        <v>FY2027Q3E</v>
      </c>
      <c r="AB19" s="16" t="str">
        <f aca="false">IF(Calc!$A$18="","",Calc!AK$18)</f>
        <v>consensus</v>
      </c>
      <c r="AC19" s="23" t="n">
        <f aca="false">IF(Calc!$A$18="","",Calc!AM$18)</f>
        <v>46349</v>
      </c>
    </row>
    <row r="20" customFormat="false" ht="15" hidden="false" customHeight="false" outlineLevel="0" collapsed="false">
      <c r="A20" s="16" t="str">
        <f aca="false">IF(Calc!$A$19="","",Calc!A$19)</f>
        <v>QCOM</v>
      </c>
      <c r="B20" s="16" t="str">
        <f aca="false">IF(Calc!$A$19="","",Calc!B$19)</f>
        <v>QUALCOMM Incorporated</v>
      </c>
      <c r="C20" s="16" t="str">
        <f aca="false">IF(Calc!$A$19="","",Calc!C$19)</f>
        <v>池子</v>
      </c>
      <c r="D20" s="17" t="n">
        <f aca="false">IF(Calc!$A$19="","",Calc!D$19)</f>
        <v>187.162506103516</v>
      </c>
      <c r="E20" s="18" t="n">
        <f aca="false">IF(Calc!$A$19="","",Calc!J$19)</f>
        <v>16.4755727203799</v>
      </c>
      <c r="F20" s="18" t="n">
        <f aca="false">IF(Calc!$A$19="","",Calc!L$19)</f>
        <v>18.3213782276773</v>
      </c>
      <c r="G20" s="17" t="str">
        <f aca="false">IF(Calc!$A$19="","",Calc!N$19)</f>
        <v>N/M</v>
      </c>
      <c r="H20" s="17" t="str">
        <f aca="false">IF(Calc!$A$19="","",Calc!O$19)</f>
        <v>N/M</v>
      </c>
      <c r="I20" s="19" t="n">
        <f aca="false">IF(Calc!$A$19="","",Calc!Q$19)</f>
        <v>0.0191811921882177</v>
      </c>
      <c r="J20" s="19" t="n">
        <f aca="false">IF(Calc!$A$19="","",Calc!R$19)</f>
        <v>0.0436046511627908</v>
      </c>
      <c r="K20" s="19" t="n">
        <f aca="false">IF(Calc!$A$19="","",Calc!T$19)</f>
        <v>-0.0615152372865365</v>
      </c>
      <c r="L20" s="19" t="n">
        <f aca="false">IF(Calc!$A$19="","",Calc!U$19)</f>
        <v>-0.134916748285994</v>
      </c>
      <c r="M20" s="20" t="n">
        <f aca="false">IF(Calc!$A$19="","",Calc!V$19)</f>
        <v>7.34015109994576</v>
      </c>
      <c r="N20" s="21" t="str">
        <f aca="false">IF(Calc!$A$19="","",Calc!W$19)</f>
        <v>衰退但收斂</v>
      </c>
      <c r="O20" s="20" t="n">
        <f aca="false">IF(Calc!$A$19="","",Calc!X$19)</f>
        <v>-0.559028965924802</v>
      </c>
      <c r="P20" s="19" t="n">
        <f aca="false">IF(Calc!$A$19="","",Calc!S$19)</f>
        <v>-0.0403280270139894</v>
      </c>
      <c r="Q20" s="19" t="n">
        <f aca="false">IF(Calc!$A$19="","",Calc!Y$19)</f>
        <v>-0.202166064981949</v>
      </c>
      <c r="R20" s="19" t="n">
        <f aca="false">IF(Calc!$A$19="","",Calc!I$19)</f>
        <v>-0.0307167235494882</v>
      </c>
      <c r="S20" s="19" t="n">
        <f aca="false">IF(Calc!$A$19="","",Calc!Z$19)</f>
        <v>0.542263268964578</v>
      </c>
      <c r="T20" s="19" t="n">
        <f aca="false">IF(Calc!$A$19="","",Calc!AA$19)</f>
        <v>0.508868105492237</v>
      </c>
      <c r="U20" s="22" t="n">
        <f aca="false">IF(Calc!$A$19="","",Calc!AB$19)</f>
        <v>333.951634723413</v>
      </c>
      <c r="V20" s="22" t="n">
        <f aca="false">IF(Calc!$A$19="","",Calc!AC$19)</f>
        <v>-251.081625039142</v>
      </c>
      <c r="W20" s="19" t="n">
        <f aca="false">IF(Calc!$A$19="","",Calc!AF$19)</f>
        <v>0.445214427615871</v>
      </c>
      <c r="X20" s="19" t="n">
        <f aca="false">IF(Calc!$A$19="","",Calc!AG$19)</f>
        <v>0.469030966181663</v>
      </c>
      <c r="Y20" s="19" t="n">
        <f aca="false">IF(Calc!$A$19="","",Calc!AH$19)</f>
        <v>0.405222039916118</v>
      </c>
      <c r="Z20" s="17" t="n">
        <f aca="false">IF(Calc!$A$19="","",Calc!AI$19)</f>
        <v>2.1566</v>
      </c>
      <c r="AA20" s="16" t="str">
        <f aca="false">IF(Calc!$A$19="","",Calc!AJ$19)</f>
        <v>FY2026Q4E</v>
      </c>
      <c r="AB20" s="16" t="str">
        <f aca="false">IF(Calc!$A$19="","",Calc!AK$19)</f>
        <v>consensus</v>
      </c>
      <c r="AC20" s="23" t="n">
        <f aca="false">IF(Calc!$A$19="","",Calc!AM$19)</f>
        <v>46324</v>
      </c>
    </row>
    <row r="21" customFormat="false" ht="15" hidden="false" customHeight="false" outlineLevel="0" collapsed="false">
      <c r="A21" s="16" t="str">
        <f aca="false">IF(Calc!$A$20="","",Calc!A$20)</f>
        <v>AVGO</v>
      </c>
      <c r="B21" s="16" t="str">
        <f aca="false">IF(Calc!$A$20="","",Calc!B$20)</f>
        <v>Broadcom Inc.</v>
      </c>
      <c r="C21" s="16" t="str">
        <f aca="false">IF(Calc!$A$20="","",Calc!C$20)</f>
        <v>池子</v>
      </c>
      <c r="D21" s="17" t="n">
        <f aca="false">IF(Calc!$A$20="","",Calc!D$20)</f>
        <v>341.700012207031</v>
      </c>
      <c r="E21" s="18" t="n">
        <f aca="false">IF(Calc!$A$20="","",Calc!J$20)</f>
        <v>53.0590081066819</v>
      </c>
      <c r="F21" s="18" t="n">
        <f aca="false">IF(Calc!$A$20="","",Calc!L$20)</f>
        <v>18.5603731928856</v>
      </c>
      <c r="G21" s="17" t="str">
        <f aca="false">IF(Calc!$A$20="","",Calc!N$20)</f>
        <v>N/M</v>
      </c>
      <c r="H21" s="17" t="n">
        <f aca="false">IF(Calc!$A$20="","",Calc!O$20)</f>
        <v>0.280045973345121</v>
      </c>
      <c r="I21" s="19" t="n">
        <f aca="false">IF(Calc!$A$20="","",Calc!Q$20)</f>
        <v>0.00743342086409131</v>
      </c>
      <c r="J21" s="19" t="n">
        <f aca="false">IF(Calc!$A$20="","",Calc!R$20)</f>
        <v>0.104347826086957</v>
      </c>
      <c r="K21" s="19" t="n">
        <f aca="false">IF(Calc!$A$20="","",Calc!T$20)</f>
        <v>0.333708928651913</v>
      </c>
      <c r="L21" s="19" t="n">
        <f aca="false">IF(Calc!$A$20="","",Calc!U$20)</f>
        <v>0.148930661281135</v>
      </c>
      <c r="M21" s="20" t="n">
        <f aca="false">IF(Calc!$A$20="","",Calc!V$20)</f>
        <v>18.4778267370778</v>
      </c>
      <c r="N21" s="21" t="str">
        <f aca="false">IF(Calc!$A$20="","",Calc!W$20)</f>
        <v>成長且加速</v>
      </c>
      <c r="O21" s="20" t="n">
        <f aca="false">IF(Calc!$A$20="","",Calc!X$20)</f>
        <v>27.0525777492223</v>
      </c>
      <c r="P21" s="19" t="n">
        <f aca="false">IF(Calc!$A$20="","",Calc!S$20)</f>
        <v>0.855002507522568</v>
      </c>
      <c r="Q21" s="19" t="n">
        <f aca="false">IF(Calc!$A$20="","",Calc!Y$20)</f>
        <v>-1</v>
      </c>
      <c r="R21" s="19" t="n">
        <f aca="false">IF(Calc!$A$20="","",Calc!I$20)</f>
        <v>0.0238473767885532</v>
      </c>
      <c r="S21" s="19" t="n">
        <f aca="false">IF(Calc!$A$20="","",Calc!Z$20)</f>
        <v>0.687702011133058</v>
      </c>
      <c r="T21" s="19" t="n">
        <f aca="false">IF(Calc!$A$20="","",Calc!AA$20)</f>
        <v>0.670220816110792</v>
      </c>
      <c r="U21" s="22" t="n">
        <f aca="false">IF(Calc!$A$20="","",Calc!AB$20)</f>
        <v>174.811950222659</v>
      </c>
      <c r="V21" s="22" t="n">
        <f aca="false">IF(Calc!$A$20="","",Calc!AC$20)</f>
        <v>203.409199413996</v>
      </c>
      <c r="W21" s="19" t="n">
        <f aca="false">IF(Calc!$A$20="","",Calc!AF$20)</f>
        <v>0.363669254828956</v>
      </c>
      <c r="X21" s="19" t="n">
        <f aca="false">IF(Calc!$A$20="","",Calc!AG$20)</f>
        <v>0.253857394237319</v>
      </c>
      <c r="Y21" s="19" t="n">
        <f aca="false">IF(Calc!$A$20="","",Calc!AH$20)</f>
        <v>0.571481436653626</v>
      </c>
      <c r="Z21" s="17" t="n">
        <f aca="false">IF(Calc!$A$20="","",Calc!AI$20)</f>
        <v>3.82578</v>
      </c>
      <c r="AA21" s="16" t="str">
        <f aca="false">IF(Calc!$A$20="","",Calc!AJ$20)</f>
        <v>FY2026Q4E</v>
      </c>
      <c r="AB21" s="16" t="str">
        <f aca="false">IF(Calc!$A$20="","",Calc!AK$20)</f>
        <v>consensus</v>
      </c>
      <c r="AC21" s="23" t="n">
        <f aca="false">IF(Calc!$A$20="","",Calc!AM$20)</f>
        <v>46365</v>
      </c>
    </row>
    <row r="22" customFormat="false" ht="15" hidden="false" customHeight="false" outlineLevel="0" collapsed="false">
      <c r="A22" s="16" t="str">
        <f aca="false">IF(Calc!$A$21="","",Calc!A$21)</f>
        <v>FTNT</v>
      </c>
      <c r="B22" s="16" t="str">
        <f aca="false">IF(Calc!$A$21="","",Calc!B$21)</f>
        <v>Fortinet, Inc.</v>
      </c>
      <c r="C22" s="16" t="str">
        <f aca="false">IF(Calc!$A$21="","",Calc!C$21)</f>
        <v>池子</v>
      </c>
      <c r="D22" s="17" t="n">
        <f aca="false">IF(Calc!$A$21="","",Calc!D$21)</f>
        <v>170.179992675781</v>
      </c>
      <c r="E22" s="18" t="n">
        <f aca="false">IF(Calc!$A$21="","",Calc!J$21)</f>
        <v>52.0428112158352</v>
      </c>
      <c r="F22" s="18" t="n">
        <f aca="false">IF(Calc!$A$21="","",Calc!L$21)</f>
        <v>46.2231165544677</v>
      </c>
      <c r="G22" s="17" t="n">
        <f aca="false">IF(Calc!$A$21="","",Calc!N$21)</f>
        <v>1.98221883895608</v>
      </c>
      <c r="H22" s="17" t="n">
        <f aca="false">IF(Calc!$A$21="","",Calc!O$21)</f>
        <v>4.86659495139425</v>
      </c>
      <c r="I22" s="19" t="str">
        <f aca="false">IF(Calc!$A$21="","",Calc!Q$21)</f>
        <v>不配息</v>
      </c>
      <c r="J22" s="19" t="str">
        <f aca="false">IF(Calc!$A$21="","",Calc!R$21)</f>
        <v/>
      </c>
      <c r="K22" s="19" t="n">
        <f aca="false">IF(Calc!$A$21="","",Calc!T$21)</f>
        <v>0.107212370242215</v>
      </c>
      <c r="L22" s="19" t="n">
        <f aca="false">IF(Calc!$A$21="","",Calc!U$21)</f>
        <v>-0.0290813648293964</v>
      </c>
      <c r="M22" s="20" t="n">
        <f aca="false">IF(Calc!$A$21="","",Calc!V$21)</f>
        <v>13.6293735071611</v>
      </c>
      <c r="N22" s="21" t="str">
        <f aca="false">IF(Calc!$A$21="","",Calc!W$21)</f>
        <v>成長且加速</v>
      </c>
      <c r="O22" s="20" t="n">
        <f aca="false">IF(Calc!$A$21="","",Calc!X$21)</f>
        <v>4.85645817119813</v>
      </c>
      <c r="P22" s="19" t="n">
        <f aca="false">IF(Calc!$A$21="","",Calc!S$21)</f>
        <v>0.25638036809816</v>
      </c>
      <c r="Q22" s="19" t="n">
        <f aca="false">IF(Calc!$A$21="","",Calc!Y$21)</f>
        <v>0.40625</v>
      </c>
      <c r="R22" s="19" t="n">
        <f aca="false">IF(Calc!$A$21="","",Calc!I$21)</f>
        <v>0.262548262548263</v>
      </c>
      <c r="S22" s="19" t="n">
        <f aca="false">IF(Calc!$A$21="","",Calc!Z$21)</f>
        <v>0.802043202168079</v>
      </c>
      <c r="T22" s="19" t="n">
        <f aca="false">IF(Calc!$A$21="","",Calc!AA$21)</f>
        <v>0.78666520125222</v>
      </c>
      <c r="U22" s="22" t="n">
        <f aca="false">IF(Calc!$A$21="","",Calc!AB$21)</f>
        <v>153.780009158591</v>
      </c>
      <c r="V22" s="22" t="n">
        <f aca="false">IF(Calc!$A$21="","",Calc!AC$21)</f>
        <v>-44.2688709697225</v>
      </c>
      <c r="W22" s="19" t="n">
        <f aca="false">IF(Calc!$A$21="","",Calc!AF$21)</f>
        <v>1.35355060224284</v>
      </c>
      <c r="X22" s="19" t="n">
        <f aca="false">IF(Calc!$A$21="","",Calc!AG$21)</f>
        <v>2.22660547172475</v>
      </c>
      <c r="Y22" s="19" t="n">
        <f aca="false">IF(Calc!$A$21="","",Calc!AH$21)</f>
        <v>1.64574443427245</v>
      </c>
      <c r="Z22" s="17" t="n">
        <f aca="false">IF(Calc!$A$21="","",Calc!AI$21)</f>
        <v>0.85724</v>
      </c>
      <c r="AA22" s="16" t="str">
        <f aca="false">IF(Calc!$A$21="","",Calc!AJ$21)</f>
        <v>FY2026Q3E</v>
      </c>
      <c r="AB22" s="16" t="str">
        <f aca="false">IF(Calc!$A$21="","",Calc!AK$21)</f>
        <v>consensus</v>
      </c>
      <c r="AC22" s="23" t="n">
        <f aca="false">IF(Calc!$A$21="","",Calc!AM$21)</f>
        <v>46330</v>
      </c>
    </row>
    <row r="23" customFormat="false" ht="15" hidden="false" customHeight="false" outlineLevel="0" collapsed="false">
      <c r="A23" s="16" t="str">
        <f aca="false">IF(Calc!$A$22="","",Calc!A$22)</f>
        <v/>
      </c>
      <c r="B23" s="16" t="str">
        <f aca="false">IF(Calc!$A$22="","",Calc!B$22)</f>
        <v/>
      </c>
      <c r="C23" s="16" t="str">
        <f aca="false">IF(Calc!$A$22="","",Calc!C$22)</f>
        <v/>
      </c>
      <c r="D23" s="17" t="str">
        <f aca="false">IF(Calc!$A$22="","",Calc!D$22)</f>
        <v/>
      </c>
      <c r="E23" s="18" t="str">
        <f aca="false">IF(Calc!$A$22="","",Calc!J$22)</f>
        <v/>
      </c>
      <c r="F23" s="18" t="str">
        <f aca="false">IF(Calc!$A$22="","",Calc!L$22)</f>
        <v/>
      </c>
      <c r="G23" s="17" t="str">
        <f aca="false">IF(Calc!$A$22="","",Calc!N$22)</f>
        <v/>
      </c>
      <c r="H23" s="17" t="str">
        <f aca="false">IF(Calc!$A$22="","",Calc!O$22)</f>
        <v/>
      </c>
      <c r="I23" s="19" t="str">
        <f aca="false">IF(Calc!$A$22="","",Calc!Q$22)</f>
        <v/>
      </c>
      <c r="J23" s="19" t="str">
        <f aca="false">IF(Calc!$A$22="","",Calc!R$22)</f>
        <v/>
      </c>
      <c r="K23" s="19" t="str">
        <f aca="false">IF(Calc!$A$22="","",Calc!T$22)</f>
        <v/>
      </c>
      <c r="L23" s="19" t="str">
        <f aca="false">IF(Calc!$A$22="","",Calc!U$22)</f>
        <v/>
      </c>
      <c r="M23" s="20" t="str">
        <f aca="false">IF(Calc!$A$22="","",Calc!V$22)</f>
        <v/>
      </c>
      <c r="N23" s="21" t="str">
        <f aca="false">IF(Calc!$A$22="","",Calc!W$22)</f>
        <v/>
      </c>
      <c r="O23" s="20" t="str">
        <f aca="false">IF(Calc!$A$22="","",Calc!X$22)</f>
        <v/>
      </c>
      <c r="P23" s="19" t="str">
        <f aca="false">IF(Calc!$A$22="","",Calc!S$22)</f>
        <v/>
      </c>
      <c r="Q23" s="19" t="str">
        <f aca="false">IF(Calc!$A$22="","",Calc!Y$22)</f>
        <v/>
      </c>
      <c r="R23" s="19" t="str">
        <f aca="false">IF(Calc!$A$22="","",Calc!I$22)</f>
        <v/>
      </c>
      <c r="S23" s="19" t="str">
        <f aca="false">IF(Calc!$A$22="","",Calc!Z$22)</f>
        <v/>
      </c>
      <c r="T23" s="19" t="str">
        <f aca="false">IF(Calc!$A$22="","",Calc!AA$22)</f>
        <v/>
      </c>
      <c r="U23" s="22" t="str">
        <f aca="false">IF(Calc!$A$22="","",Calc!AB$22)</f>
        <v/>
      </c>
      <c r="V23" s="22" t="str">
        <f aca="false">IF(Calc!$A$22="","",Calc!AC$22)</f>
        <v/>
      </c>
      <c r="W23" s="19" t="str">
        <f aca="false">IF(Calc!$A$22="","",Calc!AF$22)</f>
        <v/>
      </c>
      <c r="X23" s="19" t="str">
        <f aca="false">IF(Calc!$A$22="","",Calc!AG$22)</f>
        <v/>
      </c>
      <c r="Y23" s="19" t="str">
        <f aca="false">IF(Calc!$A$22="","",Calc!AH$22)</f>
        <v/>
      </c>
      <c r="Z23" s="17" t="str">
        <f aca="false">IF(Calc!$A$22="","",Calc!AI$22)</f>
        <v/>
      </c>
      <c r="AA23" s="16" t="str">
        <f aca="false">IF(Calc!$A$22="","",Calc!AJ$22)</f>
        <v/>
      </c>
      <c r="AB23" s="16" t="str">
        <f aca="false">IF(Calc!$A$22="","",Calc!AK$22)</f>
        <v/>
      </c>
      <c r="AC23" s="23" t="str">
        <f aca="false">IF(Calc!$A$22="","",Calc!AM$22)</f>
        <v/>
      </c>
    </row>
    <row r="24" customFormat="false" ht="15" hidden="false" customHeight="false" outlineLevel="0" collapsed="false">
      <c r="A24" s="16" t="str">
        <f aca="false">IF(Calc!$A$23="","",Calc!A$23)</f>
        <v/>
      </c>
      <c r="B24" s="16" t="str">
        <f aca="false">IF(Calc!$A$23="","",Calc!B$23)</f>
        <v/>
      </c>
      <c r="C24" s="16" t="str">
        <f aca="false">IF(Calc!$A$23="","",Calc!C$23)</f>
        <v/>
      </c>
      <c r="D24" s="17" t="str">
        <f aca="false">IF(Calc!$A$23="","",Calc!D$23)</f>
        <v/>
      </c>
      <c r="E24" s="18" t="str">
        <f aca="false">IF(Calc!$A$23="","",Calc!J$23)</f>
        <v/>
      </c>
      <c r="F24" s="18" t="str">
        <f aca="false">IF(Calc!$A$23="","",Calc!L$23)</f>
        <v/>
      </c>
      <c r="G24" s="17" t="str">
        <f aca="false">IF(Calc!$A$23="","",Calc!N$23)</f>
        <v/>
      </c>
      <c r="H24" s="17" t="str">
        <f aca="false">IF(Calc!$A$23="","",Calc!O$23)</f>
        <v/>
      </c>
      <c r="I24" s="19" t="str">
        <f aca="false">IF(Calc!$A$23="","",Calc!Q$23)</f>
        <v/>
      </c>
      <c r="J24" s="19" t="str">
        <f aca="false">IF(Calc!$A$23="","",Calc!R$23)</f>
        <v/>
      </c>
      <c r="K24" s="19" t="str">
        <f aca="false">IF(Calc!$A$23="","",Calc!T$23)</f>
        <v/>
      </c>
      <c r="L24" s="19" t="str">
        <f aca="false">IF(Calc!$A$23="","",Calc!U$23)</f>
        <v/>
      </c>
      <c r="M24" s="20" t="str">
        <f aca="false">IF(Calc!$A$23="","",Calc!V$23)</f>
        <v/>
      </c>
      <c r="N24" s="21" t="str">
        <f aca="false">IF(Calc!$A$23="","",Calc!W$23)</f>
        <v/>
      </c>
      <c r="O24" s="20" t="str">
        <f aca="false">IF(Calc!$A$23="","",Calc!X$23)</f>
        <v/>
      </c>
      <c r="P24" s="19" t="str">
        <f aca="false">IF(Calc!$A$23="","",Calc!S$23)</f>
        <v/>
      </c>
      <c r="Q24" s="19" t="str">
        <f aca="false">IF(Calc!$A$23="","",Calc!Y$23)</f>
        <v/>
      </c>
      <c r="R24" s="19" t="str">
        <f aca="false">IF(Calc!$A$23="","",Calc!I$23)</f>
        <v/>
      </c>
      <c r="S24" s="19" t="str">
        <f aca="false">IF(Calc!$A$23="","",Calc!Z$23)</f>
        <v/>
      </c>
      <c r="T24" s="19" t="str">
        <f aca="false">IF(Calc!$A$23="","",Calc!AA$23)</f>
        <v/>
      </c>
      <c r="U24" s="22" t="str">
        <f aca="false">IF(Calc!$A$23="","",Calc!AB$23)</f>
        <v/>
      </c>
      <c r="V24" s="22" t="str">
        <f aca="false">IF(Calc!$A$23="","",Calc!AC$23)</f>
        <v/>
      </c>
      <c r="W24" s="19" t="str">
        <f aca="false">IF(Calc!$A$23="","",Calc!AF$23)</f>
        <v/>
      </c>
      <c r="X24" s="19" t="str">
        <f aca="false">IF(Calc!$A$23="","",Calc!AG$23)</f>
        <v/>
      </c>
      <c r="Y24" s="19" t="str">
        <f aca="false">IF(Calc!$A$23="","",Calc!AH$23)</f>
        <v/>
      </c>
      <c r="Z24" s="17" t="str">
        <f aca="false">IF(Calc!$A$23="","",Calc!AI$23)</f>
        <v/>
      </c>
      <c r="AA24" s="16" t="str">
        <f aca="false">IF(Calc!$A$23="","",Calc!AJ$23)</f>
        <v/>
      </c>
      <c r="AB24" s="16" t="str">
        <f aca="false">IF(Calc!$A$23="","",Calc!AK$23)</f>
        <v/>
      </c>
      <c r="AC24" s="23" t="str">
        <f aca="false">IF(Calc!$A$23="","",Calc!AM$23)</f>
        <v/>
      </c>
    </row>
    <row r="25" customFormat="false" ht="15" hidden="false" customHeight="false" outlineLevel="0" collapsed="false">
      <c r="A25" s="16" t="str">
        <f aca="false">IF(Calc!$A$24="","",Calc!A$24)</f>
        <v>↑ 藍字＝手動輸入。新增股票就在第 2~21 列往下打一列，其餘分頁全自動延伸。</v>
      </c>
      <c r="B25" s="16" t="str">
        <f aca="false">IF(Calc!$A$24="","",Calc!B$24)</f>
        <v/>
      </c>
      <c r="C25" s="16" t="str">
        <f aca="false">IF(Calc!$A$24="","",Calc!C$24)</f>
        <v/>
      </c>
      <c r="D25" s="17" t="str">
        <f aca="false">IF(Calc!$A$24="","",Calc!D$24)</f>
        <v/>
      </c>
      <c r="E25" s="18" t="str">
        <f aca="false">IF(Calc!$A$24="","",Calc!J$24)</f>
        <v>N/M</v>
      </c>
      <c r="F25" s="18" t="str">
        <f aca="false">IF(Calc!$A$24="","",Calc!L$24)</f>
        <v>N/M</v>
      </c>
      <c r="G25" s="17" t="str">
        <f aca="false">IF(Calc!$A$24="","",Calc!N$24)</f>
        <v>N/M</v>
      </c>
      <c r="H25" s="17" t="str">
        <f aca="false">IF(Calc!$A$24="","",Calc!O$24)</f>
        <v>N/M</v>
      </c>
      <c r="I25" s="19" t="str">
        <f aca="false">IF(Calc!$A$24="","",Calc!Q$24)</f>
        <v>不配息</v>
      </c>
      <c r="J25" s="19" t="str">
        <f aca="false">IF(Calc!$A$24="","",Calc!R$24)</f>
        <v/>
      </c>
      <c r="K25" s="19" t="str">
        <f aca="false">IF(Calc!$A$24="","",Calc!T$24)</f>
        <v/>
      </c>
      <c r="L25" s="19" t="str">
        <f aca="false">IF(Calc!$A$24="","",Calc!U$24)</f>
        <v/>
      </c>
      <c r="M25" s="20" t="str">
        <f aca="false">IF(Calc!$A$24="","",Calc!V$24)</f>
        <v/>
      </c>
      <c r="N25" s="21" t="str">
        <f aca="false">IF(Calc!$A$24="","",Calc!W$24)</f>
        <v/>
      </c>
      <c r="O25" s="20" t="str">
        <f aca="false">IF(Calc!$A$24="","",Calc!X$24)</f>
        <v/>
      </c>
      <c r="P25" s="19" t="str">
        <f aca="false">IF(Calc!$A$24="","",Calc!S$24)</f>
        <v/>
      </c>
      <c r="Q25" s="19" t="str">
        <f aca="false">IF(Calc!$A$24="","",Calc!Y$24)</f>
        <v/>
      </c>
      <c r="R25" s="19" t="str">
        <f aca="false">IF(Calc!$A$24="","",Calc!I$24)</f>
        <v/>
      </c>
      <c r="S25" s="19" t="str">
        <f aca="false">IF(Calc!$A$24="","",Calc!Z$24)</f>
        <v/>
      </c>
      <c r="T25" s="19" t="str">
        <f aca="false">IF(Calc!$A$24="","",Calc!AA$24)</f>
        <v/>
      </c>
      <c r="U25" s="22" t="str">
        <f aca="false">IF(Calc!$A$24="","",Calc!AB$24)</f>
        <v/>
      </c>
      <c r="V25" s="22" t="str">
        <f aca="false">IF(Calc!$A$24="","",Calc!AC$24)</f>
        <v/>
      </c>
      <c r="W25" s="19" t="str">
        <f aca="false">IF(Calc!$A$24="","",Calc!AF$24)</f>
        <v>N/M</v>
      </c>
      <c r="X25" s="19" t="str">
        <f aca="false">IF(Calc!$A$24="","",Calc!AG$24)</f>
        <v/>
      </c>
      <c r="Y25" s="19" t="str">
        <f aca="false">IF(Calc!$A$24="","",Calc!AH$24)</f>
        <v>N/M</v>
      </c>
      <c r="Z25" s="17" t="n">
        <f aca="false">IF(Calc!$A$24="","",Calc!AI$24)</f>
        <v>0</v>
      </c>
      <c r="AA25" s="16" t="str">
        <f aca="false">IF(Calc!$A$24="","",Calc!AJ$24)</f>
        <v/>
      </c>
      <c r="AB25" s="16" t="str">
        <f aca="false">IF(Calc!$A$24="","",Calc!AK$24)</f>
        <v/>
      </c>
      <c r="AC25" s="23" t="str">
        <f aca="false">IF(Calc!$A$24="","",Calc!AM$24)</f>
        <v/>
      </c>
    </row>
    <row r="26" customFormat="false" ht="15" hidden="false" customHeight="false" outlineLevel="0" collapsed="false">
      <c r="A26" s="16" t="str">
        <f aca="false">IF(Calc!$A$25="","",Calc!A$25)</f>
        <v/>
      </c>
      <c r="B26" s="16" t="str">
        <f aca="false">IF(Calc!$A$25="","",Calc!B$25)</f>
        <v/>
      </c>
      <c r="C26" s="16" t="str">
        <f aca="false">IF(Calc!$A$25="","",Calc!C$25)</f>
        <v/>
      </c>
      <c r="D26" s="17" t="str">
        <f aca="false">IF(Calc!$A$25="","",Calc!D$25)</f>
        <v/>
      </c>
      <c r="E26" s="18" t="str">
        <f aca="false">IF(Calc!$A$25="","",Calc!J$25)</f>
        <v/>
      </c>
      <c r="F26" s="18" t="str">
        <f aca="false">IF(Calc!$A$25="","",Calc!L$25)</f>
        <v/>
      </c>
      <c r="G26" s="17" t="str">
        <f aca="false">IF(Calc!$A$25="","",Calc!N$25)</f>
        <v/>
      </c>
      <c r="H26" s="17" t="str">
        <f aca="false">IF(Calc!$A$25="","",Calc!O$25)</f>
        <v/>
      </c>
      <c r="I26" s="19" t="str">
        <f aca="false">IF(Calc!$A$25="","",Calc!Q$25)</f>
        <v/>
      </c>
      <c r="J26" s="19" t="str">
        <f aca="false">IF(Calc!$A$25="","",Calc!R$25)</f>
        <v/>
      </c>
      <c r="K26" s="19" t="str">
        <f aca="false">IF(Calc!$A$25="","",Calc!T$25)</f>
        <v/>
      </c>
      <c r="L26" s="19" t="str">
        <f aca="false">IF(Calc!$A$25="","",Calc!U$25)</f>
        <v/>
      </c>
      <c r="M26" s="20" t="str">
        <f aca="false">IF(Calc!$A$25="","",Calc!V$25)</f>
        <v/>
      </c>
      <c r="N26" s="21" t="str">
        <f aca="false">IF(Calc!$A$25="","",Calc!W$25)</f>
        <v/>
      </c>
      <c r="O26" s="20" t="str">
        <f aca="false">IF(Calc!$A$25="","",Calc!X$25)</f>
        <v/>
      </c>
      <c r="P26" s="19" t="str">
        <f aca="false">IF(Calc!$A$25="","",Calc!S$25)</f>
        <v/>
      </c>
      <c r="Q26" s="19" t="str">
        <f aca="false">IF(Calc!$A$25="","",Calc!Y$25)</f>
        <v/>
      </c>
      <c r="R26" s="19" t="str">
        <f aca="false">IF(Calc!$A$25="","",Calc!I$25)</f>
        <v/>
      </c>
      <c r="S26" s="19" t="str">
        <f aca="false">IF(Calc!$A$25="","",Calc!Z$25)</f>
        <v/>
      </c>
      <c r="T26" s="19" t="str">
        <f aca="false">IF(Calc!$A$25="","",Calc!AA$25)</f>
        <v/>
      </c>
      <c r="U26" s="22" t="str">
        <f aca="false">IF(Calc!$A$25="","",Calc!AB$25)</f>
        <v/>
      </c>
      <c r="V26" s="22" t="str">
        <f aca="false">IF(Calc!$A$25="","",Calc!AC$25)</f>
        <v/>
      </c>
      <c r="W26" s="19" t="str">
        <f aca="false">IF(Calc!$A$25="","",Calc!AF$25)</f>
        <v/>
      </c>
      <c r="X26" s="19" t="str">
        <f aca="false">IF(Calc!$A$25="","",Calc!AG$25)</f>
        <v/>
      </c>
      <c r="Y26" s="19" t="str">
        <f aca="false">IF(Calc!$A$25="","",Calc!AH$25)</f>
        <v/>
      </c>
      <c r="Z26" s="17" t="str">
        <f aca="false">IF(Calc!$A$25="","",Calc!AI$25)</f>
        <v/>
      </c>
      <c r="AA26" s="16" t="str">
        <f aca="false">IF(Calc!$A$25="","",Calc!AJ$25)</f>
        <v/>
      </c>
      <c r="AB26" s="16" t="str">
        <f aca="false">IF(Calc!$A$25="","",Calc!AK$25)</f>
        <v/>
      </c>
      <c r="AC26" s="23" t="str">
        <f aca="false">IF(Calc!$A$25="","",Calc!AM$25)</f>
        <v/>
      </c>
    </row>
    <row r="27" customFormat="false" ht="15" hidden="false" customHeight="false" outlineLevel="0" collapsed="false">
      <c r="A27" s="16" t="str">
        <f aca="false">IF(Calc!$A$26="","",Calc!A$26)</f>
        <v/>
      </c>
      <c r="B27" s="16" t="str">
        <f aca="false">IF(Calc!$A$26="","",Calc!B$26)</f>
        <v/>
      </c>
      <c r="C27" s="16" t="str">
        <f aca="false">IF(Calc!$A$26="","",Calc!C$26)</f>
        <v/>
      </c>
      <c r="D27" s="17" t="str">
        <f aca="false">IF(Calc!$A$26="","",Calc!D$26)</f>
        <v/>
      </c>
      <c r="E27" s="18" t="str">
        <f aca="false">IF(Calc!$A$26="","",Calc!J$26)</f>
        <v/>
      </c>
      <c r="F27" s="18" t="str">
        <f aca="false">IF(Calc!$A$26="","",Calc!L$26)</f>
        <v/>
      </c>
      <c r="G27" s="17" t="str">
        <f aca="false">IF(Calc!$A$26="","",Calc!N$26)</f>
        <v/>
      </c>
      <c r="H27" s="17" t="str">
        <f aca="false">IF(Calc!$A$26="","",Calc!O$26)</f>
        <v/>
      </c>
      <c r="I27" s="19" t="str">
        <f aca="false">IF(Calc!$A$26="","",Calc!Q$26)</f>
        <v/>
      </c>
      <c r="J27" s="19" t="str">
        <f aca="false">IF(Calc!$A$26="","",Calc!R$26)</f>
        <v/>
      </c>
      <c r="K27" s="19" t="str">
        <f aca="false">IF(Calc!$A$26="","",Calc!T$26)</f>
        <v/>
      </c>
      <c r="L27" s="19" t="str">
        <f aca="false">IF(Calc!$A$26="","",Calc!U$26)</f>
        <v/>
      </c>
      <c r="M27" s="20" t="str">
        <f aca="false">IF(Calc!$A$26="","",Calc!V$26)</f>
        <v/>
      </c>
      <c r="N27" s="21" t="str">
        <f aca="false">IF(Calc!$A$26="","",Calc!W$26)</f>
        <v/>
      </c>
      <c r="O27" s="20" t="str">
        <f aca="false">IF(Calc!$A$26="","",Calc!X$26)</f>
        <v/>
      </c>
      <c r="P27" s="19" t="str">
        <f aca="false">IF(Calc!$A$26="","",Calc!S$26)</f>
        <v/>
      </c>
      <c r="Q27" s="19" t="str">
        <f aca="false">IF(Calc!$A$26="","",Calc!Y$26)</f>
        <v/>
      </c>
      <c r="R27" s="19" t="str">
        <f aca="false">IF(Calc!$A$26="","",Calc!I$26)</f>
        <v/>
      </c>
      <c r="S27" s="19" t="str">
        <f aca="false">IF(Calc!$A$26="","",Calc!Z$26)</f>
        <v/>
      </c>
      <c r="T27" s="19" t="str">
        <f aca="false">IF(Calc!$A$26="","",Calc!AA$26)</f>
        <v/>
      </c>
      <c r="U27" s="22" t="str">
        <f aca="false">IF(Calc!$A$26="","",Calc!AB$26)</f>
        <v/>
      </c>
      <c r="V27" s="22" t="str">
        <f aca="false">IF(Calc!$A$26="","",Calc!AC$26)</f>
        <v/>
      </c>
      <c r="W27" s="19" t="str">
        <f aca="false">IF(Calc!$A$26="","",Calc!AF$26)</f>
        <v/>
      </c>
      <c r="X27" s="19" t="str">
        <f aca="false">IF(Calc!$A$26="","",Calc!AG$26)</f>
        <v/>
      </c>
      <c r="Y27" s="19" t="str">
        <f aca="false">IF(Calc!$A$26="","",Calc!AH$26)</f>
        <v/>
      </c>
      <c r="Z27" s="17" t="str">
        <f aca="false">IF(Calc!$A$26="","",Calc!AI$26)</f>
        <v/>
      </c>
      <c r="AA27" s="16" t="str">
        <f aca="false">IF(Calc!$A$26="","",Calc!AJ$26)</f>
        <v/>
      </c>
      <c r="AB27" s="16" t="str">
        <f aca="false">IF(Calc!$A$26="","",Calc!AK$26)</f>
        <v/>
      </c>
      <c r="AC27" s="23" t="str">
        <f aca="false">IF(Calc!$A$26="","",Calc!AM$26)</f>
        <v/>
      </c>
    </row>
    <row r="29" customFormat="false" ht="15" hidden="false" customHeight="false" outlineLevel="0" collapsed="false">
      <c r="A29" s="24" t="s">
        <v>79</v>
      </c>
    </row>
    <row r="30" customFormat="false" ht="15" hidden="false" customHeight="false" outlineLevel="0" collapsed="false">
      <c r="A30" s="25" t="s">
        <v>80</v>
      </c>
    </row>
    <row r="31" customFormat="false" ht="15" hidden="false" customHeight="false" outlineLevel="0" collapsed="false">
      <c r="A31" s="24" t="s">
        <v>81</v>
      </c>
    </row>
  </sheetData>
  <autoFilter ref="A2:AC27"/>
  <mergeCells count="7">
    <mergeCell ref="A1:D1"/>
    <mergeCell ref="E1:H1"/>
    <mergeCell ref="I1:J1"/>
    <mergeCell ref="K1:R1"/>
    <mergeCell ref="S1:V1"/>
    <mergeCell ref="W1:Y1"/>
    <mergeCell ref="Z1:AC1"/>
  </mergeCells>
  <conditionalFormatting sqref="O3:O27">
    <cfRule type="colorScale" priority="2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conditionalFormatting sqref="M3:M27">
    <cfRule type="colorScale" priority="3">
      <colorScale>
        <cfvo type="num" val="-30"/>
        <cfvo type="num" val="0"/>
        <cfvo type="num" val="30"/>
        <color rgb="FFF8696B"/>
        <color rgb="FFFFFFFF"/>
        <color rgb="FF63BE7B"/>
      </colorScale>
    </cfRule>
  </conditionalFormatting>
  <conditionalFormatting sqref="V3:V27">
    <cfRule type="colorScale" priority="4">
      <colorScale>
        <cfvo type="num" val="-200"/>
        <cfvo type="num" val="0"/>
        <cfvo type="num" val="200"/>
        <color rgb="FFF8696B"/>
        <color rgb="FFFFFFFF"/>
        <color rgb="FF63BE7B"/>
      </colorScale>
    </cfRule>
  </conditionalFormatting>
  <conditionalFormatting sqref="U3:U27">
    <cfRule type="colorScale" priority="5">
      <colorScale>
        <cfvo type="num" val="-200"/>
        <cfvo type="num" val="0"/>
        <cfvo type="num" val="200"/>
        <color rgb="FFF8696B"/>
        <color rgb="FFFFFFFF"/>
        <color rgb="FF63BE7B"/>
      </colorScale>
    </cfRule>
  </conditionalFormatting>
  <conditionalFormatting sqref="K3:K27">
    <cfRule type="colorScale" priority="6">
      <colorScale>
        <cfvo type="min" val="0"/>
        <cfvo type="max" val="0"/>
        <color rgb="FFFFFFFF"/>
        <color rgb="FF63BE7B"/>
      </colorScale>
    </cfRule>
  </conditionalFormatting>
  <conditionalFormatting sqref="P3:P27">
    <cfRule type="colorScale" priority="7">
      <colorScale>
        <cfvo type="min" val="0"/>
        <cfvo type="max" val="0"/>
        <color rgb="FFFFFFFF"/>
        <color rgb="FF63BE7B"/>
      </colorScale>
    </cfRule>
  </conditionalFormatting>
  <conditionalFormatting sqref="I3:I27">
    <cfRule type="colorScale" priority="8">
      <colorScale>
        <cfvo type="min" val="0"/>
        <cfvo type="max" val="0"/>
        <color rgb="FFFFFFFF"/>
        <color rgb="FF63BE7B"/>
      </colorScale>
    </cfRule>
  </conditionalFormatting>
  <conditionalFormatting sqref="W3:W27">
    <cfRule type="colorScale" priority="9">
      <colorScale>
        <cfvo type="min" val="0"/>
        <cfvo type="max" val="0"/>
        <color rgb="FFFFFFFF"/>
        <color rgb="FF63BE7B"/>
      </colorScale>
    </cfRule>
    <cfRule type="cellIs" priority="10" operator="equal" aboveAverage="0" equalAverage="0" bottom="0" percent="0" rank="0" text="" dxfId="85">
      <formula>"N/M"</formula>
    </cfRule>
  </conditionalFormatting>
  <conditionalFormatting sqref="G3:G27">
    <cfRule type="cellIs" priority="11" operator="lessThan" aboveAverage="0" equalAverage="0" bottom="0" percent="0" rank="0" text="" dxfId="86">
      <formula>1.5</formula>
    </cfRule>
  </conditionalFormatting>
  <conditionalFormatting sqref="H3:H27">
    <cfRule type="cellIs" priority="12" operator="lessThan" aboveAverage="0" equalAverage="0" bottom="0" percent="0" rank="0" text="" dxfId="86">
      <formula>1.5</formula>
    </cfRule>
  </conditionalFormatting>
  <conditionalFormatting sqref="N3:N27">
    <cfRule type="cellIs" priority="13" operator="equal" aboveAverage="0" equalAverage="0" bottom="0" percent="0" rank="0" text="" dxfId="86">
      <formula>"成長且加速"</formula>
    </cfRule>
    <cfRule type="cellIs" priority="14" operator="equal" aboveAverage="0" equalAverage="0" bottom="0" percent="0" rank="0" text="" dxfId="87">
      <formula>"成長但減速"</formula>
    </cfRule>
    <cfRule type="cellIs" priority="15" operator="equal" aboveAverage="0" equalAverage="0" bottom="0" percent="0" rank="0" text="" dxfId="87">
      <formula>"衰退但收斂"</formula>
    </cfRule>
    <cfRule type="cellIs" priority="16" operator="equal" aboveAverage="0" equalAverage="0" bottom="0" percent="0" rank="0" text="" dxfId="88">
      <formula>"衰退且惡化"</formula>
    </cfRule>
  </conditionalFormatting>
  <conditionalFormatting sqref="A3:AC27">
    <cfRule type="expression" priority="17" aboveAverage="0" equalAverage="0" bottom="0" percent="0" rank="0" text="" dxfId="89">
      <formula>$C3="池子"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12" min="8" style="0" width="12"/>
    <col collapsed="false" customWidth="true" hidden="true" outlineLevel="0" max="26" min="26" style="0" width="13"/>
  </cols>
  <sheetData>
    <row r="1" customFormat="false" ht="17.35" hidden="false" customHeight="false" outlineLevel="0" collapsed="false">
      <c r="A1" s="1" t="s">
        <v>82</v>
      </c>
      <c r="Z1" s="0" t="str">
        <f aca="false">IF(INDEX(Calc!$AL$2:$AL$100,MATCH($B$2,Calc!$A$2:$A$100,0))&lt;Config!$B$7,"⚠ 分析師家數不足，共識預估可信度低　　","")&amp;IF(NOT(ISNUMBER(INDEX(Calc!$AF$2:$AF$100,MATCH($B$2,Calc!$A$2:$A$100,0)))),"⚠ 股東權益為負，ROE 無比較意義　　","")&amp;IF(INDEX(Calc!$P$2:$P$100,MATCH($B$2,Calc!$A$2:$A$100,0))=0,"ℹ 此檔近四季未配息　　","")</f>
        <v/>
      </c>
    </row>
    <row r="2" customFormat="false" ht="16.15" hidden="false" customHeight="false" outlineLevel="0" collapsed="false">
      <c r="A2" s="26" t="s">
        <v>83</v>
      </c>
      <c r="B2" s="27" t="s">
        <v>84</v>
      </c>
      <c r="D2" s="28" t="str">
        <f aca="false">IF($B$2="","",IFERROR(INDEX(Calc!$B$2:$B$100,MATCH($B$2,Calc!$A$2:$A$100,0)),""))</f>
        <v>Apple Inc.</v>
      </c>
      <c r="E2" s="28"/>
      <c r="F2" s="28"/>
      <c r="G2" s="29" t="n">
        <f aca="false">IF($B$2="","",IFERROR(INDEX(Calc!$C$2:$C$100,MATCH($B$2,Calc!$A$2:$A$100,0)),""))</f>
        <v>0</v>
      </c>
    </row>
    <row r="3" customFormat="false" ht="15" hidden="false" customHeight="false" outlineLevel="0" collapsed="false">
      <c r="C3" s="24" t="s">
        <v>85</v>
      </c>
    </row>
    <row r="4" customFormat="false" ht="15" hidden="false" customHeight="false" outlineLevel="0" collapsed="false">
      <c r="A4" s="30" t="s">
        <v>55</v>
      </c>
      <c r="B4" s="31" t="n">
        <f aca="false">IF($B$2="","",IFERROR(INDEX(Calc!$D$2:$D$100,MATCH($B$2,Calc!$A$2:$A$100,0)),""))</f>
        <v>329.359985351563</v>
      </c>
      <c r="D4" s="30" t="s">
        <v>86</v>
      </c>
      <c r="E4" s="32" t="n">
        <f aca="false">IF($B$2="","",IFERROR(INDEX(Calc!$AL$2:$AL$100,MATCH($B$2,Calc!$A$2:$A$100,0)),""))</f>
        <v>27</v>
      </c>
      <c r="G4" s="30" t="s">
        <v>87</v>
      </c>
      <c r="H4" s="33" t="n">
        <f aca="false">IF($B$2="","",IFERROR(INDEX(Calc!$AM$2:$AM$100,MATCH($B$2,Calc!$A$2:$A$100,0)),""))</f>
        <v>46324</v>
      </c>
      <c r="I4" s="30" t="s">
        <v>88</v>
      </c>
      <c r="J4" s="33" t="n">
        <f aca="false">IF($B$2="","",IFERROR(INDEX(Calc!$AN$2:$AN$100,MATCH($B$2,Calc!$A$2:$A$100,0)),""))</f>
        <v>46280</v>
      </c>
    </row>
    <row r="6" customFormat="false" ht="15" hidden="false" customHeight="false" outlineLevel="0" collapsed="false">
      <c r="A6" s="34" t="s">
        <v>89</v>
      </c>
      <c r="B6" s="34"/>
      <c r="D6" s="34" t="s">
        <v>48</v>
      </c>
      <c r="E6" s="34"/>
      <c r="G6" s="34" t="s">
        <v>90</v>
      </c>
      <c r="H6" s="34"/>
    </row>
    <row r="7" customFormat="false" ht="15" hidden="false" customHeight="false" outlineLevel="0" collapsed="false">
      <c r="A7" s="2" t="s">
        <v>56</v>
      </c>
      <c r="B7" s="35" t="n">
        <f aca="false">IF($B$2="","",IFERROR(INDEX(Calc!$J$2:$J$100,MATCH($B$2,Calc!$A$2:$A$100,0)),""))</f>
        <v>37.7706405219682</v>
      </c>
      <c r="D7" s="5" t="s">
        <v>91</v>
      </c>
      <c r="E7" s="36" t="n">
        <f aca="false">IF($B$2="","",IFERROR(INDEX(Calc!$T$2:$T$100,MATCH($B$2,Calc!$A$2:$A$100,0)),""))</f>
        <v>-0.0158925744711469</v>
      </c>
      <c r="G7" s="5" t="s">
        <v>92</v>
      </c>
      <c r="H7" s="36" t="n">
        <f aca="false">IF($B$2="","",IFERROR(INDEX(Calc!$Z$2:$Z$100,MATCH($B$2,Calc!$A$2:$A$100,0)),""))</f>
        <v>0.48652915559002</v>
      </c>
    </row>
    <row r="8" customFormat="false" ht="15" hidden="false" customHeight="false" outlineLevel="0" collapsed="false">
      <c r="A8" s="2" t="s">
        <v>57</v>
      </c>
      <c r="B8" s="35" t="n">
        <f aca="false">IF($B$2="","",IFERROR(INDEX(Calc!$L$2:$L$100,MATCH($B$2,Calc!$A$2:$A$100,0)),""))</f>
        <v>34.5077663111518</v>
      </c>
      <c r="D8" s="5" t="s">
        <v>93</v>
      </c>
      <c r="E8" s="36" t="n">
        <f aca="false">IF($B$2="","",IFERROR(INDEX(Calc!$U$2:$U$100,MATCH($B$2,Calc!$A$2:$A$100,0)),""))</f>
        <v>-0.226578368902863</v>
      </c>
      <c r="G8" s="2" t="s">
        <v>94</v>
      </c>
      <c r="H8" s="36" t="n">
        <f aca="false">IF($B$2="","",IFERROR(INDEX(Calc!$AA$2:$AA$100,MATCH($B$2,Calc!$A$2:$A$100,0)),""))</f>
        <v>0.457445562811989</v>
      </c>
    </row>
    <row r="9" customFormat="false" ht="15" hidden="false" customHeight="false" outlineLevel="0" collapsed="false">
      <c r="A9" s="2" t="s">
        <v>58</v>
      </c>
      <c r="B9" s="37" t="n">
        <f aca="false">IF($B$2="","",IFERROR(INDEX(Calc!$N$2:$N$100,MATCH($B$2,Calc!$A$2:$A$100,0)),""))</f>
        <v>1.16858460582052</v>
      </c>
      <c r="D9" s="5" t="s">
        <v>95</v>
      </c>
      <c r="E9" s="38" t="n">
        <f aca="false">IF($B$2="","",IFERROR(INDEX(Calc!$V$2:$V$100,MATCH($B$2,Calc!$A$2:$A$100,0)),""))</f>
        <v>21.0685794431716</v>
      </c>
      <c r="G9" s="5" t="s">
        <v>96</v>
      </c>
      <c r="H9" s="39" t="n">
        <f aca="false">IF($B$2="","",IFERROR(INDEX(Calc!$AB$2:$AB$100,MATCH($B$2,Calc!$A$2:$A$100,0)),""))</f>
        <v>290.835927780316</v>
      </c>
    </row>
    <row r="10" customFormat="false" ht="15" hidden="false" customHeight="false" outlineLevel="0" collapsed="false">
      <c r="A10" s="2" t="s">
        <v>59</v>
      </c>
      <c r="B10" s="37" t="n">
        <f aca="false">IF($B$2="","",IFERROR(INDEX(Calc!$O$2:$O$100,MATCH($B$2,Calc!$A$2:$A$100,0)),""))</f>
        <v>3.99732040728199</v>
      </c>
      <c r="D10" s="5" t="s">
        <v>97</v>
      </c>
      <c r="E10" s="40" t="str">
        <f aca="false">IF($B$2="","",IFERROR(INDEX(Calc!$W$2:$W$100,MATCH($B$2,Calc!$A$2:$A$100,0)),""))</f>
        <v>衰退但收斂</v>
      </c>
      <c r="G10" s="2" t="s">
        <v>98</v>
      </c>
      <c r="H10" s="39" t="n">
        <f aca="false">IF($B$2="","",IFERROR(INDEX(Calc!$AC$2:$AC$100,MATCH($B$2,Calc!$A$2:$A$100,0)),""))</f>
        <v>356.550130076156</v>
      </c>
    </row>
    <row r="11" customFormat="false" ht="15" hidden="false" customHeight="false" outlineLevel="0" collapsed="false">
      <c r="A11" s="2" t="s">
        <v>99</v>
      </c>
      <c r="B11" s="37" t="n">
        <f aca="false">IF($B$2="","",IFERROR(INDEX(Calc!$F$2:$F$100,MATCH($B$2,Calc!$A$2:$A$100,0)),""))</f>
        <v>8.72</v>
      </c>
      <c r="D11" s="5" t="s">
        <v>100</v>
      </c>
      <c r="E11" s="38" t="n">
        <f aca="false">IF($B$2="","",IFERROR(INDEX(Calc!$X$2:$X$100,MATCH($B$2,Calc!$A$2:$A$100,0)),""))</f>
        <v>-0.201868737082078</v>
      </c>
      <c r="G11" s="2" t="s">
        <v>72</v>
      </c>
      <c r="H11" s="36" t="n">
        <f aca="false">IF($B$2="","",IFERROR(INDEX(Calc!$AF$2:$AF$100,MATCH($B$2,Calc!$A$2:$A$100,0)),""))</f>
        <v>1.48695399988463</v>
      </c>
    </row>
    <row r="12" customFormat="false" ht="15" hidden="false" customHeight="false" outlineLevel="0" collapsed="false">
      <c r="A12" s="2" t="s">
        <v>101</v>
      </c>
      <c r="B12" s="37" t="n">
        <f aca="false">IF($B$2="","",IFERROR(INDEX(Calc!$H$2:$H$100,MATCH($B$2,Calc!$A$2:$A$100,0)),""))</f>
        <v>9.54451767123288</v>
      </c>
      <c r="D12" s="5" t="s">
        <v>102</v>
      </c>
      <c r="E12" s="36" t="n">
        <f aca="false">IF($B$2="","",IFERROR(INDEX(Calc!$S$2:$S$100,MATCH($B$2,Calc!$A$2:$A$100,0)),""))</f>
        <v>0.163565017652814</v>
      </c>
      <c r="G12" s="2" t="s">
        <v>94</v>
      </c>
      <c r="H12" s="36" t="n">
        <f aca="false">IF($B$2="","",IFERROR(INDEX(Calc!$AG$2:$AG$100,MATCH($B$2,Calc!$A$2:$A$100,0)),""))</f>
        <v>1.43278029580883</v>
      </c>
    </row>
    <row r="13" customFormat="false" ht="15" hidden="false" customHeight="false" outlineLevel="0" collapsed="false">
      <c r="A13" s="5" t="s">
        <v>47</v>
      </c>
      <c r="B13" s="36" t="n">
        <f aca="false">IF($B$2="","",IFERROR(INDEX(Calc!$Q$2:$Q$100,MATCH($B$2,Calc!$A$2:$A$100,0)),""))</f>
        <v>0.00318800111336906</v>
      </c>
      <c r="D13" s="2" t="s">
        <v>103</v>
      </c>
      <c r="E13" s="36" t="n">
        <f aca="false">IF($B$2="","",IFERROR(INDEX(Calc!$Y$2:$Y$100,MATCH($B$2,Calc!$A$2:$A$100,0)),""))</f>
        <v>0.286624203821656</v>
      </c>
      <c r="G13" s="2" t="s">
        <v>74</v>
      </c>
      <c r="H13" s="36" t="n">
        <f aca="false">IF($B$2="","",IFERROR(INDEX(Calc!$AH$2:$AH$100,MATCH($B$2,Calc!$A$2:$A$100,0)),""))</f>
        <v>1.20635572400558</v>
      </c>
    </row>
    <row r="14" customFormat="false" ht="15" hidden="false" customHeight="false" outlineLevel="0" collapsed="false">
      <c r="A14" s="5" t="s">
        <v>104</v>
      </c>
      <c r="B14" s="37" t="n">
        <f aca="false">IF($B$2="","",IFERROR(INDEX(Calc!$P$2:$P$100,MATCH($B$2,Calc!$A$2:$A$100,0)),""))</f>
        <v>1.05</v>
      </c>
      <c r="D14" s="2" t="s">
        <v>105</v>
      </c>
      <c r="E14" s="36" t="n">
        <f aca="false">IF($B$2="","",IFERROR(INDEX(Calc!$M$2:$M$100,MATCH($B$2,Calc!$A$2:$A$100,0)),""))</f>
        <v>0.0863272462429789</v>
      </c>
      <c r="G14" s="5" t="s">
        <v>106</v>
      </c>
      <c r="H14" s="37" t="n">
        <f aca="false">IF($B$2="","",IFERROR(INDEX(Calc!$AD$2:$AD$100,MATCH($B$2,Calc!$A$2:$A$100,0)),""))</f>
        <v>7.30699065341296</v>
      </c>
    </row>
    <row r="15" customFormat="false" ht="15" hidden="false" customHeight="false" outlineLevel="0" collapsed="false">
      <c r="D15" s="5" t="s">
        <v>107</v>
      </c>
      <c r="E15" s="37" t="n">
        <f aca="false">IF($B$2="","",IFERROR(INDEX(Calc!$AI$2:$AI$100,MATCH($B$2,Calc!$A$2:$A$100,0)),""))</f>
        <v>1.97656</v>
      </c>
    </row>
    <row r="16" customFormat="false" ht="15" hidden="false" customHeight="false" outlineLevel="0" collapsed="false">
      <c r="A16" s="41" t="s">
        <v>108</v>
      </c>
      <c r="B16" s="42" t="str">
        <f aca="false">IF($B$2="","",IF(LEN($Z$1)=0,"✓ 目前沒有觸發任何旗標",$Z$1))</f>
        <v>✓ 目前沒有觸發任何旗標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</row>
  </sheetData>
  <mergeCells count="5">
    <mergeCell ref="D2:F2"/>
    <mergeCell ref="A6:B6"/>
    <mergeCell ref="D6:E6"/>
    <mergeCell ref="G6:H6"/>
    <mergeCell ref="B16:L16"/>
  </mergeCells>
  <dataValidations count="1">
    <dataValidation allowBlank="false" errorStyle="stop" operator="between" showDropDown="false" showErrorMessage="false" showInputMessage="false" sqref="B2" type="list">
      <formula1>Tickers!$A$2:$A$100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true" outlineLevel="0" max="26" min="26" style="0" width="13"/>
  </cols>
  <sheetData>
    <row r="1" customFormat="false" ht="17.9" hidden="false" customHeight="false" outlineLevel="0" collapsed="false">
      <c r="A1" s="1" t="s">
        <v>109</v>
      </c>
      <c r="Z1" s="43" t="n">
        <f aca="false">IF(Stock_Card!$B$2="","",IFERROR(SUMIFS(Raw_Q!$C$2:$C$600,Raw_Q!$A$2:$A$600,Stock_Card!$B$2,Raw_Q!$P$2:$P$600,0),""))</f>
        <v>2026</v>
      </c>
    </row>
    <row r="2" customFormat="false" ht="15" hidden="false" customHeight="false" outlineLevel="0" collapsed="false">
      <c r="A2" s="44" t="s">
        <v>110</v>
      </c>
      <c r="B2" s="45" t="str">
        <f aca="false">Stock_Card!$B$2</f>
        <v>AAPL</v>
      </c>
      <c r="C2" s="24" t="s">
        <v>111</v>
      </c>
    </row>
    <row r="4" customFormat="false" ht="31.5" hidden="false" customHeight="true" outlineLevel="0" collapsed="false">
      <c r="A4" s="15" t="s">
        <v>112</v>
      </c>
      <c r="B4" s="15" t="s">
        <v>113</v>
      </c>
      <c r="C4" s="15" t="s">
        <v>114</v>
      </c>
      <c r="D4" s="15" t="s">
        <v>66</v>
      </c>
      <c r="E4" s="15" t="s">
        <v>49</v>
      </c>
      <c r="F4" s="15" t="s">
        <v>115</v>
      </c>
      <c r="G4" s="14" t="s">
        <v>116</v>
      </c>
      <c r="H4" s="14" t="s">
        <v>117</v>
      </c>
      <c r="I4" s="14" t="s">
        <v>50</v>
      </c>
      <c r="J4" s="15" t="s">
        <v>118</v>
      </c>
      <c r="K4" s="15" t="s">
        <v>119</v>
      </c>
      <c r="L4" s="15" t="s">
        <v>47</v>
      </c>
      <c r="M4" s="14" t="s">
        <v>120</v>
      </c>
      <c r="N4" s="14" t="s">
        <v>58</v>
      </c>
    </row>
    <row r="5" customFormat="false" ht="15" hidden="false" customHeight="false" outlineLevel="0" collapsed="false">
      <c r="A5" s="46" t="n">
        <f aca="false">IF(Stock_Card!$B$2="","",IFERROR($Z$1-5,""))</f>
        <v>2021</v>
      </c>
      <c r="B5" s="47" t="n">
        <f aca="false">IF(Stock_Card!$B$2="","",COUNTIFS(Raw_Q!$A$2:$A$600,Stock_Card!$B$2,Raw_Q!$C$2:$C$600,$A5,Raw_Q!$F$2:$F$600,"N"))</f>
        <v>4</v>
      </c>
      <c r="C5" s="48" t="n">
        <f aca="false">IF($B5&gt;=4,SUMIFS(Raw_Q!$I$2:$I$600,Raw_Q!$A$2:$A$600,Stock_Card!$B$2,Raw_Q!$C$2:$C$600,$A5,Raw_Q!$F$2:$F$600,"N"),"")</f>
        <v>365817</v>
      </c>
      <c r="D5" s="49" t="str">
        <f aca="false">IFERROR(IF(AND(ISNUMBER(C5),ISNUMBER(C4)),C5/C4-1,""),"")</f>
        <v/>
      </c>
      <c r="E5" s="49" t="n">
        <f aca="false">IF($B5&gt;=4,IFERROR(SUMIFS(Raw_Q!$J$2:$J$600,Raw_Q!$A$2:$A$600,Stock_Card!$B$2,Raw_Q!$C$2:$C$600,$A5,Raw_Q!$F$2:$F$600,"N")/C5,""),"")</f>
        <v>0.417793596251678</v>
      </c>
      <c r="F5" s="50" t="str">
        <f aca="false">IFERROR(IF(AND(ISNUMBER(E5),ISNUMBER(E4)),(E5-E4)*10000,""),"")</f>
        <v/>
      </c>
      <c r="G5" s="51" t="n">
        <f aca="false">IF($B5&gt;=4,SUMIFS(Raw_Q!$K$2:$K$600,Raw_Q!$A$2:$A$600,Stock_Card!$B$2,Raw_Q!$C$2:$C$600,$A5,Raw_Q!$F$2:$F$600,"N"),"")</f>
        <v>5.62</v>
      </c>
      <c r="H5" s="49" t="str">
        <f aca="false">IFERROR(IF(AND(ISNUMBER(G5),ISNUMBER(G4)),G5/G4-1,""),"")</f>
        <v/>
      </c>
      <c r="I5" s="49" t="n">
        <f aca="false">IF($B5&gt;=4,IFERROR(IF(MIN(SUMIFS(Raw_Q!$M$2:$M$600,Raw_Q!$A$2:$A$600,Stock_Card!$B$2,Raw_Q!$C$2:$C$600,$A5,Raw_Q!$D$2:$D$600,4,Raw_Q!$F$2:$F$600,"N"),SUMIFS(Raw_Q!$M$2:$M$600,Raw_Q!$A$2:$A$600,Stock_Card!$B$2,Raw_Q!$C$2:$C$600,$A5-1,Raw_Q!$D$2:$D$600,4,Raw_Q!$F$2:$F$600,"N"))&lt;=0,"N/M",SUMPRODUCT((Raw_Q!$A$2:$A$600=Stock_Card!$B$2)*(Raw_Q!$C$2:$C$600=$A5)*(Raw_Q!$F$2:$F$600="N")*Raw_Q!$K$2:$K$600*Raw_Q!$L$2:$L$600)/((SUMIFS(Raw_Q!$M$2:$M$600,Raw_Q!$A$2:$A$600,Stock_Card!$B$2,Raw_Q!$C$2:$C$600,$A5,Raw_Q!$D$2:$D$600,4,Raw_Q!$F$2:$F$600,"N")+SUMIFS(Raw_Q!$M$2:$M$600,Raw_Q!$A$2:$A$600,Stock_Card!$B$2,Raw_Q!$C$2:$C$600,$A5-1,Raw_Q!$D$2:$D$600,4,Raw_Q!$F$2:$F$600,"N"))/2)),"N/M"),"")</f>
        <v>1.15656232065966</v>
      </c>
      <c r="J5" s="51" t="n">
        <f aca="false">IF($B5&gt;=4,SUMIFS(Raw_Q!$N$2:$N$600,Raw_Q!$A$2:$A$600,Stock_Card!$B$2,Raw_Q!$C$2:$C$600,$A5,Raw_Q!$F$2:$F$600,"N"),"")</f>
        <v>0.85</v>
      </c>
      <c r="K5" s="51" t="n">
        <f aca="false">IFERROR(IF(SUMIFS(Raw_Q!$O$2:$O$600,Raw_Q!$A$2:$A$600,Stock_Card!$B$2,Raw_Q!$C$2:$C$600,$A5,Raw_Q!$D$2:$D$600,4,Raw_Q!$F$2:$F$600,"N")=0,"",SUMIFS(Raw_Q!$O$2:$O$600,Raw_Q!$A$2:$A$600,Stock_Card!$B$2,Raw_Q!$C$2:$C$600,$A5,Raw_Q!$D$2:$D$600,4,Raw_Q!$F$2:$F$600,"N")),"")</f>
        <v>141.5</v>
      </c>
      <c r="L5" s="49" t="n">
        <f aca="false">IFERROR(IF(OR(NOT(ISNUMBER(K5)),NOT(ISNUMBER(J5)),J5=0),"",J5/K5),"")</f>
        <v>0.00600706713780919</v>
      </c>
      <c r="M5" s="52" t="n">
        <f aca="false">IFERROR(IF(OR(NOT(ISNUMBER(K5)),NOT(ISNUMBER(G5)),G5&lt;=0),"",K5/G5),"")</f>
        <v>25.1779359430605</v>
      </c>
      <c r="N5" s="51" t="str">
        <f aca="false">IFERROR(IF(OR(NOT(ISNUMBER(M5)),NOT(ISNUMBER(H5))),"",IF(H5&lt;Config!$B$6,"N/M",M5/(H5*100))),"")</f>
        <v/>
      </c>
    </row>
    <row r="6" customFormat="false" ht="15" hidden="false" customHeight="false" outlineLevel="0" collapsed="false">
      <c r="A6" s="46" t="n">
        <f aca="false">IF(Stock_Card!$B$2="","",IFERROR($Z$1-4,""))</f>
        <v>2022</v>
      </c>
      <c r="B6" s="47" t="n">
        <f aca="false">IF(Stock_Card!$B$2="","",COUNTIFS(Raw_Q!$A$2:$A$600,Stock_Card!$B$2,Raw_Q!$C$2:$C$600,$A6,Raw_Q!$F$2:$F$600,"N"))</f>
        <v>4</v>
      </c>
      <c r="C6" s="48" t="n">
        <f aca="false">IF($B6&gt;=4,SUMIFS(Raw_Q!$I$2:$I$600,Raw_Q!$A$2:$A$600,Stock_Card!$B$2,Raw_Q!$C$2:$C$600,$A6,Raw_Q!$F$2:$F$600,"N"),"")</f>
        <v>394328</v>
      </c>
      <c r="D6" s="49" t="n">
        <f aca="false">IFERROR(IF(AND(ISNUMBER(C6),ISNUMBER(C5)),C6/C5-1,""),"")</f>
        <v>0.0779378760418461</v>
      </c>
      <c r="E6" s="49" t="n">
        <f aca="false">IF($B6&gt;=4,IFERROR(SUMIFS(Raw_Q!$J$2:$J$600,Raw_Q!$A$2:$A$600,Stock_Card!$B$2,Raw_Q!$C$2:$C$600,$A6,Raw_Q!$F$2:$F$600,"N")/C6,""),"")</f>
        <v>0.433096305613601</v>
      </c>
      <c r="F6" s="50" t="n">
        <f aca="false">IFERROR(IF(AND(ISNUMBER(E6),ISNUMBER(E5)),(E6-E5)*10000,""),"")</f>
        <v>153.027093619231</v>
      </c>
      <c r="G6" s="51" t="n">
        <f aca="false">IF($B6&gt;=4,SUMIFS(Raw_Q!$K$2:$K$600,Raw_Q!$A$2:$A$600,Stock_Card!$B$2,Raw_Q!$C$2:$C$600,$A6,Raw_Q!$F$2:$F$600,"N"),"")</f>
        <v>6.11</v>
      </c>
      <c r="H6" s="49" t="n">
        <f aca="false">IFERROR(IF(AND(ISNUMBER(G6),ISNUMBER(G5)),G6/G5-1,""),"")</f>
        <v>0.0871886120996441</v>
      </c>
      <c r="I6" s="49" t="n">
        <f aca="false">IF($B6&gt;=4,IFERROR(IF(MIN(SUMIFS(Raw_Q!$M$2:$M$600,Raw_Q!$A$2:$A$600,Stock_Card!$B$2,Raw_Q!$C$2:$C$600,$A6,Raw_Q!$D$2:$D$600,4,Raw_Q!$F$2:$F$600,"N"),SUMIFS(Raw_Q!$M$2:$M$600,Raw_Q!$A$2:$A$600,Stock_Card!$B$2,Raw_Q!$C$2:$C$600,$A6-1,Raw_Q!$D$2:$D$600,4,Raw_Q!$F$2:$F$600,"N"))&lt;=0,"N/M",SUMPRODUCT((Raw_Q!$A$2:$A$600=Stock_Card!$B$2)*(Raw_Q!$C$2:$C$600=$A6)*(Raw_Q!$F$2:$F$600="N")*Raw_Q!$K$2:$K$600*Raw_Q!$L$2:$L$600)/((SUMIFS(Raw_Q!$M$2:$M$600,Raw_Q!$A$2:$A$600,Stock_Card!$B$2,Raw_Q!$C$2:$C$600,$A6,Raw_Q!$D$2:$D$600,4,Raw_Q!$F$2:$F$600,"N")+SUMIFS(Raw_Q!$M$2:$M$600,Raw_Q!$A$2:$A$600,Stock_Card!$B$2,Raw_Q!$C$2:$C$600,$A6-1,Raw_Q!$D$2:$D$600,4,Raw_Q!$F$2:$F$600,"N"))/2)),"N/M"),"")</f>
        <v>1.39129401768605</v>
      </c>
      <c r="J6" s="51" t="n">
        <f aca="false">IF($B6&gt;=4,SUMIFS(Raw_Q!$N$2:$N$600,Raw_Q!$A$2:$A$600,Stock_Card!$B$2,Raw_Q!$C$2:$C$600,$A6,Raw_Q!$F$2:$F$600,"N"),"")</f>
        <v>0.9</v>
      </c>
      <c r="K6" s="51" t="n">
        <f aca="false">IFERROR(IF(SUMIFS(Raw_Q!$O$2:$O$600,Raw_Q!$A$2:$A$600,Stock_Card!$B$2,Raw_Q!$C$2:$C$600,$A6,Raw_Q!$D$2:$D$600,4,Raw_Q!$F$2:$F$600,"N")=0,"",SUMIFS(Raw_Q!$O$2:$O$600,Raw_Q!$A$2:$A$600,Stock_Card!$B$2,Raw_Q!$C$2:$C$600,$A6,Raw_Q!$D$2:$D$600,4,Raw_Q!$F$2:$F$600,"N")),"")</f>
        <v>138.199996948242</v>
      </c>
      <c r="L6" s="49" t="n">
        <f aca="false">IFERROR(IF(OR(NOT(ISNUMBER(K6)),NOT(ISNUMBER(J6)),J6=0),"",J6/K6),"")</f>
        <v>0.00651230115683043</v>
      </c>
      <c r="M6" s="52" t="n">
        <f aca="false">IFERROR(IF(OR(NOT(ISNUMBER(K6)),NOT(ISNUMBER(G6)),G6&lt;=0),"",K6/G6),"")</f>
        <v>22.6186574383375</v>
      </c>
      <c r="N6" s="51" t="n">
        <f aca="false">IFERROR(IF(OR(NOT(ISNUMBER(M6)),NOT(ISNUMBER(H6))),"",IF(H6&lt;Config!$B$6,"N/M",M6/(H6*100))),"")</f>
        <v>2.59422152660116</v>
      </c>
    </row>
    <row r="7" customFormat="false" ht="15" hidden="false" customHeight="false" outlineLevel="0" collapsed="false">
      <c r="A7" s="46" t="n">
        <f aca="false">IF(Stock_Card!$B$2="","",IFERROR($Z$1-3,""))</f>
        <v>2023</v>
      </c>
      <c r="B7" s="47" t="n">
        <f aca="false">IF(Stock_Card!$B$2="","",COUNTIFS(Raw_Q!$A$2:$A$600,Stock_Card!$B$2,Raw_Q!$C$2:$C$600,$A7,Raw_Q!$F$2:$F$600,"N"))</f>
        <v>4</v>
      </c>
      <c r="C7" s="48" t="n">
        <f aca="false">IF($B7&gt;=4,SUMIFS(Raw_Q!$I$2:$I$600,Raw_Q!$A$2:$A$600,Stock_Card!$B$2,Raw_Q!$C$2:$C$600,$A7,Raw_Q!$F$2:$F$600,"N"),"")</f>
        <v>383285</v>
      </c>
      <c r="D7" s="49" t="n">
        <f aca="false">IFERROR(IF(AND(ISNUMBER(C7),ISNUMBER(C6)),C7/C6-1,""),"")</f>
        <v>-0.0280046053031994</v>
      </c>
      <c r="E7" s="49" t="n">
        <f aca="false">IF($B7&gt;=4,IFERROR(SUMIFS(Raw_Q!$J$2:$J$600,Raw_Q!$A$2:$A$600,Stock_Card!$B$2,Raw_Q!$C$2:$C$600,$A7,Raw_Q!$F$2:$F$600,"N")/C7,""),"")</f>
        <v>0.441311295772076</v>
      </c>
      <c r="F7" s="50" t="n">
        <f aca="false">IFERROR(IF(AND(ISNUMBER(E7),ISNUMBER(E6)),(E7-E6)*10000,""),"")</f>
        <v>82.1499015847477</v>
      </c>
      <c r="G7" s="51" t="n">
        <f aca="false">IF($B7&gt;=4,SUMIFS(Raw_Q!$K$2:$K$600,Raw_Q!$A$2:$A$600,Stock_Card!$B$2,Raw_Q!$C$2:$C$600,$A7,Raw_Q!$F$2:$F$600,"N"),"")</f>
        <v>6.12</v>
      </c>
      <c r="H7" s="49" t="n">
        <f aca="false">IFERROR(IF(AND(ISNUMBER(G7),ISNUMBER(G6)),G7/G6-1,""),"")</f>
        <v>0.00163666121112915</v>
      </c>
      <c r="I7" s="49" t="n">
        <f aca="false">IF($B7&gt;=4,IFERROR(IF(MIN(SUMIFS(Raw_Q!$M$2:$M$600,Raw_Q!$A$2:$A$600,Stock_Card!$B$2,Raw_Q!$C$2:$C$600,$A7,Raw_Q!$D$2:$D$600,4,Raw_Q!$F$2:$F$600,"N"),SUMIFS(Raw_Q!$M$2:$M$600,Raw_Q!$A$2:$A$600,Stock_Card!$B$2,Raw_Q!$C$2:$C$600,$A7-1,Raw_Q!$D$2:$D$600,4,Raw_Q!$F$2:$F$600,"N"))&lt;=0,"N/M",SUMPRODUCT((Raw_Q!$A$2:$A$600=Stock_Card!$B$2)*(Raw_Q!$C$2:$C$600=$A7)*(Raw_Q!$F$2:$F$600="N")*Raw_Q!$K$2:$K$600*Raw_Q!$L$2:$L$600)/((SUMIFS(Raw_Q!$M$2:$M$600,Raw_Q!$A$2:$A$600,Stock_Card!$B$2,Raw_Q!$C$2:$C$600,$A7,Raw_Q!$D$2:$D$600,4,Raw_Q!$F$2:$F$600,"N")+SUMIFS(Raw_Q!$M$2:$M$600,Raw_Q!$A$2:$A$600,Stock_Card!$B$2,Raw_Q!$C$2:$C$600,$A7-1,Raw_Q!$D$2:$D$600,4,Raw_Q!$F$2:$F$600,"N"))/2)),"N/M"),"")</f>
        <v>1.72041892109415</v>
      </c>
      <c r="J7" s="51" t="n">
        <f aca="false">IF($B7&gt;=4,SUMIFS(Raw_Q!$N$2:$N$600,Raw_Q!$A$2:$A$600,Stock_Card!$B$2,Raw_Q!$C$2:$C$600,$A7,Raw_Q!$F$2:$F$600,"N"),"")</f>
        <v>0.94</v>
      </c>
      <c r="K7" s="51" t="n">
        <f aca="false">IFERROR(IF(SUMIFS(Raw_Q!$O$2:$O$600,Raw_Q!$A$2:$A$600,Stock_Card!$B$2,Raw_Q!$C$2:$C$600,$A7,Raw_Q!$D$2:$D$600,4,Raw_Q!$F$2:$F$600,"N")=0,"",SUMIFS(Raw_Q!$O$2:$O$600,Raw_Q!$A$2:$A$600,Stock_Card!$B$2,Raw_Q!$C$2:$C$600,$A7,Raw_Q!$D$2:$D$600,4,Raw_Q!$F$2:$F$600,"N")),"")</f>
        <v>171.210006713867</v>
      </c>
      <c r="L7" s="49" t="n">
        <f aca="false">IFERROR(IF(OR(NOT(ISNUMBER(K7)),NOT(ISNUMBER(J7)),J7=0),"",J7/K7),"")</f>
        <v>0.00549033329325759</v>
      </c>
      <c r="M7" s="52" t="n">
        <f aca="false">IFERROR(IF(OR(NOT(ISNUMBER(K7)),NOT(ISNUMBER(G7)),G7&lt;=0),"",K7/G7),"")</f>
        <v>27.9754912931156</v>
      </c>
      <c r="N7" s="51" t="str">
        <f aca="false">IFERROR(IF(OR(NOT(ISNUMBER(M7)),NOT(ISNUMBER(H7))),"",IF(H7&lt;Config!$B$6,"N/M",M7/(H7*100))),"")</f>
        <v>N/M</v>
      </c>
    </row>
    <row r="8" customFormat="false" ht="15" hidden="false" customHeight="false" outlineLevel="0" collapsed="false">
      <c r="A8" s="46" t="n">
        <f aca="false">IF(Stock_Card!$B$2="","",IFERROR($Z$1-2,""))</f>
        <v>2024</v>
      </c>
      <c r="B8" s="47" t="n">
        <f aca="false">IF(Stock_Card!$B$2="","",COUNTIFS(Raw_Q!$A$2:$A$600,Stock_Card!$B$2,Raw_Q!$C$2:$C$600,$A8,Raw_Q!$F$2:$F$600,"N"))</f>
        <v>4</v>
      </c>
      <c r="C8" s="48" t="n">
        <f aca="false">IF($B8&gt;=4,SUMIFS(Raw_Q!$I$2:$I$600,Raw_Q!$A$2:$A$600,Stock_Card!$B$2,Raw_Q!$C$2:$C$600,$A8,Raw_Q!$F$2:$F$600,"N"),"")</f>
        <v>391035</v>
      </c>
      <c r="D8" s="49" t="n">
        <f aca="false">IFERROR(IF(AND(ISNUMBER(C8),ISNUMBER(C7)),C8/C7-1,""),"")</f>
        <v>0.0202199407751411</v>
      </c>
      <c r="E8" s="49" t="n">
        <f aca="false">IF($B8&gt;=4,IFERROR(SUMIFS(Raw_Q!$J$2:$J$600,Raw_Q!$A$2:$A$600,Stock_Card!$B$2,Raw_Q!$C$2:$C$600,$A8,Raw_Q!$F$2:$F$600,"N")/C8,""),"")</f>
        <v>0.462063498152339</v>
      </c>
      <c r="F8" s="50" t="n">
        <f aca="false">IFERROR(IF(AND(ISNUMBER(E8),ISNUMBER(E7)),(E8-E7)*10000,""),"")</f>
        <v>207.522023802637</v>
      </c>
      <c r="G8" s="51" t="n">
        <f aca="false">IF($B8&gt;=4,SUMIFS(Raw_Q!$K$2:$K$600,Raw_Q!$A$2:$A$600,Stock_Card!$B$2,Raw_Q!$C$2:$C$600,$A8,Raw_Q!$F$2:$F$600,"N"),"")</f>
        <v>6.08</v>
      </c>
      <c r="H8" s="49" t="n">
        <f aca="false">IFERROR(IF(AND(ISNUMBER(G8),ISNUMBER(G7)),G8/G7-1,""),"")</f>
        <v>-0.00653594771241828</v>
      </c>
      <c r="I8" s="49" t="n">
        <f aca="false">IF($B8&gt;=4,IFERROR(IF(MIN(SUMIFS(Raw_Q!$M$2:$M$600,Raw_Q!$A$2:$A$600,Stock_Card!$B$2,Raw_Q!$C$2:$C$600,$A8,Raw_Q!$D$2:$D$600,4,Raw_Q!$F$2:$F$600,"N"),SUMIFS(Raw_Q!$M$2:$M$600,Raw_Q!$A$2:$A$600,Stock_Card!$B$2,Raw_Q!$C$2:$C$600,$A8-1,Raw_Q!$D$2:$D$600,4,Raw_Q!$F$2:$F$600,"N"))&lt;=0,"N/M",SUMPRODUCT((Raw_Q!$A$2:$A$600=Stock_Card!$B$2)*(Raw_Q!$C$2:$C$600=$A8)*(Raw_Q!$F$2:$F$600="N")*Raw_Q!$K$2:$K$600*Raw_Q!$L$2:$L$600)/((SUMIFS(Raw_Q!$M$2:$M$600,Raw_Q!$A$2:$A$600,Stock_Card!$B$2,Raw_Q!$C$2:$C$600,$A8,Raw_Q!$D$2:$D$600,4,Raw_Q!$F$2:$F$600,"N")+SUMIFS(Raw_Q!$M$2:$M$600,Raw_Q!$A$2:$A$600,Stock_Card!$B$2,Raw_Q!$C$2:$C$600,$A8-1,Raw_Q!$D$2:$D$600,4,Raw_Q!$F$2:$F$600,"N"))/2)),"N/M"),"")</f>
        <v>1.59256793796601</v>
      </c>
      <c r="J8" s="51" t="n">
        <f aca="false">IF($B8&gt;=4,SUMIFS(Raw_Q!$N$2:$N$600,Raw_Q!$A$2:$A$600,Stock_Card!$B$2,Raw_Q!$C$2:$C$600,$A8,Raw_Q!$F$2:$F$600,"N"),"")</f>
        <v>0.98</v>
      </c>
      <c r="K8" s="51" t="n">
        <f aca="false">IFERROR(IF(SUMIFS(Raw_Q!$O$2:$O$600,Raw_Q!$A$2:$A$600,Stock_Card!$B$2,Raw_Q!$C$2:$C$600,$A8,Raw_Q!$D$2:$D$600,4,Raw_Q!$F$2:$F$600,"N")=0,"",SUMIFS(Raw_Q!$O$2:$O$600,Raw_Q!$A$2:$A$600,Stock_Card!$B$2,Raw_Q!$C$2:$C$600,$A8,Raw_Q!$D$2:$D$600,4,Raw_Q!$F$2:$F$600,"N")),"")</f>
        <v>233</v>
      </c>
      <c r="L8" s="49" t="n">
        <f aca="false">IFERROR(IF(OR(NOT(ISNUMBER(K8)),NOT(ISNUMBER(J8)),J8=0),"",J8/K8),"")</f>
        <v>0.00420600858369099</v>
      </c>
      <c r="M8" s="52" t="n">
        <f aca="false">IFERROR(IF(OR(NOT(ISNUMBER(K8)),NOT(ISNUMBER(G8)),G8&lt;=0),"",K8/G8),"")</f>
        <v>38.3223684210526</v>
      </c>
      <c r="N8" s="51" t="str">
        <f aca="false">IFERROR(IF(OR(NOT(ISNUMBER(M8)),NOT(ISNUMBER(H8))),"",IF(H8&lt;Config!$B$6,"N/M",M8/(H8*100))),"")</f>
        <v>N/M</v>
      </c>
    </row>
    <row r="9" customFormat="false" ht="15" hidden="false" customHeight="false" outlineLevel="0" collapsed="false">
      <c r="A9" s="46" t="n">
        <f aca="false">IF(Stock_Card!$B$2="","",IFERROR($Z$1-1,""))</f>
        <v>2025</v>
      </c>
      <c r="B9" s="47" t="n">
        <f aca="false">IF(Stock_Card!$B$2="","",COUNTIFS(Raw_Q!$A$2:$A$600,Stock_Card!$B$2,Raw_Q!$C$2:$C$600,$A9,Raw_Q!$F$2:$F$600,"N"))</f>
        <v>4</v>
      </c>
      <c r="C9" s="48" t="n">
        <f aca="false">IF($B9&gt;=4,SUMIFS(Raw_Q!$I$2:$I$600,Raw_Q!$A$2:$A$600,Stock_Card!$B$2,Raw_Q!$C$2:$C$600,$A9,Raw_Q!$F$2:$F$600,"N"),"")</f>
        <v>416161</v>
      </c>
      <c r="D9" s="49" t="n">
        <f aca="false">IFERROR(IF(AND(ISNUMBER(C9),ISNUMBER(C8)),C9/C8-1,""),"")</f>
        <v>0.0642551178283275</v>
      </c>
      <c r="E9" s="49" t="n">
        <f aca="false">IF($B9&gt;=4,IFERROR(SUMIFS(Raw_Q!$J$2:$J$600,Raw_Q!$A$2:$A$600,Stock_Card!$B$2,Raw_Q!$C$2:$C$600,$A9,Raw_Q!$F$2:$F$600,"N")/C9,""),"")</f>
        <v>0.469051641071605</v>
      </c>
      <c r="F9" s="50" t="n">
        <f aca="false">IFERROR(IF(AND(ISNUMBER(E9),ISNUMBER(E8)),(E9-E8)*10000,""),"")</f>
        <v>69.881429192652</v>
      </c>
      <c r="G9" s="51" t="n">
        <f aca="false">IF($B9&gt;=4,SUMIFS(Raw_Q!$K$2:$K$600,Raw_Q!$A$2:$A$600,Stock_Card!$B$2,Raw_Q!$C$2:$C$600,$A9,Raw_Q!$F$2:$F$600,"N"),"")</f>
        <v>7.47</v>
      </c>
      <c r="H9" s="49" t="n">
        <f aca="false">IFERROR(IF(AND(ISNUMBER(G9),ISNUMBER(G8)),G9/G8-1,""),"")</f>
        <v>0.228618421052631</v>
      </c>
      <c r="I9" s="49" t="n">
        <f aca="false">IF($B9&gt;=4,IFERROR(IF(MIN(SUMIFS(Raw_Q!$M$2:$M$600,Raw_Q!$A$2:$A$600,Stock_Card!$B$2,Raw_Q!$C$2:$C$600,$A9,Raw_Q!$D$2:$D$600,4,Raw_Q!$F$2:$F$600,"N"),SUMIFS(Raw_Q!$M$2:$M$600,Raw_Q!$A$2:$A$600,Stock_Card!$B$2,Raw_Q!$C$2:$C$600,$A9-1,Raw_Q!$D$2:$D$600,4,Raw_Q!$F$2:$F$600,"N"))&lt;=0,"N/M",SUMPRODUCT((Raw_Q!$A$2:$A$600=Stock_Card!$B$2)*(Raw_Q!$C$2:$C$600=$A9)*(Raw_Q!$F$2:$F$600="N")*Raw_Q!$K$2:$K$600*Raw_Q!$L$2:$L$600)/((SUMIFS(Raw_Q!$M$2:$M$600,Raw_Q!$A$2:$A$600,Stock_Card!$B$2,Raw_Q!$C$2:$C$600,$A9,Raw_Q!$D$2:$D$600,4,Raw_Q!$F$2:$F$600,"N")+SUMIFS(Raw_Q!$M$2:$M$600,Raw_Q!$A$2:$A$600,Stock_Card!$B$2,Raw_Q!$C$2:$C$600,$A9-1,Raw_Q!$D$2:$D$600,4,Raw_Q!$F$2:$F$600,"N"))/2)),"N/M"),"")</f>
        <v>1.72584753380317</v>
      </c>
      <c r="J9" s="51" t="n">
        <f aca="false">IF($B9&gt;=4,SUMIFS(Raw_Q!$N$2:$N$600,Raw_Q!$A$2:$A$600,Stock_Card!$B$2,Raw_Q!$C$2:$C$600,$A9,Raw_Q!$F$2:$F$600,"N"),"")</f>
        <v>1.02</v>
      </c>
      <c r="K9" s="51" t="n">
        <f aca="false">IFERROR(IF(SUMIFS(Raw_Q!$O$2:$O$600,Raw_Q!$A$2:$A$600,Stock_Card!$B$2,Raw_Q!$C$2:$C$600,$A9,Raw_Q!$D$2:$D$600,4,Raw_Q!$F$2:$F$600,"N")=0,"",SUMIFS(Raw_Q!$O$2:$O$600,Raw_Q!$A$2:$A$600,Stock_Card!$B$2,Raw_Q!$C$2:$C$600,$A9,Raw_Q!$D$2:$D$600,4,Raw_Q!$F$2:$F$600,"N")),"")</f>
        <v>254.630004882813</v>
      </c>
      <c r="L9" s="49" t="n">
        <f aca="false">IFERROR(IF(OR(NOT(ISNUMBER(K9)),NOT(ISNUMBER(J9)),J9=0),"",J9/K9),"")</f>
        <v>0.00400581227836614</v>
      </c>
      <c r="M9" s="52" t="n">
        <f aca="false">IFERROR(IF(OR(NOT(ISNUMBER(K9)),NOT(ISNUMBER(G9)),G9&lt;=0),"",K9/G9),"")</f>
        <v>34.0870153792252</v>
      </c>
      <c r="N9" s="51" t="n">
        <f aca="false">IFERROR(IF(OR(NOT(ISNUMBER(M9)),NOT(ISNUMBER(H9))),"",IF(H9&lt;Config!$B$6,"N/M",M9/(H9*100))),"")</f>
        <v>1.49100038493302</v>
      </c>
    </row>
    <row r="10" customFormat="false" ht="15" hidden="false" customHeight="false" outlineLevel="0" collapsed="false">
      <c r="A10" s="46" t="n">
        <f aca="false">IF(Stock_Card!$B$2="","",IFERROR($Z$1-0,""))</f>
        <v>2026</v>
      </c>
      <c r="B10" s="47" t="n">
        <f aca="false">IF(Stock_Card!$B$2="","",COUNTIFS(Raw_Q!$A$2:$A$600,Stock_Card!$B$2,Raw_Q!$C$2:$C$600,$A10,Raw_Q!$F$2:$F$600,"N"))</f>
        <v>3</v>
      </c>
      <c r="C10" s="48" t="str">
        <f aca="false">IF($B10&gt;=4,SUMIFS(Raw_Q!$I$2:$I$600,Raw_Q!$A$2:$A$600,Stock_Card!$B$2,Raw_Q!$C$2:$C$600,$A10,Raw_Q!$F$2:$F$600,"N"),"")</f>
        <v/>
      </c>
      <c r="D10" s="49" t="str">
        <f aca="false">IFERROR(IF(AND(ISNUMBER(C10),ISNUMBER(C9)),C10/C9-1,""),"")</f>
        <v/>
      </c>
      <c r="E10" s="49" t="str">
        <f aca="false">IF($B10&gt;=4,IFERROR(SUMIFS(Raw_Q!$J$2:$J$600,Raw_Q!$A$2:$A$600,Stock_Card!$B$2,Raw_Q!$C$2:$C$600,$A10,Raw_Q!$F$2:$F$600,"N")/C10,""),"")</f>
        <v/>
      </c>
      <c r="F10" s="50" t="str">
        <f aca="false">IFERROR(IF(AND(ISNUMBER(E10),ISNUMBER(E9)),(E10-E9)*10000,""),"")</f>
        <v/>
      </c>
      <c r="G10" s="51" t="str">
        <f aca="false">IF($B10&gt;=4,SUMIFS(Raw_Q!$K$2:$K$600,Raw_Q!$A$2:$A$600,Stock_Card!$B$2,Raw_Q!$C$2:$C$600,$A10,Raw_Q!$F$2:$F$600,"N"),"")</f>
        <v/>
      </c>
      <c r="H10" s="49" t="str">
        <f aca="false">IFERROR(IF(AND(ISNUMBER(G10),ISNUMBER(G9)),G10/G9-1,""),"")</f>
        <v/>
      </c>
      <c r="I10" s="49" t="str">
        <f aca="false">IF($B10&gt;=4,IFERROR(IF(MIN(SUMIFS(Raw_Q!$M$2:$M$600,Raw_Q!$A$2:$A$600,Stock_Card!$B$2,Raw_Q!$C$2:$C$600,$A10,Raw_Q!$D$2:$D$600,4,Raw_Q!$F$2:$F$600,"N"),SUMIFS(Raw_Q!$M$2:$M$600,Raw_Q!$A$2:$A$600,Stock_Card!$B$2,Raw_Q!$C$2:$C$600,$A10-1,Raw_Q!$D$2:$D$600,4,Raw_Q!$F$2:$F$600,"N"))&lt;=0,"N/M",SUMPRODUCT((Raw_Q!$A$2:$A$600=Stock_Card!$B$2)*(Raw_Q!$C$2:$C$600=$A10)*(Raw_Q!$F$2:$F$600="N")*Raw_Q!$K$2:$K$600*Raw_Q!$L$2:$L$600)/((SUMIFS(Raw_Q!$M$2:$M$600,Raw_Q!$A$2:$A$600,Stock_Card!$B$2,Raw_Q!$C$2:$C$600,$A10,Raw_Q!$D$2:$D$600,4,Raw_Q!$F$2:$F$600,"N")+SUMIFS(Raw_Q!$M$2:$M$600,Raw_Q!$A$2:$A$600,Stock_Card!$B$2,Raw_Q!$C$2:$C$600,$A10-1,Raw_Q!$D$2:$D$600,4,Raw_Q!$F$2:$F$600,"N"))/2)),"N/M"),"")</f>
        <v/>
      </c>
      <c r="J10" s="51" t="str">
        <f aca="false">IF($B10&gt;=4,SUMIFS(Raw_Q!$N$2:$N$600,Raw_Q!$A$2:$A$600,Stock_Card!$B$2,Raw_Q!$C$2:$C$600,$A10,Raw_Q!$F$2:$F$600,"N"),"")</f>
        <v/>
      </c>
      <c r="K10" s="51" t="str">
        <f aca="false">IFERROR(IF(SUMIFS(Raw_Q!$O$2:$O$600,Raw_Q!$A$2:$A$600,Stock_Card!$B$2,Raw_Q!$C$2:$C$600,$A10,Raw_Q!$D$2:$D$600,4,Raw_Q!$F$2:$F$600,"N")=0,"",SUMIFS(Raw_Q!$O$2:$O$600,Raw_Q!$A$2:$A$600,Stock_Card!$B$2,Raw_Q!$C$2:$C$600,$A10,Raw_Q!$D$2:$D$600,4,Raw_Q!$F$2:$F$600,"N")),"")</f>
        <v/>
      </c>
      <c r="L10" s="49" t="str">
        <f aca="false">IFERROR(IF(OR(NOT(ISNUMBER(K10)),NOT(ISNUMBER(J10)),J10=0),"",J10/K10),"")</f>
        <v/>
      </c>
      <c r="M10" s="52" t="str">
        <f aca="false">IFERROR(IF(OR(NOT(ISNUMBER(K10)),NOT(ISNUMBER(G10)),G10&lt;=0),"",K10/G10),"")</f>
        <v/>
      </c>
      <c r="N10" s="51" t="str">
        <f aca="false">IFERROR(IF(OR(NOT(ISNUMBER(M10)),NOT(ISNUMBER(H10))),"",IF(H10&lt;Config!$B$6,"N/M",M10/(H10*100))),"")</f>
        <v/>
      </c>
    </row>
    <row r="11" customFormat="false" ht="15" hidden="false" customHeight="false" outlineLevel="0" collapsed="false">
      <c r="A11" s="24" t="s">
        <v>121</v>
      </c>
    </row>
    <row r="12" customFormat="false" ht="15" hidden="false" customHeight="false" outlineLevel="0" collapsed="false">
      <c r="A12" s="53" t="s">
        <v>122</v>
      </c>
      <c r="B12" s="53"/>
      <c r="C12" s="54" t="n">
        <f aca="false">IF(Stock_Card!$B$2="","",IFERROR(INDEX(Calc!$E$2:$E$100,MATCH(Stock_Card!$B$2,Calc!$A$2:$A$100,0)),""))</f>
        <v>466823</v>
      </c>
      <c r="D12" s="55" t="n">
        <f aca="false">IF(Stock_Card!$B$2="","",IFERROR(INDEX(Calc!$S$2:$S$100,MATCH(Stock_Card!$B$2,Calc!$A$2:$A$100,0)),""))</f>
        <v>0.163565017652814</v>
      </c>
      <c r="E12" s="55" t="n">
        <f aca="false">IF(Stock_Card!$B$2="","",IFERROR(INDEX(Calc!$Z$2:$Z$100,MATCH(Stock_Card!$B$2,Calc!$A$2:$A$100,0)),""))</f>
        <v>0.48652915559002</v>
      </c>
      <c r="F12" s="56" t="n">
        <f aca="false">IF(Stock_Card!$B$2="","",IFERROR(INDEX(Calc!$AB$2:$AB$100,MATCH(Stock_Card!$B$2,Calc!$A$2:$A$100,0)),""))</f>
        <v>290.835927780316</v>
      </c>
      <c r="G12" s="57" t="n">
        <f aca="false">IF(Stock_Card!$B$2="","",IFERROR(INDEX(Calc!$F$2:$F$100,MATCH(Stock_Card!$B$2,Calc!$A$2:$A$100,0)),""))</f>
        <v>8.72</v>
      </c>
      <c r="H12" s="55" t="n">
        <f aca="false">IF(Stock_Card!$B$2="","",IFERROR(INDEX(Calc!$I$2:$I$100,MATCH(Stock_Card!$B$2,Calc!$A$2:$A$100,0)),""))</f>
        <v>0.323216995447648</v>
      </c>
      <c r="I12" s="55" t="n">
        <f aca="false">IF(Stock_Card!$B$2="","",IFERROR(INDEX(Calc!$AF$2:$AF$100,MATCH(Stock_Card!$B$2,Calc!$A$2:$A$100,0)),""))</f>
        <v>1.48695399988463</v>
      </c>
      <c r="J12" s="57" t="n">
        <f aca="false">IF(Stock_Card!$B$2="","",IFERROR(INDEX(Calc!$P$2:$P$100,MATCH(Stock_Card!$B$2,Calc!$A$2:$A$100,0)),""))</f>
        <v>1.05</v>
      </c>
      <c r="K12" s="57" t="n">
        <f aca="false">IF(Stock_Card!$B$2="","",IFERROR(INDEX(Calc!$D$2:$D$100,MATCH(Stock_Card!$B$2,Calc!$A$2:$A$100,0)),""))</f>
        <v>329.359985351563</v>
      </c>
      <c r="L12" s="55" t="n">
        <f aca="false">IF(Stock_Card!$B$2="","",IFERROR(INDEX(Calc!$Q$2:$Q$100,MATCH(Stock_Card!$B$2,Calc!$A$2:$A$100,0)),""))</f>
        <v>0.00318800111336906</v>
      </c>
      <c r="M12" s="58" t="n">
        <f aca="false">IF(Stock_Card!$B$2="","",IFERROR(INDEX(Calc!$J$2:$J$100,MATCH(Stock_Card!$B$2,Calc!$A$2:$A$100,0)),""))</f>
        <v>37.7706405219682</v>
      </c>
      <c r="N12" s="57" t="n">
        <f aca="false">IF(Stock_Card!$B$2="","",IFERROR(INDEX(Calc!$N$2:$N$100,MATCH(Stock_Card!$B$2,Calc!$A$2:$A$100,0)),""))</f>
        <v>1.16858460582052</v>
      </c>
    </row>
    <row r="13" customFormat="false" ht="15" hidden="false" customHeight="false" outlineLevel="0" collapsed="false">
      <c r="A13" s="53" t="s">
        <v>123</v>
      </c>
      <c r="B13" s="53"/>
      <c r="C13" s="59"/>
      <c r="D13" s="59"/>
      <c r="E13" s="59"/>
      <c r="F13" s="59"/>
      <c r="G13" s="57" t="n">
        <f aca="false">IF(Stock_Card!$B$2="","",IFERROR(INDEX(Calc!$H$2:$H$100,MATCH(Stock_Card!$B$2,Calc!$A$2:$A$100,0)),""))</f>
        <v>9.54451767123288</v>
      </c>
      <c r="H13" s="55" t="n">
        <f aca="false">IF(Stock_Card!$B$2="","",IFERROR(INDEX(Calc!$M$2:$M$100,MATCH(Stock_Card!$B$2,Calc!$A$2:$A$100,0)),""))</f>
        <v>0.0863272462429789</v>
      </c>
      <c r="I13" s="55" t="n">
        <f aca="false">IF(Stock_Card!$B$2="","",IFERROR(INDEX(Calc!$AH$2:$AH$100,MATCH(Stock_Card!$B$2,Calc!$A$2:$A$100,0)),""))</f>
        <v>1.20635572400558</v>
      </c>
      <c r="J13" s="59"/>
      <c r="K13" s="59"/>
      <c r="L13" s="59"/>
      <c r="M13" s="58" t="n">
        <f aca="false">IF(Stock_Card!$B$2="","",IFERROR(INDEX(Calc!$L$2:$L$100,MATCH(Stock_Card!$B$2,Calc!$A$2:$A$100,0)),""))</f>
        <v>34.5077663111518</v>
      </c>
      <c r="N13" s="57" t="n">
        <f aca="false">IF(Stock_Card!$B$2="","",IFERROR(INDEX(Calc!$O$2:$O$100,MATCH(Stock_Card!$B$2,Calc!$A$2:$A$100,0)),""))</f>
        <v>3.99732040728199</v>
      </c>
    </row>
    <row r="15" customFormat="false" ht="15" hidden="false" customHeight="false" outlineLevel="0" collapsed="false">
      <c r="A15" s="41" t="s">
        <v>124</v>
      </c>
    </row>
    <row r="16" customFormat="false" ht="15" hidden="false" customHeight="false" outlineLevel="0" collapsed="false">
      <c r="A16" s="60" t="s">
        <v>125</v>
      </c>
      <c r="B16" s="60"/>
      <c r="C16" s="61" t="n">
        <f aca="false">IF(Stock_Card!$B$2="","",IFERROR(AVERAGE(E5:E9),""))</f>
        <v>0.44466326737226</v>
      </c>
      <c r="D16" s="62" t="s">
        <v>126</v>
      </c>
      <c r="E16" s="62"/>
      <c r="F16" s="62"/>
      <c r="G16" s="62"/>
      <c r="H16" s="62"/>
      <c r="I16" s="62"/>
    </row>
    <row r="17" customFormat="false" ht="15" hidden="false" customHeight="false" outlineLevel="0" collapsed="false">
      <c r="A17" s="63" t="s">
        <v>127</v>
      </c>
      <c r="B17" s="63"/>
      <c r="C17" s="64" t="n">
        <f aca="false">IF(Stock_Card!$B$2="","",IFERROR((E12-AVERAGE(E5:E9))*10000,""))</f>
        <v>418.658882177606</v>
      </c>
      <c r="D17" s="62" t="s">
        <v>128</v>
      </c>
      <c r="E17" s="62"/>
      <c r="F17" s="62"/>
      <c r="G17" s="62"/>
      <c r="H17" s="62"/>
      <c r="I17" s="62"/>
    </row>
    <row r="18" customFormat="false" ht="15" hidden="false" customHeight="false" outlineLevel="0" collapsed="false">
      <c r="A18" s="60" t="s">
        <v>129</v>
      </c>
      <c r="B18" s="60"/>
      <c r="C18" s="61" t="n">
        <f aca="false">IF(Stock_Card!$B$2="","",IFERROR(AVERAGE(I5:I9),""))</f>
        <v>1.51733814624181</v>
      </c>
      <c r="D18" s="65" t="s">
        <v>130</v>
      </c>
      <c r="E18" s="65"/>
      <c r="F18" s="65"/>
      <c r="G18" s="65"/>
      <c r="H18" s="65"/>
      <c r="I18" s="65"/>
    </row>
    <row r="19" customFormat="false" ht="15" hidden="false" customHeight="false" outlineLevel="0" collapsed="false">
      <c r="A19" s="60" t="s">
        <v>131</v>
      </c>
      <c r="B19" s="60"/>
      <c r="C19" s="61" t="n">
        <f aca="false">IF(Stock_Card!$B$2="","",IFERROR(AVERAGE(L5:L9),""))</f>
        <v>0.00524430448999087</v>
      </c>
      <c r="D19" s="62" t="s">
        <v>132</v>
      </c>
      <c r="E19" s="62"/>
      <c r="F19" s="62"/>
      <c r="G19" s="62"/>
      <c r="H19" s="62"/>
      <c r="I19" s="62"/>
    </row>
    <row r="22" customFormat="false" ht="15" hidden="false" customHeight="false" outlineLevel="0" collapsed="false">
      <c r="A22" s="25" t="s">
        <v>133</v>
      </c>
    </row>
    <row r="23" customFormat="false" ht="15" hidden="false" customHeight="false" outlineLevel="0" collapsed="false">
      <c r="A23" s="25" t="s">
        <v>134</v>
      </c>
    </row>
    <row r="24" customFormat="false" ht="15" hidden="false" customHeight="false" outlineLevel="0" collapsed="false">
      <c r="A24" s="24" t="s">
        <v>135</v>
      </c>
    </row>
  </sheetData>
  <mergeCells count="10">
    <mergeCell ref="A12:B12"/>
    <mergeCell ref="A13:B13"/>
    <mergeCell ref="A16:B16"/>
    <mergeCell ref="D16:I16"/>
    <mergeCell ref="A17:B17"/>
    <mergeCell ref="D17:I17"/>
    <mergeCell ref="A18:B18"/>
    <mergeCell ref="D18:I18"/>
    <mergeCell ref="A19:B19"/>
    <mergeCell ref="D19:I19"/>
  </mergeCells>
  <conditionalFormatting sqref="F5:F10">
    <cfRule type="colorScale" priority="2">
      <colorScale>
        <cfvo type="num" val="-200"/>
        <cfvo type="num" val="0"/>
        <cfvo type="num" val="200"/>
        <color rgb="FFF8696B"/>
        <color rgb="FFFFFFFF"/>
        <color rgb="FF63BE7B"/>
      </colorScale>
    </cfRule>
  </conditionalFormatting>
  <conditionalFormatting sqref="D5:D10">
    <cfRule type="colorScale" priority="3">
      <colorScale>
        <cfvo type="min" val="0"/>
        <cfvo type="max" val="0"/>
        <color rgb="FFFFFFFF"/>
        <color rgb="FF63BE7B"/>
      </colorScale>
    </cfRule>
  </conditionalFormatting>
  <conditionalFormatting sqref="L5:L10">
    <cfRule type="colorScale" priority="4">
      <colorScale>
        <cfvo type="min" val="0"/>
        <cfvo type="max" val="0"/>
        <color rgb="FFFFFFFF"/>
        <color rgb="FF63BE7B"/>
      </colorScale>
    </cfRule>
  </conditionalFormatting>
  <conditionalFormatting sqref="M5:M10">
    <cfRule type="colorScale" priority="5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8" min="7" style="0" width="13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9"/>
    <col collapsed="false" customWidth="true" hidden="true" outlineLevel="0" max="26" min="26" style="0" width="13"/>
  </cols>
  <sheetData>
    <row r="1" customFormat="false" ht="17.9" hidden="false" customHeight="false" outlineLevel="0" collapsed="false">
      <c r="A1" s="1" t="s">
        <v>136</v>
      </c>
      <c r="Z1" s="43" t="n">
        <f aca="false">IF(Stock_Card!$B$2="","",IFERROR(SUMIFS(Raw_Q!$C$2:$C$600,Raw_Q!$A$2:$A$600,Stock_Card!$B$2,Raw_Q!$P$2:$P$600,0),""))</f>
        <v>2026</v>
      </c>
    </row>
    <row r="2" customFormat="false" ht="15" hidden="false" customHeight="false" outlineLevel="0" collapsed="false">
      <c r="A2" s="44" t="s">
        <v>110</v>
      </c>
      <c r="B2" s="45" t="str">
        <f aca="false">Stock_Card!$B$2</f>
        <v>AAPL</v>
      </c>
      <c r="C2" s="24" t="s">
        <v>137</v>
      </c>
    </row>
    <row r="4" customFormat="false" ht="31.5" hidden="false" customHeight="true" outlineLevel="0" collapsed="false">
      <c r="A4" s="15" t="s">
        <v>138</v>
      </c>
      <c r="B4" s="15" t="s">
        <v>139</v>
      </c>
      <c r="C4" s="15" t="s">
        <v>114</v>
      </c>
      <c r="D4" s="15" t="s">
        <v>61</v>
      </c>
      <c r="E4" s="15" t="s">
        <v>140</v>
      </c>
      <c r="F4" s="15" t="s">
        <v>63</v>
      </c>
      <c r="G4" s="15" t="s">
        <v>64</v>
      </c>
      <c r="H4" s="15" t="s">
        <v>65</v>
      </c>
      <c r="I4" s="15" t="s">
        <v>66</v>
      </c>
      <c r="J4" s="15" t="s">
        <v>49</v>
      </c>
      <c r="K4" s="14" t="s">
        <v>71</v>
      </c>
      <c r="L4" s="14" t="s">
        <v>116</v>
      </c>
      <c r="M4" s="14" t="s">
        <v>117</v>
      </c>
      <c r="N4" s="15" t="s">
        <v>118</v>
      </c>
      <c r="O4" s="15" t="s">
        <v>141</v>
      </c>
    </row>
    <row r="5" customFormat="false" ht="15" hidden="false" customHeight="false" outlineLevel="0" collapsed="false">
      <c r="A5" s="66" t="str">
        <f aca="false">IF(Stock_Card!$B$2="","",IFERROR(INDEX(Raw_Q!$B$2:$B$600,MATCH(Stock_Card!$B$2&amp;"|"&amp;12,Raw_Q!$Q$2:$Q$600,0)),""))</f>
        <v>FY2023Q4</v>
      </c>
      <c r="B5" s="67" t="n">
        <f aca="false">IF(Stock_Card!$B$2="","",IFERROR(IF(SUMIFS(Raw_Q!$E$2:$E$600,Raw_Q!$A$2:$A$600,Stock_Card!$B$2,Raw_Q!$P$2:$P$600,12)=0,"",SUMIFS(Raw_Q!$E$2:$E$600,Raw_Q!$A$2:$A$600,Stock_Card!$B$2,Raw_Q!$P$2:$P$600,12)),""))</f>
        <v>45199</v>
      </c>
      <c r="C5" s="48" t="n">
        <f aca="false">IF(Stock_Card!$B$2="","",IFERROR(SUMIFS(Raw_Q!$I$2:$I$600,Raw_Q!$A$2:$A$600,Stock_Card!$B$2,Raw_Q!$P$2:$P$600,12),""))</f>
        <v>89498</v>
      </c>
      <c r="D5" s="49" t="n">
        <f aca="false">IF(Stock_Card!$B$2="","",IFERROR((SUMIFS(Raw_Q!$I$2:$I$600,Raw_Q!$A$2:$A$600,Stock_Card!$B$2,Raw_Q!$P$2:$P$600,12)/SUMIFS(Raw_Q!$I$2:$I$600,Raw_Q!$A$2:$A$600,Stock_Card!$B$2,Raw_Q!$P$2:$P$600,13)-1),""))</f>
        <v>0.0941477071286232</v>
      </c>
      <c r="E5" s="49" t="n">
        <f aca="false">IF(Stock_Card!$B$2="","",IFERROR((SUMIFS(Raw_Q!$I$2:$I$600,Raw_Q!$A$2:$A$600,Stock_Card!$B$2,Raw_Q!$P$2:$P$600,13)/SUMIFS(Raw_Q!$I$2:$I$600,Raw_Q!$A$2:$A$600,Stock_Card!$B$2,Raw_Q!$P$2:$P$600,14)-1),""))</f>
        <v>-0.137489982706989</v>
      </c>
      <c r="F5" s="68" t="n">
        <f aca="false">IF(Stock_Card!$B$2="","",IFERROR(((SUMIFS(Raw_Q!$I$2:$I$600,Raw_Q!$A$2:$A$600,Stock_Card!$B$2,Raw_Q!$P$2:$P$600,12)/SUMIFS(Raw_Q!$I$2:$I$600,Raw_Q!$A$2:$A$600,Stock_Card!$B$2,Raw_Q!$P$2:$P$600,13)-1)-(SUMIFS(Raw_Q!$I$2:$I$600,Raw_Q!$A$2:$A$600,Stock_Card!$B$2,Raw_Q!$P$2:$P$600,13)/SUMIFS(Raw_Q!$I$2:$I$600,Raw_Q!$A$2:$A$600,Stock_Card!$B$2,Raw_Q!$P$2:$P$600,14)-1))*100,""))</f>
        <v>23.1637689835612</v>
      </c>
      <c r="G5" s="69" t="str">
        <f aca="false">IF(Stock_Card!$B$2="","",IFERROR(IF(NOT(ISNUMBER(D5)),"",IF(D5&gt;0,IF(F5&gt;0,"成長且加速","成長但減速"),IF(F5&gt;0,"衰退但收斂","衰退且惡化"))),""))</f>
        <v>成長且加速</v>
      </c>
      <c r="H5" s="68" t="n">
        <f aca="false">IF(Stock_Card!$B$2="","",IFERROR(((SUMIFS(Raw_Q!$I$2:$I$600,Raw_Q!$A$2:$A$600,Stock_Card!$B$2,Raw_Q!$P$2:$P$600,12)/SUMIFS(Raw_Q!$I$2:$I$600,Raw_Q!$A$2:$A$600,Stock_Card!$B$2,Raw_Q!$P$2:$P$600,13)-1)-(SUMIFS(Raw_Q!$I$2:$I$600,Raw_Q!$A$2:$A$600,Stock_Card!$B$2,Raw_Q!$P$2:$P$600,16)/SUMIFS(Raw_Q!$I$2:$I$600,Raw_Q!$A$2:$A$600,Stock_Card!$B$2,Raw_Q!$P$2:$P$600,17)-1))*100,""))</f>
        <v>0.75145509912542</v>
      </c>
      <c r="I5" s="49" t="n">
        <f aca="false">IF(Stock_Card!$B$2="","",IFERROR((SUMIFS(Raw_Q!$I$2:$I$600,Raw_Q!$A$2:$A$600,Stock_Card!$B$2,Raw_Q!$P$2:$P$600,12)/SUMIFS(Raw_Q!$I$2:$I$600,Raw_Q!$A$2:$A$600,Stock_Card!$B$2,Raw_Q!$P$2:$P$600,16)-1),""))</f>
        <v>-0.00718833891686821</v>
      </c>
      <c r="J5" s="49" t="n">
        <f aca="false">IF(Stock_Card!$B$2="","",IFERROR(SUMIFS(Raw_Q!$J$2:$J$600,Raw_Q!$A$2:$A$600,Stock_Card!$B$2,Raw_Q!$P$2:$P$600,12)/SUMIFS(Raw_Q!$I$2:$I$600,Raw_Q!$A$2:$A$600,Stock_Card!$B$2,Raw_Q!$P$2:$P$600,12),""))</f>
        <v>0.451708418065208</v>
      </c>
      <c r="K5" s="50" t="n">
        <f aca="false">IF(Stock_Card!$B$2="","",IFERROR((SUMIFS(Raw_Q!$J$2:$J$600,Raw_Q!$A$2:$A$600,Stock_Card!$B$2,Raw_Q!$P$2:$P$600,12)/SUMIFS(Raw_Q!$I$2:$I$600,Raw_Q!$A$2:$A$600,Stock_Card!$B$2,Raw_Q!$P$2:$P$600,12)-SUMIFS(Raw_Q!$J$2:$J$600,Raw_Q!$A$2:$A$600,Stock_Card!$B$2,Raw_Q!$P$2:$P$600,16)/SUMIFS(Raw_Q!$I$2:$I$600,Raw_Q!$A$2:$A$600,Stock_Card!$B$2,Raw_Q!$P$2:$P$600,16))*10000,""))</f>
        <v>291.161788088907</v>
      </c>
      <c r="L5" s="51" t="n">
        <f aca="false">IF(Stock_Card!$B$2="","",IFERROR(SUMIFS(Raw_Q!$K$2:$K$600,Raw_Q!$A$2:$A$600,Stock_Card!$B$2,Raw_Q!$P$2:$P$600,12),""))</f>
        <v>1.46</v>
      </c>
      <c r="M5" s="49" t="n">
        <f aca="false">IF(Stock_Card!$B$2="","",IFERROR((SUMIFS(Raw_Q!$K$2:$K$600,Raw_Q!$A$2:$A$600,Stock_Card!$B$2,Raw_Q!$P$2:$P$600,12)/SUMIFS(Raw_Q!$K$2:$K$600,Raw_Q!$A$2:$A$600,Stock_Card!$B$2,Raw_Q!$P$2:$P$600,16)-1),""))</f>
        <v>0.131782945736434</v>
      </c>
      <c r="N5" s="51" t="n">
        <f aca="false">IF(Stock_Card!$B$2="","",IFERROR(SUMIFS(Raw_Q!$N$2:$N$600,Raw_Q!$A$2:$A$600,Stock_Card!$B$2,Raw_Q!$P$2:$P$600,12),""))</f>
        <v>0.24</v>
      </c>
      <c r="O5" s="66" t="str">
        <f aca="false">IF(Stock_Card!$B$2="","",IF(12=0,"預估","實際"))</f>
        <v>實際</v>
      </c>
    </row>
    <row r="6" customFormat="false" ht="15" hidden="false" customHeight="false" outlineLevel="0" collapsed="false">
      <c r="A6" s="66" t="str">
        <f aca="false">IF(Stock_Card!$B$2="","",IFERROR(INDEX(Raw_Q!$B$2:$B$600,MATCH(Stock_Card!$B$2&amp;"|"&amp;11,Raw_Q!$Q$2:$Q$600,0)),""))</f>
        <v>FY2024Q1</v>
      </c>
      <c r="B6" s="67" t="n">
        <f aca="false">IF(Stock_Card!$B$2="","",IFERROR(IF(SUMIFS(Raw_Q!$E$2:$E$600,Raw_Q!$A$2:$A$600,Stock_Card!$B$2,Raw_Q!$P$2:$P$600,11)=0,"",SUMIFS(Raw_Q!$E$2:$E$600,Raw_Q!$A$2:$A$600,Stock_Card!$B$2,Raw_Q!$P$2:$P$600,11)),""))</f>
        <v>45291</v>
      </c>
      <c r="C6" s="48" t="n">
        <f aca="false">IF(Stock_Card!$B$2="","",IFERROR(SUMIFS(Raw_Q!$I$2:$I$600,Raw_Q!$A$2:$A$600,Stock_Card!$B$2,Raw_Q!$P$2:$P$600,11),""))</f>
        <v>119575</v>
      </c>
      <c r="D6" s="49" t="n">
        <f aca="false">IF(Stock_Card!$B$2="","",IFERROR((SUMIFS(Raw_Q!$I$2:$I$600,Raw_Q!$A$2:$A$600,Stock_Card!$B$2,Raw_Q!$P$2:$P$600,11)/SUMIFS(Raw_Q!$I$2:$I$600,Raw_Q!$A$2:$A$600,Stock_Card!$B$2,Raw_Q!$P$2:$P$600,12)-1),""))</f>
        <v>0.336063375717893</v>
      </c>
      <c r="E6" s="49" t="n">
        <f aca="false">IF(Stock_Card!$B$2="","",IFERROR((SUMIFS(Raw_Q!$I$2:$I$600,Raw_Q!$A$2:$A$600,Stock_Card!$B$2,Raw_Q!$P$2:$P$600,12)/SUMIFS(Raw_Q!$I$2:$I$600,Raw_Q!$A$2:$A$600,Stock_Card!$B$2,Raw_Q!$P$2:$P$600,13)-1),""))</f>
        <v>0.0941477071286232</v>
      </c>
      <c r="F6" s="68" t="n">
        <f aca="false">IF(Stock_Card!$B$2="","",IFERROR(((SUMIFS(Raw_Q!$I$2:$I$600,Raw_Q!$A$2:$A$600,Stock_Card!$B$2,Raw_Q!$P$2:$P$600,11)/SUMIFS(Raw_Q!$I$2:$I$600,Raw_Q!$A$2:$A$600,Stock_Card!$B$2,Raw_Q!$P$2:$P$600,12)-1)-(SUMIFS(Raw_Q!$I$2:$I$600,Raw_Q!$A$2:$A$600,Stock_Card!$B$2,Raw_Q!$P$2:$P$600,12)/SUMIFS(Raw_Q!$I$2:$I$600,Raw_Q!$A$2:$A$600,Stock_Card!$B$2,Raw_Q!$P$2:$P$600,13)-1))*100,""))</f>
        <v>24.191566858927</v>
      </c>
      <c r="G6" s="69" t="str">
        <f aca="false">IF(Stock_Card!$B$2="","",IFERROR(IF(NOT(ISNUMBER(D6)),"",IF(D6&gt;0,IF(F6&gt;0,"成長且加速","成長但減速"),IF(F6&gt;0,"衰退但收斂","衰退且惡化"))),""))</f>
        <v>成長且加速</v>
      </c>
      <c r="H6" s="68" t="n">
        <f aca="false">IF(Stock_Card!$B$2="","",IFERROR(((SUMIFS(Raw_Q!$I$2:$I$600,Raw_Q!$A$2:$A$600,Stock_Card!$B$2,Raw_Q!$P$2:$P$600,11)/SUMIFS(Raw_Q!$I$2:$I$600,Raw_Q!$A$2:$A$600,Stock_Card!$B$2,Raw_Q!$P$2:$P$600,12)-1)-(SUMIFS(Raw_Q!$I$2:$I$600,Raw_Q!$A$2:$A$600,Stock_Card!$B$2,Raw_Q!$P$2:$P$600,15)/SUMIFS(Raw_Q!$I$2:$I$600,Raw_Q!$A$2:$A$600,Stock_Card!$B$2,Raw_Q!$P$2:$P$600,16)-1))*100,""))</f>
        <v>3.64605092568191</v>
      </c>
      <c r="I6" s="49" t="n">
        <f aca="false">IF(Stock_Card!$B$2="","",IFERROR((SUMIFS(Raw_Q!$I$2:$I$600,Raw_Q!$A$2:$A$600,Stock_Card!$B$2,Raw_Q!$P$2:$P$600,11)/SUMIFS(Raw_Q!$I$2:$I$600,Raw_Q!$A$2:$A$600,Stock_Card!$B$2,Raw_Q!$P$2:$P$600,15)-1),""))</f>
        <v>0.0206651074653874</v>
      </c>
      <c r="J6" s="49" t="n">
        <f aca="false">IF(Stock_Card!$B$2="","",IFERROR(SUMIFS(Raw_Q!$J$2:$J$600,Raw_Q!$A$2:$A$600,Stock_Card!$B$2,Raw_Q!$P$2:$P$600,11)/SUMIFS(Raw_Q!$I$2:$I$600,Raw_Q!$A$2:$A$600,Stock_Card!$B$2,Raw_Q!$P$2:$P$600,11),""))</f>
        <v>0.458749738657746</v>
      </c>
      <c r="K6" s="50" t="n">
        <f aca="false">IF(Stock_Card!$B$2="","",IFERROR((SUMIFS(Raw_Q!$J$2:$J$600,Raw_Q!$A$2:$A$600,Stock_Card!$B$2,Raw_Q!$P$2:$P$600,11)/SUMIFS(Raw_Q!$I$2:$I$600,Raw_Q!$A$2:$A$600,Stock_Card!$B$2,Raw_Q!$P$2:$P$600,11)-SUMIFS(Raw_Q!$J$2:$J$600,Raw_Q!$A$2:$A$600,Stock_Card!$B$2,Raw_Q!$P$2:$P$600,15)/SUMIFS(Raw_Q!$I$2:$I$600,Raw_Q!$A$2:$A$600,Stock_Card!$B$2,Raw_Q!$P$2:$P$600,15))*10000,""))</f>
        <v>291.27190558663</v>
      </c>
      <c r="L6" s="51" t="n">
        <f aca="false">IF(Stock_Card!$B$2="","",IFERROR(SUMIFS(Raw_Q!$K$2:$K$600,Raw_Q!$A$2:$A$600,Stock_Card!$B$2,Raw_Q!$P$2:$P$600,11),""))</f>
        <v>2.18</v>
      </c>
      <c r="M6" s="49" t="n">
        <f aca="false">IF(Stock_Card!$B$2="","",IFERROR((SUMIFS(Raw_Q!$K$2:$K$600,Raw_Q!$A$2:$A$600,Stock_Card!$B$2,Raw_Q!$P$2:$P$600,11)/SUMIFS(Raw_Q!$K$2:$K$600,Raw_Q!$A$2:$A$600,Stock_Card!$B$2,Raw_Q!$P$2:$P$600,15)-1),""))</f>
        <v>0.159574468085107</v>
      </c>
      <c r="N6" s="51" t="n">
        <f aca="false">IF(Stock_Card!$B$2="","",IFERROR(SUMIFS(Raw_Q!$N$2:$N$600,Raw_Q!$A$2:$A$600,Stock_Card!$B$2,Raw_Q!$P$2:$P$600,11),""))</f>
        <v>0.24</v>
      </c>
      <c r="O6" s="66" t="str">
        <f aca="false">IF(Stock_Card!$B$2="","",IF(11=0,"預估","實際"))</f>
        <v>實際</v>
      </c>
    </row>
    <row r="7" customFormat="false" ht="15" hidden="false" customHeight="false" outlineLevel="0" collapsed="false">
      <c r="A7" s="66" t="str">
        <f aca="false">IF(Stock_Card!$B$2="","",IFERROR(INDEX(Raw_Q!$B$2:$B$600,MATCH(Stock_Card!$B$2&amp;"|"&amp;10,Raw_Q!$Q$2:$Q$600,0)),""))</f>
        <v>FY2024Q2</v>
      </c>
      <c r="B7" s="67" t="n">
        <f aca="false">IF(Stock_Card!$B$2="","",IFERROR(IF(SUMIFS(Raw_Q!$E$2:$E$600,Raw_Q!$A$2:$A$600,Stock_Card!$B$2,Raw_Q!$P$2:$P$600,10)=0,"",SUMIFS(Raw_Q!$E$2:$E$600,Raw_Q!$A$2:$A$600,Stock_Card!$B$2,Raw_Q!$P$2:$P$600,10)),""))</f>
        <v>45382</v>
      </c>
      <c r="C7" s="48" t="n">
        <f aca="false">IF(Stock_Card!$B$2="","",IFERROR(SUMIFS(Raw_Q!$I$2:$I$600,Raw_Q!$A$2:$A$600,Stock_Card!$B$2,Raw_Q!$P$2:$P$600,10),""))</f>
        <v>90753</v>
      </c>
      <c r="D7" s="49" t="n">
        <f aca="false">IF(Stock_Card!$B$2="","",IFERROR((SUMIFS(Raw_Q!$I$2:$I$600,Raw_Q!$A$2:$A$600,Stock_Card!$B$2,Raw_Q!$P$2:$P$600,10)/SUMIFS(Raw_Q!$I$2:$I$600,Raw_Q!$A$2:$A$600,Stock_Card!$B$2,Raw_Q!$P$2:$P$600,11)-1),""))</f>
        <v>-0.24103700606314</v>
      </c>
      <c r="E7" s="49" t="n">
        <f aca="false">IF(Stock_Card!$B$2="","",IFERROR((SUMIFS(Raw_Q!$I$2:$I$600,Raw_Q!$A$2:$A$600,Stock_Card!$B$2,Raw_Q!$P$2:$P$600,11)/SUMIFS(Raw_Q!$I$2:$I$600,Raw_Q!$A$2:$A$600,Stock_Card!$B$2,Raw_Q!$P$2:$P$600,12)-1),""))</f>
        <v>0.336063375717893</v>
      </c>
      <c r="F7" s="68" t="n">
        <f aca="false">IF(Stock_Card!$B$2="","",IFERROR(((SUMIFS(Raw_Q!$I$2:$I$600,Raw_Q!$A$2:$A$600,Stock_Card!$B$2,Raw_Q!$P$2:$P$600,10)/SUMIFS(Raw_Q!$I$2:$I$600,Raw_Q!$A$2:$A$600,Stock_Card!$B$2,Raw_Q!$P$2:$P$600,11)-1)-(SUMIFS(Raw_Q!$I$2:$I$600,Raw_Q!$A$2:$A$600,Stock_Card!$B$2,Raw_Q!$P$2:$P$600,11)/SUMIFS(Raw_Q!$I$2:$I$600,Raw_Q!$A$2:$A$600,Stock_Card!$B$2,Raw_Q!$P$2:$P$600,12)-1))*100,""))</f>
        <v>-57.7100381781034</v>
      </c>
      <c r="G7" s="69" t="str">
        <f aca="false">IF(Stock_Card!$B$2="","",IFERROR(IF(NOT(ISNUMBER(D7)),"",IF(D7&gt;0,IF(F7&gt;0,"成長且加速","成長但減速"),IF(F7&gt;0,"衰退但收斂","衰退且惡化"))),""))</f>
        <v>衰退且惡化</v>
      </c>
      <c r="H7" s="68" t="n">
        <f aca="false">IF(Stock_Card!$B$2="","",IFERROR(((SUMIFS(Raw_Q!$I$2:$I$600,Raw_Q!$A$2:$A$600,Stock_Card!$B$2,Raw_Q!$P$2:$P$600,10)/SUMIFS(Raw_Q!$I$2:$I$600,Raw_Q!$A$2:$A$600,Stock_Card!$B$2,Raw_Q!$P$2:$P$600,11)-1)-(SUMIFS(Raw_Q!$I$2:$I$600,Raw_Q!$A$2:$A$600,Stock_Card!$B$2,Raw_Q!$P$2:$P$600,14)/SUMIFS(Raw_Q!$I$2:$I$600,Raw_Q!$A$2:$A$600,Stock_Card!$B$2,Raw_Q!$P$2:$P$600,15)-1))*100,""))</f>
        <v>-5.05356147320718</v>
      </c>
      <c r="I7" s="49" t="n">
        <f aca="false">IF(Stock_Card!$B$2="","",IFERROR((SUMIFS(Raw_Q!$I$2:$I$600,Raw_Q!$A$2:$A$600,Stock_Card!$B$2,Raw_Q!$P$2:$P$600,10)/SUMIFS(Raw_Q!$I$2:$I$600,Raw_Q!$A$2:$A$600,Stock_Card!$B$2,Raw_Q!$P$2:$P$600,14)-1),""))</f>
        <v>-0.0430532709097811</v>
      </c>
      <c r="J7" s="49" t="n">
        <f aca="false">IF(Stock_Card!$B$2="","",IFERROR(SUMIFS(Raw_Q!$J$2:$J$600,Raw_Q!$A$2:$A$600,Stock_Card!$B$2,Raw_Q!$P$2:$P$600,10)/SUMIFS(Raw_Q!$I$2:$I$600,Raw_Q!$A$2:$A$600,Stock_Card!$B$2,Raw_Q!$P$2:$P$600,10),""))</f>
        <v>0.465780745540092</v>
      </c>
      <c r="K7" s="50" t="n">
        <f aca="false">IF(Stock_Card!$B$2="","",IFERROR((SUMIFS(Raw_Q!$J$2:$J$600,Raw_Q!$A$2:$A$600,Stock_Card!$B$2,Raw_Q!$P$2:$P$600,10)/SUMIFS(Raw_Q!$I$2:$I$600,Raw_Q!$A$2:$A$600,Stock_Card!$B$2,Raw_Q!$P$2:$P$600,10)-SUMIFS(Raw_Q!$J$2:$J$600,Raw_Q!$A$2:$A$600,Stock_Card!$B$2,Raw_Q!$P$2:$P$600,14)/SUMIFS(Raw_Q!$I$2:$I$600,Raw_Q!$A$2:$A$600,Stock_Card!$B$2,Raw_Q!$P$2:$P$600,14))*10000,""))</f>
        <v>231.640177152157</v>
      </c>
      <c r="L7" s="51" t="n">
        <f aca="false">IF(Stock_Card!$B$2="","",IFERROR(SUMIFS(Raw_Q!$K$2:$K$600,Raw_Q!$A$2:$A$600,Stock_Card!$B$2,Raw_Q!$P$2:$P$600,10),""))</f>
        <v>1.53</v>
      </c>
      <c r="M7" s="49" t="n">
        <f aca="false">IF(Stock_Card!$B$2="","",IFERROR((SUMIFS(Raw_Q!$K$2:$K$600,Raw_Q!$A$2:$A$600,Stock_Card!$B$2,Raw_Q!$P$2:$P$600,10)/SUMIFS(Raw_Q!$K$2:$K$600,Raw_Q!$A$2:$A$600,Stock_Card!$B$2,Raw_Q!$P$2:$P$600,14)-1),""))</f>
        <v>0.00657894736842102</v>
      </c>
      <c r="N7" s="51" t="n">
        <f aca="false">IF(Stock_Card!$B$2="","",IFERROR(SUMIFS(Raw_Q!$N$2:$N$600,Raw_Q!$A$2:$A$600,Stock_Card!$B$2,Raw_Q!$P$2:$P$600,10),""))</f>
        <v>0.24</v>
      </c>
      <c r="O7" s="66" t="str">
        <f aca="false">IF(Stock_Card!$B$2="","",IF(10=0,"預估","實際"))</f>
        <v>實際</v>
      </c>
    </row>
    <row r="8" customFormat="false" ht="15" hidden="false" customHeight="false" outlineLevel="0" collapsed="false">
      <c r="A8" s="66" t="str">
        <f aca="false">IF(Stock_Card!$B$2="","",IFERROR(INDEX(Raw_Q!$B$2:$B$600,MATCH(Stock_Card!$B$2&amp;"|"&amp;9,Raw_Q!$Q$2:$Q$600,0)),""))</f>
        <v>FY2024Q3</v>
      </c>
      <c r="B8" s="67" t="n">
        <f aca="false">IF(Stock_Card!$B$2="","",IFERROR(IF(SUMIFS(Raw_Q!$E$2:$E$600,Raw_Q!$A$2:$A$600,Stock_Card!$B$2,Raw_Q!$P$2:$P$600,9)=0,"",SUMIFS(Raw_Q!$E$2:$E$600,Raw_Q!$A$2:$A$600,Stock_Card!$B$2,Raw_Q!$P$2:$P$600,9)),""))</f>
        <v>45473</v>
      </c>
      <c r="C8" s="48" t="n">
        <f aca="false">IF(Stock_Card!$B$2="","",IFERROR(SUMIFS(Raw_Q!$I$2:$I$600,Raw_Q!$A$2:$A$600,Stock_Card!$B$2,Raw_Q!$P$2:$P$600,9),""))</f>
        <v>85777</v>
      </c>
      <c r="D8" s="49" t="n">
        <f aca="false">IF(Stock_Card!$B$2="","",IFERROR((SUMIFS(Raw_Q!$I$2:$I$600,Raw_Q!$A$2:$A$600,Stock_Card!$B$2,Raw_Q!$P$2:$P$600,9)/SUMIFS(Raw_Q!$I$2:$I$600,Raw_Q!$A$2:$A$600,Stock_Card!$B$2,Raw_Q!$P$2:$P$600,10)-1),""))</f>
        <v>-0.0548301433561425</v>
      </c>
      <c r="E8" s="49" t="n">
        <f aca="false">IF(Stock_Card!$B$2="","",IFERROR((SUMIFS(Raw_Q!$I$2:$I$600,Raw_Q!$A$2:$A$600,Stock_Card!$B$2,Raw_Q!$P$2:$P$600,10)/SUMIFS(Raw_Q!$I$2:$I$600,Raw_Q!$A$2:$A$600,Stock_Card!$B$2,Raw_Q!$P$2:$P$600,11)-1),""))</f>
        <v>-0.24103700606314</v>
      </c>
      <c r="F8" s="68" t="n">
        <f aca="false">IF(Stock_Card!$B$2="","",IFERROR(((SUMIFS(Raw_Q!$I$2:$I$600,Raw_Q!$A$2:$A$600,Stock_Card!$B$2,Raw_Q!$P$2:$P$600,9)/SUMIFS(Raw_Q!$I$2:$I$600,Raw_Q!$A$2:$A$600,Stock_Card!$B$2,Raw_Q!$P$2:$P$600,10)-1)-(SUMIFS(Raw_Q!$I$2:$I$600,Raw_Q!$A$2:$A$600,Stock_Card!$B$2,Raw_Q!$P$2:$P$600,10)/SUMIFS(Raw_Q!$I$2:$I$600,Raw_Q!$A$2:$A$600,Stock_Card!$B$2,Raw_Q!$P$2:$P$600,11)-1))*100,""))</f>
        <v>18.6206862706998</v>
      </c>
      <c r="G8" s="69" t="str">
        <f aca="false">IF(Stock_Card!$B$2="","",IFERROR(IF(NOT(ISNUMBER(D8)),"",IF(D8&gt;0,IF(F8&gt;0,"成長且加速","成長但減速"),IF(F8&gt;0,"衰退但收斂","衰退且惡化"))),""))</f>
        <v>衰退但收斂</v>
      </c>
      <c r="H8" s="68" t="n">
        <f aca="false">IF(Stock_Card!$B$2="","",IFERROR(((SUMIFS(Raw_Q!$I$2:$I$600,Raw_Q!$A$2:$A$600,Stock_Card!$B$2,Raw_Q!$P$2:$P$600,9)/SUMIFS(Raw_Q!$I$2:$I$600,Raw_Q!$A$2:$A$600,Stock_Card!$B$2,Raw_Q!$P$2:$P$600,10)-1)-(SUMIFS(Raw_Q!$I$2:$I$600,Raw_Q!$A$2:$A$600,Stock_Card!$B$2,Raw_Q!$P$2:$P$600,13)/SUMIFS(Raw_Q!$I$2:$I$600,Raw_Q!$A$2:$A$600,Stock_Card!$B$2,Raw_Q!$P$2:$P$600,14)-1))*100,""))</f>
        <v>8.26598393508464</v>
      </c>
      <c r="I8" s="49" t="n">
        <f aca="false">IF(Stock_Card!$B$2="","",IFERROR((SUMIFS(Raw_Q!$I$2:$I$600,Raw_Q!$A$2:$A$600,Stock_Card!$B$2,Raw_Q!$P$2:$P$600,9)/SUMIFS(Raw_Q!$I$2:$I$600,Raw_Q!$A$2:$A$600,Stock_Card!$B$2,Raw_Q!$P$2:$P$600,13)-1),""))</f>
        <v>0.0486570412117804</v>
      </c>
      <c r="J8" s="49" t="n">
        <f aca="false">IF(Stock_Card!$B$2="","",IFERROR(SUMIFS(Raw_Q!$J$2:$J$600,Raw_Q!$A$2:$A$600,Stock_Card!$B$2,Raw_Q!$P$2:$P$600,9)/SUMIFS(Raw_Q!$I$2:$I$600,Raw_Q!$A$2:$A$600,Stock_Card!$B$2,Raw_Q!$P$2:$P$600,9),""))</f>
        <v>0.462571551814589</v>
      </c>
      <c r="K8" s="50" t="n">
        <f aca="false">IF(Stock_Card!$B$2="","",IFERROR((SUMIFS(Raw_Q!$J$2:$J$600,Raw_Q!$A$2:$A$600,Stock_Card!$B$2,Raw_Q!$P$2:$P$600,9)/SUMIFS(Raw_Q!$I$2:$I$600,Raw_Q!$A$2:$A$600,Stock_Card!$B$2,Raw_Q!$P$2:$P$600,9)-SUMIFS(Raw_Q!$J$2:$J$600,Raw_Q!$A$2:$A$600,Stock_Card!$B$2,Raw_Q!$P$2:$P$600,13)/SUMIFS(Raw_Q!$I$2:$I$600,Raw_Q!$A$2:$A$600,Stock_Card!$B$2,Raw_Q!$P$2:$P$600,13))*10000,""))</f>
        <v>174.08526275755</v>
      </c>
      <c r="L8" s="51" t="n">
        <f aca="false">IF(Stock_Card!$B$2="","",IFERROR(SUMIFS(Raw_Q!$K$2:$K$600,Raw_Q!$A$2:$A$600,Stock_Card!$B$2,Raw_Q!$P$2:$P$600,9),""))</f>
        <v>1.4</v>
      </c>
      <c r="M8" s="49" t="n">
        <f aca="false">IF(Stock_Card!$B$2="","",IFERROR((SUMIFS(Raw_Q!$K$2:$K$600,Raw_Q!$A$2:$A$600,Stock_Card!$B$2,Raw_Q!$P$2:$P$600,9)/SUMIFS(Raw_Q!$K$2:$K$600,Raw_Q!$A$2:$A$600,Stock_Card!$B$2,Raw_Q!$P$2:$P$600,13)-1),""))</f>
        <v>0.111111111111111</v>
      </c>
      <c r="N8" s="51" t="n">
        <f aca="false">IF(Stock_Card!$B$2="","",IFERROR(SUMIFS(Raw_Q!$N$2:$N$600,Raw_Q!$A$2:$A$600,Stock_Card!$B$2,Raw_Q!$P$2:$P$600,9),""))</f>
        <v>0.25</v>
      </c>
      <c r="O8" s="66" t="str">
        <f aca="false">IF(Stock_Card!$B$2="","",IF(9=0,"預估","實際"))</f>
        <v>實際</v>
      </c>
    </row>
    <row r="9" customFormat="false" ht="15" hidden="false" customHeight="false" outlineLevel="0" collapsed="false">
      <c r="A9" s="66" t="str">
        <f aca="false">IF(Stock_Card!$B$2="","",IFERROR(INDEX(Raw_Q!$B$2:$B$600,MATCH(Stock_Card!$B$2&amp;"|"&amp;8,Raw_Q!$Q$2:$Q$600,0)),""))</f>
        <v>FY2024Q4</v>
      </c>
      <c r="B9" s="67" t="n">
        <f aca="false">IF(Stock_Card!$B$2="","",IFERROR(IF(SUMIFS(Raw_Q!$E$2:$E$600,Raw_Q!$A$2:$A$600,Stock_Card!$B$2,Raw_Q!$P$2:$P$600,8)=0,"",SUMIFS(Raw_Q!$E$2:$E$600,Raw_Q!$A$2:$A$600,Stock_Card!$B$2,Raw_Q!$P$2:$P$600,8)),""))</f>
        <v>45565</v>
      </c>
      <c r="C9" s="48" t="n">
        <f aca="false">IF(Stock_Card!$B$2="","",IFERROR(SUMIFS(Raw_Q!$I$2:$I$600,Raw_Q!$A$2:$A$600,Stock_Card!$B$2,Raw_Q!$P$2:$P$600,8),""))</f>
        <v>94930</v>
      </c>
      <c r="D9" s="49" t="n">
        <f aca="false">IF(Stock_Card!$B$2="","",IFERROR((SUMIFS(Raw_Q!$I$2:$I$600,Raw_Q!$A$2:$A$600,Stock_Card!$B$2,Raw_Q!$P$2:$P$600,8)/SUMIFS(Raw_Q!$I$2:$I$600,Raw_Q!$A$2:$A$600,Stock_Card!$B$2,Raw_Q!$P$2:$P$600,9)-1),""))</f>
        <v>0.106706926099071</v>
      </c>
      <c r="E9" s="49" t="n">
        <f aca="false">IF(Stock_Card!$B$2="","",IFERROR((SUMIFS(Raw_Q!$I$2:$I$600,Raw_Q!$A$2:$A$600,Stock_Card!$B$2,Raw_Q!$P$2:$P$600,9)/SUMIFS(Raw_Q!$I$2:$I$600,Raw_Q!$A$2:$A$600,Stock_Card!$B$2,Raw_Q!$P$2:$P$600,10)-1),""))</f>
        <v>-0.0548301433561425</v>
      </c>
      <c r="F9" s="68" t="n">
        <f aca="false">IF(Stock_Card!$B$2="","",IFERROR(((SUMIFS(Raw_Q!$I$2:$I$600,Raw_Q!$A$2:$A$600,Stock_Card!$B$2,Raw_Q!$P$2:$P$600,8)/SUMIFS(Raw_Q!$I$2:$I$600,Raw_Q!$A$2:$A$600,Stock_Card!$B$2,Raw_Q!$P$2:$P$600,9)-1)-(SUMIFS(Raw_Q!$I$2:$I$600,Raw_Q!$A$2:$A$600,Stock_Card!$B$2,Raw_Q!$P$2:$P$600,9)/SUMIFS(Raw_Q!$I$2:$I$600,Raw_Q!$A$2:$A$600,Stock_Card!$B$2,Raw_Q!$P$2:$P$600,10)-1))*100,""))</f>
        <v>16.1537069455213</v>
      </c>
      <c r="G9" s="69" t="str">
        <f aca="false">IF(Stock_Card!$B$2="","",IFERROR(IF(NOT(ISNUMBER(D9)),"",IF(D9&gt;0,IF(F9&gt;0,"成長且加速","成長但減速"),IF(F9&gt;0,"衰退但收斂","衰退且惡化"))),""))</f>
        <v>成長且加速</v>
      </c>
      <c r="H9" s="68" t="n">
        <f aca="false">IF(Stock_Card!$B$2="","",IFERROR(((SUMIFS(Raw_Q!$I$2:$I$600,Raw_Q!$A$2:$A$600,Stock_Card!$B$2,Raw_Q!$P$2:$P$600,8)/SUMIFS(Raw_Q!$I$2:$I$600,Raw_Q!$A$2:$A$600,Stock_Card!$B$2,Raw_Q!$P$2:$P$600,9)-1)-(SUMIFS(Raw_Q!$I$2:$I$600,Raw_Q!$A$2:$A$600,Stock_Card!$B$2,Raw_Q!$P$2:$P$600,12)/SUMIFS(Raw_Q!$I$2:$I$600,Raw_Q!$A$2:$A$600,Stock_Card!$B$2,Raw_Q!$P$2:$P$600,13)-1))*100,""))</f>
        <v>1.25592189704478</v>
      </c>
      <c r="I9" s="49" t="n">
        <f aca="false">IF(Stock_Card!$B$2="","",IFERROR((SUMIFS(Raw_Q!$I$2:$I$600,Raw_Q!$A$2:$A$600,Stock_Card!$B$2,Raw_Q!$P$2:$P$600,8)/SUMIFS(Raw_Q!$I$2:$I$600,Raw_Q!$A$2:$A$600,Stock_Card!$B$2,Raw_Q!$P$2:$P$600,12)-1),""))</f>
        <v>0.0606940937227647</v>
      </c>
      <c r="J9" s="49" t="n">
        <f aca="false">IF(Stock_Card!$B$2="","",IFERROR(SUMIFS(Raw_Q!$J$2:$J$600,Raw_Q!$A$2:$A$600,Stock_Card!$B$2,Raw_Q!$P$2:$P$600,8)/SUMIFS(Raw_Q!$I$2:$I$600,Raw_Q!$A$2:$A$600,Stock_Card!$B$2,Raw_Q!$P$2:$P$600,8),""))</f>
        <v>0.462224797219004</v>
      </c>
      <c r="K9" s="50" t="n">
        <f aca="false">IF(Stock_Card!$B$2="","",IFERROR((SUMIFS(Raw_Q!$J$2:$J$600,Raw_Q!$A$2:$A$600,Stock_Card!$B$2,Raw_Q!$P$2:$P$600,8)/SUMIFS(Raw_Q!$I$2:$I$600,Raw_Q!$A$2:$A$600,Stock_Card!$B$2,Raw_Q!$P$2:$P$600,8)-SUMIFS(Raw_Q!$J$2:$J$600,Raw_Q!$A$2:$A$600,Stock_Card!$B$2,Raw_Q!$P$2:$P$600,12)/SUMIFS(Raw_Q!$I$2:$I$600,Raw_Q!$A$2:$A$600,Stock_Card!$B$2,Raw_Q!$P$2:$P$600,12))*10000,""))</f>
        <v>105.163791537953</v>
      </c>
      <c r="L9" s="51" t="n">
        <f aca="false">IF(Stock_Card!$B$2="","",IFERROR(SUMIFS(Raw_Q!$K$2:$K$600,Raw_Q!$A$2:$A$600,Stock_Card!$B$2,Raw_Q!$P$2:$P$600,8),""))</f>
        <v>0.97</v>
      </c>
      <c r="M9" s="49" t="n">
        <f aca="false">IF(Stock_Card!$B$2="","",IFERROR((SUMIFS(Raw_Q!$K$2:$K$600,Raw_Q!$A$2:$A$600,Stock_Card!$B$2,Raw_Q!$P$2:$P$600,8)/SUMIFS(Raw_Q!$K$2:$K$600,Raw_Q!$A$2:$A$600,Stock_Card!$B$2,Raw_Q!$P$2:$P$600,12)-1),""))</f>
        <v>-0.335616438356164</v>
      </c>
      <c r="N9" s="51" t="n">
        <f aca="false">IF(Stock_Card!$B$2="","",IFERROR(SUMIFS(Raw_Q!$N$2:$N$600,Raw_Q!$A$2:$A$600,Stock_Card!$B$2,Raw_Q!$P$2:$P$600,8),""))</f>
        <v>0.25</v>
      </c>
      <c r="O9" s="66" t="str">
        <f aca="false">IF(Stock_Card!$B$2="","",IF(8=0,"預估","實際"))</f>
        <v>實際</v>
      </c>
    </row>
    <row r="10" customFormat="false" ht="15" hidden="false" customHeight="false" outlineLevel="0" collapsed="false">
      <c r="A10" s="66" t="str">
        <f aca="false">IF(Stock_Card!$B$2="","",IFERROR(INDEX(Raw_Q!$B$2:$B$600,MATCH(Stock_Card!$B$2&amp;"|"&amp;7,Raw_Q!$Q$2:$Q$600,0)),""))</f>
        <v>FY2025Q1</v>
      </c>
      <c r="B10" s="67" t="n">
        <f aca="false">IF(Stock_Card!$B$2="","",IFERROR(IF(SUMIFS(Raw_Q!$E$2:$E$600,Raw_Q!$A$2:$A$600,Stock_Card!$B$2,Raw_Q!$P$2:$P$600,7)=0,"",SUMIFS(Raw_Q!$E$2:$E$600,Raw_Q!$A$2:$A$600,Stock_Card!$B$2,Raw_Q!$P$2:$P$600,7)),""))</f>
        <v>45657</v>
      </c>
      <c r="C10" s="48" t="n">
        <f aca="false">IF(Stock_Card!$B$2="","",IFERROR(SUMIFS(Raw_Q!$I$2:$I$600,Raw_Q!$A$2:$A$600,Stock_Card!$B$2,Raw_Q!$P$2:$P$600,7),""))</f>
        <v>124300</v>
      </c>
      <c r="D10" s="49" t="n">
        <f aca="false">IF(Stock_Card!$B$2="","",IFERROR((SUMIFS(Raw_Q!$I$2:$I$600,Raw_Q!$A$2:$A$600,Stock_Card!$B$2,Raw_Q!$P$2:$P$600,7)/SUMIFS(Raw_Q!$I$2:$I$600,Raw_Q!$A$2:$A$600,Stock_Card!$B$2,Raw_Q!$P$2:$P$600,8)-1),""))</f>
        <v>0.309385863267671</v>
      </c>
      <c r="E10" s="49" t="n">
        <f aca="false">IF(Stock_Card!$B$2="","",IFERROR((SUMIFS(Raw_Q!$I$2:$I$600,Raw_Q!$A$2:$A$600,Stock_Card!$B$2,Raw_Q!$P$2:$P$600,8)/SUMIFS(Raw_Q!$I$2:$I$600,Raw_Q!$A$2:$A$600,Stock_Card!$B$2,Raw_Q!$P$2:$P$600,9)-1),""))</f>
        <v>0.106706926099071</v>
      </c>
      <c r="F10" s="68" t="n">
        <f aca="false">IF(Stock_Card!$B$2="","",IFERROR(((SUMIFS(Raw_Q!$I$2:$I$600,Raw_Q!$A$2:$A$600,Stock_Card!$B$2,Raw_Q!$P$2:$P$600,7)/SUMIFS(Raw_Q!$I$2:$I$600,Raw_Q!$A$2:$A$600,Stock_Card!$B$2,Raw_Q!$P$2:$P$600,8)-1)-(SUMIFS(Raw_Q!$I$2:$I$600,Raw_Q!$A$2:$A$600,Stock_Card!$B$2,Raw_Q!$P$2:$P$600,8)/SUMIFS(Raw_Q!$I$2:$I$600,Raw_Q!$A$2:$A$600,Stock_Card!$B$2,Raw_Q!$P$2:$P$600,9)-1))*100,""))</f>
        <v>20.26789371686</v>
      </c>
      <c r="G10" s="69" t="str">
        <f aca="false">IF(Stock_Card!$B$2="","",IFERROR(IF(NOT(ISNUMBER(D10)),"",IF(D10&gt;0,IF(F10&gt;0,"成長且加速","成長但減速"),IF(F10&gt;0,"衰退但收斂","衰退且惡化"))),""))</f>
        <v>成長且加速</v>
      </c>
      <c r="H10" s="68" t="n">
        <f aca="false">IF(Stock_Card!$B$2="","",IFERROR(((SUMIFS(Raw_Q!$I$2:$I$600,Raw_Q!$A$2:$A$600,Stock_Card!$B$2,Raw_Q!$P$2:$P$600,7)/SUMIFS(Raw_Q!$I$2:$I$600,Raw_Q!$A$2:$A$600,Stock_Card!$B$2,Raw_Q!$P$2:$P$600,8)-1)-(SUMIFS(Raw_Q!$I$2:$I$600,Raw_Q!$A$2:$A$600,Stock_Card!$B$2,Raw_Q!$P$2:$P$600,11)/SUMIFS(Raw_Q!$I$2:$I$600,Raw_Q!$A$2:$A$600,Stock_Card!$B$2,Raw_Q!$P$2:$P$600,12)-1))*100,""))</f>
        <v>-2.66775124502223</v>
      </c>
      <c r="I10" s="49" t="n">
        <f aca="false">IF(Stock_Card!$B$2="","",IFERROR((SUMIFS(Raw_Q!$I$2:$I$600,Raw_Q!$A$2:$A$600,Stock_Card!$B$2,Raw_Q!$P$2:$P$600,7)/SUMIFS(Raw_Q!$I$2:$I$600,Raw_Q!$A$2:$A$600,Stock_Card!$B$2,Raw_Q!$P$2:$P$600,11)-1),""))</f>
        <v>0.0395149487769182</v>
      </c>
      <c r="J10" s="49" t="n">
        <f aca="false">IF(Stock_Card!$B$2="","",IFERROR(SUMIFS(Raw_Q!$J$2:$J$600,Raw_Q!$A$2:$A$600,Stock_Card!$B$2,Raw_Q!$P$2:$P$600,7)/SUMIFS(Raw_Q!$I$2:$I$600,Raw_Q!$A$2:$A$600,Stock_Card!$B$2,Raw_Q!$P$2:$P$600,7),""))</f>
        <v>0.468825422365245</v>
      </c>
      <c r="K10" s="50" t="n">
        <f aca="false">IF(Stock_Card!$B$2="","",IFERROR((SUMIFS(Raw_Q!$J$2:$J$600,Raw_Q!$A$2:$A$600,Stock_Card!$B$2,Raw_Q!$P$2:$P$600,7)/SUMIFS(Raw_Q!$I$2:$I$600,Raw_Q!$A$2:$A$600,Stock_Card!$B$2,Raw_Q!$P$2:$P$600,7)-SUMIFS(Raw_Q!$J$2:$J$600,Raw_Q!$A$2:$A$600,Stock_Card!$B$2,Raw_Q!$P$2:$P$600,11)/SUMIFS(Raw_Q!$I$2:$I$600,Raw_Q!$A$2:$A$600,Stock_Card!$B$2,Raw_Q!$P$2:$P$600,11))*10000,""))</f>
        <v>100.756837074992</v>
      </c>
      <c r="L10" s="51" t="n">
        <f aca="false">IF(Stock_Card!$B$2="","",IFERROR(SUMIFS(Raw_Q!$K$2:$K$600,Raw_Q!$A$2:$A$600,Stock_Card!$B$2,Raw_Q!$P$2:$P$600,7),""))</f>
        <v>2.4</v>
      </c>
      <c r="M10" s="49" t="n">
        <f aca="false">IF(Stock_Card!$B$2="","",IFERROR((SUMIFS(Raw_Q!$K$2:$K$600,Raw_Q!$A$2:$A$600,Stock_Card!$B$2,Raw_Q!$P$2:$P$600,7)/SUMIFS(Raw_Q!$K$2:$K$600,Raw_Q!$A$2:$A$600,Stock_Card!$B$2,Raw_Q!$P$2:$P$600,11)-1),""))</f>
        <v>0.10091743119266</v>
      </c>
      <c r="N10" s="51" t="n">
        <f aca="false">IF(Stock_Card!$B$2="","",IFERROR(SUMIFS(Raw_Q!$N$2:$N$600,Raw_Q!$A$2:$A$600,Stock_Card!$B$2,Raw_Q!$P$2:$P$600,7),""))</f>
        <v>0.25</v>
      </c>
      <c r="O10" s="66" t="str">
        <f aca="false">IF(Stock_Card!$B$2="","",IF(7=0,"預估","實際"))</f>
        <v>實際</v>
      </c>
    </row>
    <row r="11" customFormat="false" ht="15" hidden="false" customHeight="false" outlineLevel="0" collapsed="false">
      <c r="A11" s="66" t="str">
        <f aca="false">IF(Stock_Card!$B$2="","",IFERROR(INDEX(Raw_Q!$B$2:$B$600,MATCH(Stock_Card!$B$2&amp;"|"&amp;6,Raw_Q!$Q$2:$Q$600,0)),""))</f>
        <v>FY2025Q2</v>
      </c>
      <c r="B11" s="67" t="n">
        <f aca="false">IF(Stock_Card!$B$2="","",IFERROR(IF(SUMIFS(Raw_Q!$E$2:$E$600,Raw_Q!$A$2:$A$600,Stock_Card!$B$2,Raw_Q!$P$2:$P$600,6)=0,"",SUMIFS(Raw_Q!$E$2:$E$600,Raw_Q!$A$2:$A$600,Stock_Card!$B$2,Raw_Q!$P$2:$P$600,6)),""))</f>
        <v>45747</v>
      </c>
      <c r="C11" s="48" t="n">
        <f aca="false">IF(Stock_Card!$B$2="","",IFERROR(SUMIFS(Raw_Q!$I$2:$I$600,Raw_Q!$A$2:$A$600,Stock_Card!$B$2,Raw_Q!$P$2:$P$600,6),""))</f>
        <v>95359</v>
      </c>
      <c r="D11" s="49" t="n">
        <f aca="false">IF(Stock_Card!$B$2="","",IFERROR((SUMIFS(Raw_Q!$I$2:$I$600,Raw_Q!$A$2:$A$600,Stock_Card!$B$2,Raw_Q!$P$2:$P$600,6)/SUMIFS(Raw_Q!$I$2:$I$600,Raw_Q!$A$2:$A$600,Stock_Card!$B$2,Raw_Q!$P$2:$P$600,7)-1),""))</f>
        <v>-0.23283185840708</v>
      </c>
      <c r="E11" s="49" t="n">
        <f aca="false">IF(Stock_Card!$B$2="","",IFERROR((SUMIFS(Raw_Q!$I$2:$I$600,Raw_Q!$A$2:$A$600,Stock_Card!$B$2,Raw_Q!$P$2:$P$600,7)/SUMIFS(Raw_Q!$I$2:$I$600,Raw_Q!$A$2:$A$600,Stock_Card!$B$2,Raw_Q!$P$2:$P$600,8)-1),""))</f>
        <v>0.309385863267671</v>
      </c>
      <c r="F11" s="68" t="n">
        <f aca="false">IF(Stock_Card!$B$2="","",IFERROR(((SUMIFS(Raw_Q!$I$2:$I$600,Raw_Q!$A$2:$A$600,Stock_Card!$B$2,Raw_Q!$P$2:$P$600,6)/SUMIFS(Raw_Q!$I$2:$I$600,Raw_Q!$A$2:$A$600,Stock_Card!$B$2,Raw_Q!$P$2:$P$600,7)-1)-(SUMIFS(Raw_Q!$I$2:$I$600,Raw_Q!$A$2:$A$600,Stock_Card!$B$2,Raw_Q!$P$2:$P$600,7)/SUMIFS(Raw_Q!$I$2:$I$600,Raw_Q!$A$2:$A$600,Stock_Card!$B$2,Raw_Q!$P$2:$P$600,8)-1))*100,""))</f>
        <v>-54.2217721674751</v>
      </c>
      <c r="G11" s="69" t="str">
        <f aca="false">IF(Stock_Card!$B$2="","",IFERROR(IF(NOT(ISNUMBER(D11)),"",IF(D11&gt;0,IF(F11&gt;0,"成長且加速","成長但減速"),IF(F11&gt;0,"衰退但收斂","衰退且惡化"))),""))</f>
        <v>衰退且惡化</v>
      </c>
      <c r="H11" s="68" t="n">
        <f aca="false">IF(Stock_Card!$B$2="","",IFERROR(((SUMIFS(Raw_Q!$I$2:$I$600,Raw_Q!$A$2:$A$600,Stock_Card!$B$2,Raw_Q!$P$2:$P$600,6)/SUMIFS(Raw_Q!$I$2:$I$600,Raw_Q!$A$2:$A$600,Stock_Card!$B$2,Raw_Q!$P$2:$P$600,7)-1)-(SUMIFS(Raw_Q!$I$2:$I$600,Raw_Q!$A$2:$A$600,Stock_Card!$B$2,Raw_Q!$P$2:$P$600,10)/SUMIFS(Raw_Q!$I$2:$I$600,Raw_Q!$A$2:$A$600,Stock_Card!$B$2,Raw_Q!$P$2:$P$600,11)-1))*100,""))</f>
        <v>0.820514765606062</v>
      </c>
      <c r="I11" s="49" t="n">
        <f aca="false">IF(Stock_Card!$B$2="","",IFERROR((SUMIFS(Raw_Q!$I$2:$I$600,Raw_Q!$A$2:$A$600,Stock_Card!$B$2,Raw_Q!$P$2:$P$600,6)/SUMIFS(Raw_Q!$I$2:$I$600,Raw_Q!$A$2:$A$600,Stock_Card!$B$2,Raw_Q!$P$2:$P$600,10)-1),""))</f>
        <v>0.0507531431467829</v>
      </c>
      <c r="J11" s="49" t="n">
        <f aca="false">IF(Stock_Card!$B$2="","",IFERROR(SUMIFS(Raw_Q!$J$2:$J$600,Raw_Q!$A$2:$A$600,Stock_Card!$B$2,Raw_Q!$P$2:$P$600,6)/SUMIFS(Raw_Q!$I$2:$I$600,Raw_Q!$A$2:$A$600,Stock_Card!$B$2,Raw_Q!$P$2:$P$600,6),""))</f>
        <v>0.470506192388762</v>
      </c>
      <c r="K11" s="50" t="n">
        <f aca="false">IF(Stock_Card!$B$2="","",IFERROR((SUMIFS(Raw_Q!$J$2:$J$600,Raw_Q!$A$2:$A$600,Stock_Card!$B$2,Raw_Q!$P$2:$P$600,6)/SUMIFS(Raw_Q!$I$2:$I$600,Raw_Q!$A$2:$A$600,Stock_Card!$B$2,Raw_Q!$P$2:$P$600,6)-SUMIFS(Raw_Q!$J$2:$J$600,Raw_Q!$A$2:$A$600,Stock_Card!$B$2,Raw_Q!$P$2:$P$600,10)/SUMIFS(Raw_Q!$I$2:$I$600,Raw_Q!$A$2:$A$600,Stock_Card!$B$2,Raw_Q!$P$2:$P$600,10))*10000,""))</f>
        <v>47.254468486701</v>
      </c>
      <c r="L11" s="51" t="n">
        <f aca="false">IF(Stock_Card!$B$2="","",IFERROR(SUMIFS(Raw_Q!$K$2:$K$600,Raw_Q!$A$2:$A$600,Stock_Card!$B$2,Raw_Q!$P$2:$P$600,6),""))</f>
        <v>1.65</v>
      </c>
      <c r="M11" s="49" t="n">
        <f aca="false">IF(Stock_Card!$B$2="","",IFERROR((SUMIFS(Raw_Q!$K$2:$K$600,Raw_Q!$A$2:$A$600,Stock_Card!$B$2,Raw_Q!$P$2:$P$600,6)/SUMIFS(Raw_Q!$K$2:$K$600,Raw_Q!$A$2:$A$600,Stock_Card!$B$2,Raw_Q!$P$2:$P$600,10)-1),""))</f>
        <v>0.0784313725490196</v>
      </c>
      <c r="N11" s="51" t="n">
        <f aca="false">IF(Stock_Card!$B$2="","",IFERROR(SUMIFS(Raw_Q!$N$2:$N$600,Raw_Q!$A$2:$A$600,Stock_Card!$B$2,Raw_Q!$P$2:$P$600,6),""))</f>
        <v>0.25</v>
      </c>
      <c r="O11" s="66" t="str">
        <f aca="false">IF(Stock_Card!$B$2="","",IF(6=0,"預估","實際"))</f>
        <v>實際</v>
      </c>
    </row>
    <row r="12" customFormat="false" ht="15" hidden="false" customHeight="false" outlineLevel="0" collapsed="false">
      <c r="A12" s="66" t="str">
        <f aca="false">IF(Stock_Card!$B$2="","",IFERROR(INDEX(Raw_Q!$B$2:$B$600,MATCH(Stock_Card!$B$2&amp;"|"&amp;5,Raw_Q!$Q$2:$Q$600,0)),""))</f>
        <v>FY2025Q3</v>
      </c>
      <c r="B12" s="67" t="n">
        <f aca="false">IF(Stock_Card!$B$2="","",IFERROR(IF(SUMIFS(Raw_Q!$E$2:$E$600,Raw_Q!$A$2:$A$600,Stock_Card!$B$2,Raw_Q!$P$2:$P$600,5)=0,"",SUMIFS(Raw_Q!$E$2:$E$600,Raw_Q!$A$2:$A$600,Stock_Card!$B$2,Raw_Q!$P$2:$P$600,5)),""))</f>
        <v>45838</v>
      </c>
      <c r="C12" s="48" t="n">
        <f aca="false">IF(Stock_Card!$B$2="","",IFERROR(SUMIFS(Raw_Q!$I$2:$I$600,Raw_Q!$A$2:$A$600,Stock_Card!$B$2,Raw_Q!$P$2:$P$600,5),""))</f>
        <v>94036</v>
      </c>
      <c r="D12" s="49" t="n">
        <f aca="false">IF(Stock_Card!$B$2="","",IFERROR((SUMIFS(Raw_Q!$I$2:$I$600,Raw_Q!$A$2:$A$600,Stock_Card!$B$2,Raw_Q!$P$2:$P$600,5)/SUMIFS(Raw_Q!$I$2:$I$600,Raw_Q!$A$2:$A$600,Stock_Card!$B$2,Raw_Q!$P$2:$P$600,6)-1),""))</f>
        <v>-0.0138738871003261</v>
      </c>
      <c r="E12" s="49" t="n">
        <f aca="false">IF(Stock_Card!$B$2="","",IFERROR((SUMIFS(Raw_Q!$I$2:$I$600,Raw_Q!$A$2:$A$600,Stock_Card!$B$2,Raw_Q!$P$2:$P$600,6)/SUMIFS(Raw_Q!$I$2:$I$600,Raw_Q!$A$2:$A$600,Stock_Card!$B$2,Raw_Q!$P$2:$P$600,7)-1),""))</f>
        <v>-0.23283185840708</v>
      </c>
      <c r="F12" s="68" t="n">
        <f aca="false">IF(Stock_Card!$B$2="","",IFERROR(((SUMIFS(Raw_Q!$I$2:$I$600,Raw_Q!$A$2:$A$600,Stock_Card!$B$2,Raw_Q!$P$2:$P$600,5)/SUMIFS(Raw_Q!$I$2:$I$600,Raw_Q!$A$2:$A$600,Stock_Card!$B$2,Raw_Q!$P$2:$P$600,6)-1)-(SUMIFS(Raw_Q!$I$2:$I$600,Raw_Q!$A$2:$A$600,Stock_Card!$B$2,Raw_Q!$P$2:$P$600,6)/SUMIFS(Raw_Q!$I$2:$I$600,Raw_Q!$A$2:$A$600,Stock_Card!$B$2,Raw_Q!$P$2:$P$600,7)-1))*100,""))</f>
        <v>21.8957971306754</v>
      </c>
      <c r="G12" s="69" t="str">
        <f aca="false">IF(Stock_Card!$B$2="","",IFERROR(IF(NOT(ISNUMBER(D12)),"",IF(D12&gt;0,IF(F12&gt;0,"成長且加速","成長但減速"),IF(F12&gt;0,"衰退但收斂","衰退且惡化"))),""))</f>
        <v>衰退但收斂</v>
      </c>
      <c r="H12" s="68" t="n">
        <f aca="false">IF(Stock_Card!$B$2="","",IFERROR(((SUMIFS(Raw_Q!$I$2:$I$600,Raw_Q!$A$2:$A$600,Stock_Card!$B$2,Raw_Q!$P$2:$P$600,5)/SUMIFS(Raw_Q!$I$2:$I$600,Raw_Q!$A$2:$A$600,Stock_Card!$B$2,Raw_Q!$P$2:$P$600,6)-1)-(SUMIFS(Raw_Q!$I$2:$I$600,Raw_Q!$A$2:$A$600,Stock_Card!$B$2,Raw_Q!$P$2:$P$600,9)/SUMIFS(Raw_Q!$I$2:$I$600,Raw_Q!$A$2:$A$600,Stock_Card!$B$2,Raw_Q!$P$2:$P$600,10)-1))*100,""))</f>
        <v>4.09562562558163</v>
      </c>
      <c r="I12" s="49" t="n">
        <f aca="false">IF(Stock_Card!$B$2="","",IFERROR((SUMIFS(Raw_Q!$I$2:$I$600,Raw_Q!$A$2:$A$600,Stock_Card!$B$2,Raw_Q!$P$2:$P$600,5)/SUMIFS(Raw_Q!$I$2:$I$600,Raw_Q!$A$2:$A$600,Stock_Card!$B$2,Raw_Q!$P$2:$P$600,9)-1),""))</f>
        <v>0.0962845518029309</v>
      </c>
      <c r="J12" s="49" t="n">
        <f aca="false">IF(Stock_Card!$B$2="","",IFERROR(SUMIFS(Raw_Q!$J$2:$J$600,Raw_Q!$A$2:$A$600,Stock_Card!$B$2,Raw_Q!$P$2:$P$600,5)/SUMIFS(Raw_Q!$I$2:$I$600,Raw_Q!$A$2:$A$600,Stock_Card!$B$2,Raw_Q!$P$2:$P$600,5),""))</f>
        <v>0.464907056871836</v>
      </c>
      <c r="K12" s="50" t="n">
        <f aca="false">IF(Stock_Card!$B$2="","",IFERROR((SUMIFS(Raw_Q!$J$2:$J$600,Raw_Q!$A$2:$A$600,Stock_Card!$B$2,Raw_Q!$P$2:$P$600,5)/SUMIFS(Raw_Q!$I$2:$I$600,Raw_Q!$A$2:$A$600,Stock_Card!$B$2,Raw_Q!$P$2:$P$600,5)-SUMIFS(Raw_Q!$J$2:$J$600,Raw_Q!$A$2:$A$600,Stock_Card!$B$2,Raw_Q!$P$2:$P$600,9)/SUMIFS(Raw_Q!$I$2:$I$600,Raw_Q!$A$2:$A$600,Stock_Card!$B$2,Raw_Q!$P$2:$P$600,9))*10000,""))</f>
        <v>23.3550505724733</v>
      </c>
      <c r="L12" s="51" t="n">
        <f aca="false">IF(Stock_Card!$B$2="","",IFERROR(SUMIFS(Raw_Q!$K$2:$K$600,Raw_Q!$A$2:$A$600,Stock_Card!$B$2,Raw_Q!$P$2:$P$600,5),""))</f>
        <v>1.57</v>
      </c>
      <c r="M12" s="49" t="n">
        <f aca="false">IF(Stock_Card!$B$2="","",IFERROR((SUMIFS(Raw_Q!$K$2:$K$600,Raw_Q!$A$2:$A$600,Stock_Card!$B$2,Raw_Q!$P$2:$P$600,5)/SUMIFS(Raw_Q!$K$2:$K$600,Raw_Q!$A$2:$A$600,Stock_Card!$B$2,Raw_Q!$P$2:$P$600,9)-1),""))</f>
        <v>0.121428571428571</v>
      </c>
      <c r="N12" s="51" t="n">
        <f aca="false">IF(Stock_Card!$B$2="","",IFERROR(SUMIFS(Raw_Q!$N$2:$N$600,Raw_Q!$A$2:$A$600,Stock_Card!$B$2,Raw_Q!$P$2:$P$600,5),""))</f>
        <v>0.26</v>
      </c>
      <c r="O12" s="66" t="str">
        <f aca="false">IF(Stock_Card!$B$2="","",IF(5=0,"預估","實際"))</f>
        <v>實際</v>
      </c>
    </row>
    <row r="13" customFormat="false" ht="15" hidden="false" customHeight="false" outlineLevel="0" collapsed="false">
      <c r="A13" s="66" t="str">
        <f aca="false">IF(Stock_Card!$B$2="","",IFERROR(INDEX(Raw_Q!$B$2:$B$600,MATCH(Stock_Card!$B$2&amp;"|"&amp;4,Raw_Q!$Q$2:$Q$600,0)),""))</f>
        <v>FY2025Q4</v>
      </c>
      <c r="B13" s="67" t="n">
        <f aca="false">IF(Stock_Card!$B$2="","",IFERROR(IF(SUMIFS(Raw_Q!$E$2:$E$600,Raw_Q!$A$2:$A$600,Stock_Card!$B$2,Raw_Q!$P$2:$P$600,4)=0,"",SUMIFS(Raw_Q!$E$2:$E$600,Raw_Q!$A$2:$A$600,Stock_Card!$B$2,Raw_Q!$P$2:$P$600,4)),""))</f>
        <v>45930</v>
      </c>
      <c r="C13" s="48" t="n">
        <f aca="false">IF(Stock_Card!$B$2="","",IFERROR(SUMIFS(Raw_Q!$I$2:$I$600,Raw_Q!$A$2:$A$600,Stock_Card!$B$2,Raw_Q!$P$2:$P$600,4),""))</f>
        <v>102466</v>
      </c>
      <c r="D13" s="49" t="n">
        <f aca="false">IF(Stock_Card!$B$2="","",IFERROR((SUMIFS(Raw_Q!$I$2:$I$600,Raw_Q!$A$2:$A$600,Stock_Card!$B$2,Raw_Q!$P$2:$P$600,4)/SUMIFS(Raw_Q!$I$2:$I$600,Raw_Q!$A$2:$A$600,Stock_Card!$B$2,Raw_Q!$P$2:$P$600,5)-1),""))</f>
        <v>0.0896465183546726</v>
      </c>
      <c r="E13" s="49" t="n">
        <f aca="false">IF(Stock_Card!$B$2="","",IFERROR((SUMIFS(Raw_Q!$I$2:$I$600,Raw_Q!$A$2:$A$600,Stock_Card!$B$2,Raw_Q!$P$2:$P$600,5)/SUMIFS(Raw_Q!$I$2:$I$600,Raw_Q!$A$2:$A$600,Stock_Card!$B$2,Raw_Q!$P$2:$P$600,6)-1),""))</f>
        <v>-0.0138738871003261</v>
      </c>
      <c r="F13" s="68" t="n">
        <f aca="false">IF(Stock_Card!$B$2="","",IFERROR(((SUMIFS(Raw_Q!$I$2:$I$600,Raw_Q!$A$2:$A$600,Stock_Card!$B$2,Raw_Q!$P$2:$P$600,4)/SUMIFS(Raw_Q!$I$2:$I$600,Raw_Q!$A$2:$A$600,Stock_Card!$B$2,Raw_Q!$P$2:$P$600,5)-1)-(SUMIFS(Raw_Q!$I$2:$I$600,Raw_Q!$A$2:$A$600,Stock_Card!$B$2,Raw_Q!$P$2:$P$600,5)/SUMIFS(Raw_Q!$I$2:$I$600,Raw_Q!$A$2:$A$600,Stock_Card!$B$2,Raw_Q!$P$2:$P$600,6)-1))*100,""))</f>
        <v>10.3520405454999</v>
      </c>
      <c r="G13" s="69" t="str">
        <f aca="false">IF(Stock_Card!$B$2="","",IFERROR(IF(NOT(ISNUMBER(D13)),"",IF(D13&gt;0,IF(F13&gt;0,"成長且加速","成長但減速"),IF(F13&gt;0,"衰退但收斂","衰退且惡化"))),""))</f>
        <v>成長且加速</v>
      </c>
      <c r="H13" s="68" t="n">
        <f aca="false">IF(Stock_Card!$B$2="","",IFERROR(((SUMIFS(Raw_Q!$I$2:$I$600,Raw_Q!$A$2:$A$600,Stock_Card!$B$2,Raw_Q!$P$2:$P$600,4)/SUMIFS(Raw_Q!$I$2:$I$600,Raw_Q!$A$2:$A$600,Stock_Card!$B$2,Raw_Q!$P$2:$P$600,5)-1)-(SUMIFS(Raw_Q!$I$2:$I$600,Raw_Q!$A$2:$A$600,Stock_Card!$B$2,Raw_Q!$P$2:$P$600,8)/SUMIFS(Raw_Q!$I$2:$I$600,Raw_Q!$A$2:$A$600,Stock_Card!$B$2,Raw_Q!$P$2:$P$600,9)-1))*100,""))</f>
        <v>-1.70604077443983</v>
      </c>
      <c r="I13" s="49" t="n">
        <f aca="false">IF(Stock_Card!$B$2="","",IFERROR((SUMIFS(Raw_Q!$I$2:$I$600,Raw_Q!$A$2:$A$600,Stock_Card!$B$2,Raw_Q!$P$2:$P$600,4)/SUMIFS(Raw_Q!$I$2:$I$600,Raw_Q!$A$2:$A$600,Stock_Card!$B$2,Raw_Q!$P$2:$P$600,8)-1),""))</f>
        <v>0.0793848098598968</v>
      </c>
      <c r="J13" s="49" t="n">
        <f aca="false">IF(Stock_Card!$B$2="","",IFERROR(SUMIFS(Raw_Q!$J$2:$J$600,Raw_Q!$A$2:$A$600,Stock_Card!$B$2,Raw_Q!$P$2:$P$600,4)/SUMIFS(Raw_Q!$I$2:$I$600,Raw_Q!$A$2:$A$600,Stock_Card!$B$2,Raw_Q!$P$2:$P$600,4),""))</f>
        <v>0.471776003747585</v>
      </c>
      <c r="K13" s="50" t="n">
        <f aca="false">IF(Stock_Card!$B$2="","",IFERROR((SUMIFS(Raw_Q!$J$2:$J$600,Raw_Q!$A$2:$A$600,Stock_Card!$B$2,Raw_Q!$P$2:$P$600,4)/SUMIFS(Raw_Q!$I$2:$I$600,Raw_Q!$A$2:$A$600,Stock_Card!$B$2,Raw_Q!$P$2:$P$600,4)-SUMIFS(Raw_Q!$J$2:$J$600,Raw_Q!$A$2:$A$600,Stock_Card!$B$2,Raw_Q!$P$2:$P$600,8)/SUMIFS(Raw_Q!$I$2:$I$600,Raw_Q!$A$2:$A$600,Stock_Card!$B$2,Raw_Q!$P$2:$P$600,8))*10000,""))</f>
        <v>95.5120652858105</v>
      </c>
      <c r="L13" s="51" t="n">
        <f aca="false">IF(Stock_Card!$B$2="","",IFERROR(SUMIFS(Raw_Q!$K$2:$K$600,Raw_Q!$A$2:$A$600,Stock_Card!$B$2,Raw_Q!$P$2:$P$600,4),""))</f>
        <v>1.85</v>
      </c>
      <c r="M13" s="49" t="n">
        <f aca="false">IF(Stock_Card!$B$2="","",IFERROR((SUMIFS(Raw_Q!$K$2:$K$600,Raw_Q!$A$2:$A$600,Stock_Card!$B$2,Raw_Q!$P$2:$P$600,4)/SUMIFS(Raw_Q!$K$2:$K$600,Raw_Q!$A$2:$A$600,Stock_Card!$B$2,Raw_Q!$P$2:$P$600,8)-1),""))</f>
        <v>0.907216494845361</v>
      </c>
      <c r="N13" s="51" t="n">
        <f aca="false">IF(Stock_Card!$B$2="","",IFERROR(SUMIFS(Raw_Q!$N$2:$N$600,Raw_Q!$A$2:$A$600,Stock_Card!$B$2,Raw_Q!$P$2:$P$600,4),""))</f>
        <v>0.26</v>
      </c>
      <c r="O13" s="66" t="str">
        <f aca="false">IF(Stock_Card!$B$2="","",IF(4=0,"預估","實際"))</f>
        <v>實際</v>
      </c>
    </row>
    <row r="14" customFormat="false" ht="15" hidden="false" customHeight="false" outlineLevel="0" collapsed="false">
      <c r="A14" s="66" t="str">
        <f aca="false">IF(Stock_Card!$B$2="","",IFERROR(INDEX(Raw_Q!$B$2:$B$600,MATCH(Stock_Card!$B$2&amp;"|"&amp;3,Raw_Q!$Q$2:$Q$600,0)),""))</f>
        <v>FY2026Q1</v>
      </c>
      <c r="B14" s="67" t="n">
        <f aca="false">IF(Stock_Card!$B$2="","",IFERROR(IF(SUMIFS(Raw_Q!$E$2:$E$600,Raw_Q!$A$2:$A$600,Stock_Card!$B$2,Raw_Q!$P$2:$P$600,3)=0,"",SUMIFS(Raw_Q!$E$2:$E$600,Raw_Q!$A$2:$A$600,Stock_Card!$B$2,Raw_Q!$P$2:$P$600,3)),""))</f>
        <v>46022</v>
      </c>
      <c r="C14" s="48" t="n">
        <f aca="false">IF(Stock_Card!$B$2="","",IFERROR(SUMIFS(Raw_Q!$I$2:$I$600,Raw_Q!$A$2:$A$600,Stock_Card!$B$2,Raw_Q!$P$2:$P$600,3),""))</f>
        <v>143756</v>
      </c>
      <c r="D14" s="49" t="n">
        <f aca="false">IF(Stock_Card!$B$2="","",IFERROR((SUMIFS(Raw_Q!$I$2:$I$600,Raw_Q!$A$2:$A$600,Stock_Card!$B$2,Raw_Q!$P$2:$P$600,3)/SUMIFS(Raw_Q!$I$2:$I$600,Raw_Q!$A$2:$A$600,Stock_Card!$B$2,Raw_Q!$P$2:$P$600,4)-1),""))</f>
        <v>0.402962934046415</v>
      </c>
      <c r="E14" s="49" t="n">
        <f aca="false">IF(Stock_Card!$B$2="","",IFERROR((SUMIFS(Raw_Q!$I$2:$I$600,Raw_Q!$A$2:$A$600,Stock_Card!$B$2,Raw_Q!$P$2:$P$600,4)/SUMIFS(Raw_Q!$I$2:$I$600,Raw_Q!$A$2:$A$600,Stock_Card!$B$2,Raw_Q!$P$2:$P$600,5)-1),""))</f>
        <v>0.0896465183546726</v>
      </c>
      <c r="F14" s="68" t="n">
        <f aca="false">IF(Stock_Card!$B$2="","",IFERROR(((SUMIFS(Raw_Q!$I$2:$I$600,Raw_Q!$A$2:$A$600,Stock_Card!$B$2,Raw_Q!$P$2:$P$600,3)/SUMIFS(Raw_Q!$I$2:$I$600,Raw_Q!$A$2:$A$600,Stock_Card!$B$2,Raw_Q!$P$2:$P$600,4)-1)-(SUMIFS(Raw_Q!$I$2:$I$600,Raw_Q!$A$2:$A$600,Stock_Card!$B$2,Raw_Q!$P$2:$P$600,4)/SUMIFS(Raw_Q!$I$2:$I$600,Raw_Q!$A$2:$A$600,Stock_Card!$B$2,Raw_Q!$P$2:$P$600,5)-1))*100,""))</f>
        <v>31.3316415691743</v>
      </c>
      <c r="G14" s="69" t="str">
        <f aca="false">IF(Stock_Card!$B$2="","",IFERROR(IF(NOT(ISNUMBER(D14)),"",IF(D14&gt;0,IF(F14&gt;0,"成長且加速","成長但減速"),IF(F14&gt;0,"衰退但收斂","衰退且惡化"))),""))</f>
        <v>成長且加速</v>
      </c>
      <c r="H14" s="68" t="n">
        <f aca="false">IF(Stock_Card!$B$2="","",IFERROR(((SUMIFS(Raw_Q!$I$2:$I$600,Raw_Q!$A$2:$A$600,Stock_Card!$B$2,Raw_Q!$P$2:$P$600,3)/SUMIFS(Raw_Q!$I$2:$I$600,Raw_Q!$A$2:$A$600,Stock_Card!$B$2,Raw_Q!$P$2:$P$600,4)-1)-(SUMIFS(Raw_Q!$I$2:$I$600,Raw_Q!$A$2:$A$600,Stock_Card!$B$2,Raw_Q!$P$2:$P$600,7)/SUMIFS(Raw_Q!$I$2:$I$600,Raw_Q!$A$2:$A$600,Stock_Card!$B$2,Raw_Q!$P$2:$P$600,8)-1))*100,""))</f>
        <v>9.35770707787444</v>
      </c>
      <c r="I14" s="49" t="n">
        <f aca="false">IF(Stock_Card!$B$2="","",IFERROR((SUMIFS(Raw_Q!$I$2:$I$600,Raw_Q!$A$2:$A$600,Stock_Card!$B$2,Raw_Q!$P$2:$P$600,3)/SUMIFS(Raw_Q!$I$2:$I$600,Raw_Q!$A$2:$A$600,Stock_Card!$B$2,Raw_Q!$P$2:$P$600,7)-1),""))</f>
        <v>0.156524537409493</v>
      </c>
      <c r="J14" s="49" t="n">
        <f aca="false">IF(Stock_Card!$B$2="","",IFERROR(SUMIFS(Raw_Q!$J$2:$J$600,Raw_Q!$A$2:$A$600,Stock_Card!$B$2,Raw_Q!$P$2:$P$600,3)/SUMIFS(Raw_Q!$I$2:$I$600,Raw_Q!$A$2:$A$600,Stock_Card!$B$2,Raw_Q!$P$2:$P$600,3),""))</f>
        <v>0.481586855505162</v>
      </c>
      <c r="K14" s="50" t="n">
        <f aca="false">IF(Stock_Card!$B$2="","",IFERROR((SUMIFS(Raw_Q!$J$2:$J$600,Raw_Q!$A$2:$A$600,Stock_Card!$B$2,Raw_Q!$P$2:$P$600,3)/SUMIFS(Raw_Q!$I$2:$I$600,Raw_Q!$A$2:$A$600,Stock_Card!$B$2,Raw_Q!$P$2:$P$600,3)-SUMIFS(Raw_Q!$J$2:$J$600,Raw_Q!$A$2:$A$600,Stock_Card!$B$2,Raw_Q!$P$2:$P$600,7)/SUMIFS(Raw_Q!$I$2:$I$600,Raw_Q!$A$2:$A$600,Stock_Card!$B$2,Raw_Q!$P$2:$P$600,7))*10000,""))</f>
        <v>127.614331399161</v>
      </c>
      <c r="L14" s="51" t="n">
        <f aca="false">IF(Stock_Card!$B$2="","",IFERROR(SUMIFS(Raw_Q!$K$2:$K$600,Raw_Q!$A$2:$A$600,Stock_Card!$B$2,Raw_Q!$P$2:$P$600,3),""))</f>
        <v>2.84</v>
      </c>
      <c r="M14" s="49" t="n">
        <f aca="false">IF(Stock_Card!$B$2="","",IFERROR((SUMIFS(Raw_Q!$K$2:$K$600,Raw_Q!$A$2:$A$600,Stock_Card!$B$2,Raw_Q!$P$2:$P$600,3)/SUMIFS(Raw_Q!$K$2:$K$600,Raw_Q!$A$2:$A$600,Stock_Card!$B$2,Raw_Q!$P$2:$P$600,7)-1),""))</f>
        <v>0.183333333333333</v>
      </c>
      <c r="N14" s="51" t="n">
        <f aca="false">IF(Stock_Card!$B$2="","",IFERROR(SUMIFS(Raw_Q!$N$2:$N$600,Raw_Q!$A$2:$A$600,Stock_Card!$B$2,Raw_Q!$P$2:$P$600,3),""))</f>
        <v>0.26</v>
      </c>
      <c r="O14" s="66" t="str">
        <f aca="false">IF(Stock_Card!$B$2="","",IF(3=0,"預估","實際"))</f>
        <v>實際</v>
      </c>
    </row>
    <row r="15" customFormat="false" ht="15" hidden="false" customHeight="false" outlineLevel="0" collapsed="false">
      <c r="A15" s="66" t="str">
        <f aca="false">IF(Stock_Card!$B$2="","",IFERROR(INDEX(Raw_Q!$B$2:$B$600,MATCH(Stock_Card!$B$2&amp;"|"&amp;2,Raw_Q!$Q$2:$Q$600,0)),""))</f>
        <v>FY2026Q2</v>
      </c>
      <c r="B15" s="67" t="n">
        <f aca="false">IF(Stock_Card!$B$2="","",IFERROR(IF(SUMIFS(Raw_Q!$E$2:$E$600,Raw_Q!$A$2:$A$600,Stock_Card!$B$2,Raw_Q!$P$2:$P$600,2)=0,"",SUMIFS(Raw_Q!$E$2:$E$600,Raw_Q!$A$2:$A$600,Stock_Card!$B$2,Raw_Q!$P$2:$P$600,2)),""))</f>
        <v>46112</v>
      </c>
      <c r="C15" s="48" t="n">
        <f aca="false">IF(Stock_Card!$B$2="","",IFERROR(SUMIFS(Raw_Q!$I$2:$I$600,Raw_Q!$A$2:$A$600,Stock_Card!$B$2,Raw_Q!$P$2:$P$600,2),""))</f>
        <v>111184</v>
      </c>
      <c r="D15" s="49" t="n">
        <f aca="false">IF(Stock_Card!$B$2="","",IFERROR((SUMIFS(Raw_Q!$I$2:$I$600,Raw_Q!$A$2:$A$600,Stock_Card!$B$2,Raw_Q!$P$2:$P$600,2)/SUMIFS(Raw_Q!$I$2:$I$600,Raw_Q!$A$2:$A$600,Stock_Card!$B$2,Raw_Q!$P$2:$P$600,3)-1),""))</f>
        <v>-0.226578368902863</v>
      </c>
      <c r="E15" s="49" t="n">
        <f aca="false">IF(Stock_Card!$B$2="","",IFERROR((SUMIFS(Raw_Q!$I$2:$I$600,Raw_Q!$A$2:$A$600,Stock_Card!$B$2,Raw_Q!$P$2:$P$600,3)/SUMIFS(Raw_Q!$I$2:$I$600,Raw_Q!$A$2:$A$600,Stock_Card!$B$2,Raw_Q!$P$2:$P$600,4)-1),""))</f>
        <v>0.402962934046415</v>
      </c>
      <c r="F15" s="68" t="n">
        <f aca="false">IF(Stock_Card!$B$2="","",IFERROR(((SUMIFS(Raw_Q!$I$2:$I$600,Raw_Q!$A$2:$A$600,Stock_Card!$B$2,Raw_Q!$P$2:$P$600,2)/SUMIFS(Raw_Q!$I$2:$I$600,Raw_Q!$A$2:$A$600,Stock_Card!$B$2,Raw_Q!$P$2:$P$600,3)-1)-(SUMIFS(Raw_Q!$I$2:$I$600,Raw_Q!$A$2:$A$600,Stock_Card!$B$2,Raw_Q!$P$2:$P$600,3)/SUMIFS(Raw_Q!$I$2:$I$600,Raw_Q!$A$2:$A$600,Stock_Card!$B$2,Raw_Q!$P$2:$P$600,4)-1))*100,""))</f>
        <v>-62.9541302949279</v>
      </c>
      <c r="G15" s="69" t="str">
        <f aca="false">IF(Stock_Card!$B$2="","",IFERROR(IF(NOT(ISNUMBER(D15)),"",IF(D15&gt;0,IF(F15&gt;0,"成長且加速","成長但減速"),IF(F15&gt;0,"衰退但收斂","衰退且惡化"))),""))</f>
        <v>衰退且惡化</v>
      </c>
      <c r="H15" s="68" t="n">
        <f aca="false">IF(Stock_Card!$B$2="","",IFERROR(((SUMIFS(Raw_Q!$I$2:$I$600,Raw_Q!$A$2:$A$600,Stock_Card!$B$2,Raw_Q!$P$2:$P$600,2)/SUMIFS(Raw_Q!$I$2:$I$600,Raw_Q!$A$2:$A$600,Stock_Card!$B$2,Raw_Q!$P$2:$P$600,3)-1)-(SUMIFS(Raw_Q!$I$2:$I$600,Raw_Q!$A$2:$A$600,Stock_Card!$B$2,Raw_Q!$P$2:$P$600,6)/SUMIFS(Raw_Q!$I$2:$I$600,Raw_Q!$A$2:$A$600,Stock_Card!$B$2,Raw_Q!$P$2:$P$600,7)-1))*100,""))</f>
        <v>0.625348950421645</v>
      </c>
      <c r="I15" s="49" t="n">
        <f aca="false">IF(Stock_Card!$B$2="","",IFERROR((SUMIFS(Raw_Q!$I$2:$I$600,Raw_Q!$A$2:$A$600,Stock_Card!$B$2,Raw_Q!$P$2:$P$600,2)/SUMIFS(Raw_Q!$I$2:$I$600,Raw_Q!$A$2:$A$600,Stock_Card!$B$2,Raw_Q!$P$2:$P$600,6)-1),""))</f>
        <v>0.16595182415923</v>
      </c>
      <c r="J15" s="49" t="n">
        <f aca="false">IF(Stock_Card!$B$2="","",IFERROR(SUMIFS(Raw_Q!$J$2:$J$600,Raw_Q!$A$2:$A$600,Stock_Card!$B$2,Raw_Q!$P$2:$P$600,2)/SUMIFS(Raw_Q!$I$2:$I$600,Raw_Q!$A$2:$A$600,Stock_Card!$B$2,Raw_Q!$P$2:$P$600,2),""))</f>
        <v>0.492705785005037</v>
      </c>
      <c r="K15" s="50" t="n">
        <f aca="false">IF(Stock_Card!$B$2="","",IFERROR((SUMIFS(Raw_Q!$J$2:$J$600,Raw_Q!$A$2:$A$600,Stock_Card!$B$2,Raw_Q!$P$2:$P$600,2)/SUMIFS(Raw_Q!$I$2:$I$600,Raw_Q!$A$2:$A$600,Stock_Card!$B$2,Raw_Q!$P$2:$P$600,2)-SUMIFS(Raw_Q!$J$2:$J$600,Raw_Q!$A$2:$A$600,Stock_Card!$B$2,Raw_Q!$P$2:$P$600,6)/SUMIFS(Raw_Q!$I$2:$I$600,Raw_Q!$A$2:$A$600,Stock_Card!$B$2,Raw_Q!$P$2:$P$600,6))*10000,""))</f>
        <v>221.995926162742</v>
      </c>
      <c r="L15" s="51" t="n">
        <f aca="false">IF(Stock_Card!$B$2="","",IFERROR(SUMIFS(Raw_Q!$K$2:$K$600,Raw_Q!$A$2:$A$600,Stock_Card!$B$2,Raw_Q!$P$2:$P$600,2),""))</f>
        <v>2.01</v>
      </c>
      <c r="M15" s="49" t="n">
        <f aca="false">IF(Stock_Card!$B$2="","",IFERROR((SUMIFS(Raw_Q!$K$2:$K$600,Raw_Q!$A$2:$A$600,Stock_Card!$B$2,Raw_Q!$P$2:$P$600,2)/SUMIFS(Raw_Q!$K$2:$K$600,Raw_Q!$A$2:$A$600,Stock_Card!$B$2,Raw_Q!$P$2:$P$600,6)-1),""))</f>
        <v>0.218181818181818</v>
      </c>
      <c r="N15" s="51" t="n">
        <f aca="false">IF(Stock_Card!$B$2="","",IFERROR(SUMIFS(Raw_Q!$N$2:$N$600,Raw_Q!$A$2:$A$600,Stock_Card!$B$2,Raw_Q!$P$2:$P$600,2),""))</f>
        <v>0.26</v>
      </c>
      <c r="O15" s="66" t="str">
        <f aca="false">IF(Stock_Card!$B$2="","",IF(2=0,"預估","實際"))</f>
        <v>實際</v>
      </c>
    </row>
    <row r="16" customFormat="false" ht="15" hidden="false" customHeight="false" outlineLevel="0" collapsed="false">
      <c r="A16" s="66" t="str">
        <f aca="false">IF(Stock_Card!$B$2="","",IFERROR(INDEX(Raw_Q!$B$2:$B$600,MATCH(Stock_Card!$B$2&amp;"|"&amp;1,Raw_Q!$Q$2:$Q$600,0)),""))</f>
        <v>FY2026Q3</v>
      </c>
      <c r="B16" s="67" t="n">
        <f aca="false">IF(Stock_Card!$B$2="","",IFERROR(IF(SUMIFS(Raw_Q!$E$2:$E$600,Raw_Q!$A$2:$A$600,Stock_Card!$B$2,Raw_Q!$P$2:$P$600,1)=0,"",SUMIFS(Raw_Q!$E$2:$E$600,Raw_Q!$A$2:$A$600,Stock_Card!$B$2,Raw_Q!$P$2:$P$600,1)),""))</f>
        <v>46203</v>
      </c>
      <c r="C16" s="48" t="n">
        <f aca="false">IF(Stock_Card!$B$2="","",IFERROR(SUMIFS(Raw_Q!$I$2:$I$600,Raw_Q!$A$2:$A$600,Stock_Card!$B$2,Raw_Q!$P$2:$P$600,1),""))</f>
        <v>109417</v>
      </c>
      <c r="D16" s="49" t="n">
        <f aca="false">IF(Stock_Card!$B$2="","",IFERROR((SUMIFS(Raw_Q!$I$2:$I$600,Raw_Q!$A$2:$A$600,Stock_Card!$B$2,Raw_Q!$P$2:$P$600,1)/SUMIFS(Raw_Q!$I$2:$I$600,Raw_Q!$A$2:$A$600,Stock_Card!$B$2,Raw_Q!$P$2:$P$600,2)-1),""))</f>
        <v>-0.0158925744711469</v>
      </c>
      <c r="E16" s="49" t="n">
        <f aca="false">IF(Stock_Card!$B$2="","",IFERROR((SUMIFS(Raw_Q!$I$2:$I$600,Raw_Q!$A$2:$A$600,Stock_Card!$B$2,Raw_Q!$P$2:$P$600,2)/SUMIFS(Raw_Q!$I$2:$I$600,Raw_Q!$A$2:$A$600,Stock_Card!$B$2,Raw_Q!$P$2:$P$600,3)-1),""))</f>
        <v>-0.226578368902863</v>
      </c>
      <c r="F16" s="68" t="n">
        <f aca="false">IF(Stock_Card!$B$2="","",IFERROR(((SUMIFS(Raw_Q!$I$2:$I$600,Raw_Q!$A$2:$A$600,Stock_Card!$B$2,Raw_Q!$P$2:$P$600,1)/SUMIFS(Raw_Q!$I$2:$I$600,Raw_Q!$A$2:$A$600,Stock_Card!$B$2,Raw_Q!$P$2:$P$600,2)-1)-(SUMIFS(Raw_Q!$I$2:$I$600,Raw_Q!$A$2:$A$600,Stock_Card!$B$2,Raw_Q!$P$2:$P$600,2)/SUMIFS(Raw_Q!$I$2:$I$600,Raw_Q!$A$2:$A$600,Stock_Card!$B$2,Raw_Q!$P$2:$P$600,3)-1))*100,""))</f>
        <v>21.0685794431716</v>
      </c>
      <c r="G16" s="69" t="str">
        <f aca="false">IF(Stock_Card!$B$2="","",IFERROR(IF(NOT(ISNUMBER(D16)),"",IF(D16&gt;0,IF(F16&gt;0,"成長且加速","成長但減速"),IF(F16&gt;0,"衰退但收斂","衰退且惡化"))),""))</f>
        <v>衰退但收斂</v>
      </c>
      <c r="H16" s="68" t="n">
        <f aca="false">IF(Stock_Card!$B$2="","",IFERROR(((SUMIFS(Raw_Q!$I$2:$I$600,Raw_Q!$A$2:$A$600,Stock_Card!$B$2,Raw_Q!$P$2:$P$600,1)/SUMIFS(Raw_Q!$I$2:$I$600,Raw_Q!$A$2:$A$600,Stock_Card!$B$2,Raw_Q!$P$2:$P$600,2)-1)-(SUMIFS(Raw_Q!$I$2:$I$600,Raw_Q!$A$2:$A$600,Stock_Card!$B$2,Raw_Q!$P$2:$P$600,5)/SUMIFS(Raw_Q!$I$2:$I$600,Raw_Q!$A$2:$A$600,Stock_Card!$B$2,Raw_Q!$P$2:$P$600,6)-1))*100,""))</f>
        <v>-0.201868737082078</v>
      </c>
      <c r="I16" s="49" t="n">
        <f aca="false">IF(Stock_Card!$B$2="","",IFERROR((SUMIFS(Raw_Q!$I$2:$I$600,Raw_Q!$A$2:$A$600,Stock_Card!$B$2,Raw_Q!$P$2:$P$600,1)/SUMIFS(Raw_Q!$I$2:$I$600,Raw_Q!$A$2:$A$600,Stock_Card!$B$2,Raw_Q!$P$2:$P$600,5)-1),""))</f>
        <v>0.163565017652814</v>
      </c>
      <c r="J16" s="49" t="n">
        <f aca="false">IF(Stock_Card!$B$2="","",IFERROR(SUMIFS(Raw_Q!$J$2:$J$600,Raw_Q!$A$2:$A$600,Stock_Card!$B$2,Raw_Q!$P$2:$P$600,1)/SUMIFS(Raw_Q!$I$2:$I$600,Raw_Q!$A$2:$A$600,Stock_Card!$B$2,Raw_Q!$P$2:$P$600,1),""))</f>
        <v>0.500562069879452</v>
      </c>
      <c r="K16" s="50" t="n">
        <f aca="false">IF(Stock_Card!$B$2="","",IFERROR((SUMIFS(Raw_Q!$J$2:$J$600,Raw_Q!$A$2:$A$600,Stock_Card!$B$2,Raw_Q!$P$2:$P$600,1)/SUMIFS(Raw_Q!$I$2:$I$600,Raw_Q!$A$2:$A$600,Stock_Card!$B$2,Raw_Q!$P$2:$P$600,1)-SUMIFS(Raw_Q!$J$2:$J$600,Raw_Q!$A$2:$A$600,Stock_Card!$B$2,Raw_Q!$P$2:$P$600,5)/SUMIFS(Raw_Q!$I$2:$I$600,Raw_Q!$A$2:$A$600,Stock_Card!$B$2,Raw_Q!$P$2:$P$600,5))*10000,""))</f>
        <v>356.550130076156</v>
      </c>
      <c r="L16" s="51" t="n">
        <f aca="false">IF(Stock_Card!$B$2="","",IFERROR(SUMIFS(Raw_Q!$K$2:$K$600,Raw_Q!$A$2:$A$600,Stock_Card!$B$2,Raw_Q!$P$2:$P$600,1),""))</f>
        <v>2.02</v>
      </c>
      <c r="M16" s="49" t="n">
        <f aca="false">IF(Stock_Card!$B$2="","",IFERROR((SUMIFS(Raw_Q!$K$2:$K$600,Raw_Q!$A$2:$A$600,Stock_Card!$B$2,Raw_Q!$P$2:$P$600,1)/SUMIFS(Raw_Q!$K$2:$K$600,Raw_Q!$A$2:$A$600,Stock_Card!$B$2,Raw_Q!$P$2:$P$600,5)-1),""))</f>
        <v>0.286624203821656</v>
      </c>
      <c r="N16" s="51" t="n">
        <f aca="false">IF(Stock_Card!$B$2="","",IFERROR(SUMIFS(Raw_Q!$N$2:$N$600,Raw_Q!$A$2:$A$600,Stock_Card!$B$2,Raw_Q!$P$2:$P$600,1),""))</f>
        <v>0.27</v>
      </c>
      <c r="O16" s="66" t="str">
        <f aca="false">IF(Stock_Card!$B$2="","",IF(1=0,"預估","實際"))</f>
        <v>實際</v>
      </c>
    </row>
    <row r="17" customFormat="false" ht="15" hidden="false" customHeight="false" outlineLevel="0" collapsed="false">
      <c r="A17" s="66" t="str">
        <f aca="false">IF(Stock_Card!$B$2="","",IFERROR(INDEX(Raw_Q!$B$2:$B$600,MATCH(Stock_Card!$B$2&amp;"|"&amp;0,Raw_Q!$Q$2:$Q$600,0)),""))</f>
        <v>FY2026Q4E</v>
      </c>
      <c r="B17" s="67" t="n">
        <f aca="false">IF(Stock_Card!$B$2="","",IFERROR(IF(SUMIFS(Raw_Q!$E$2:$E$600,Raw_Q!$A$2:$A$600,Stock_Card!$B$2,Raw_Q!$P$2:$P$600,0)=0,"",SUMIFS(Raw_Q!$E$2:$E$600,Raw_Q!$A$2:$A$600,Stock_Card!$B$2,Raw_Q!$P$2:$P$600,0)),""))</f>
        <v>46294</v>
      </c>
      <c r="C17" s="48" t="n">
        <f aca="false">IF(Stock_Card!$B$2="","",IFERROR(SUMIFS(Raw_Q!$I$2:$I$600,Raw_Q!$A$2:$A$600,Stock_Card!$B$2,Raw_Q!$P$2:$P$600,0),""))</f>
        <v>0</v>
      </c>
      <c r="D17" s="49" t="n">
        <f aca="false">IF(Stock_Card!$B$2="","",IFERROR((SUMIFS(Raw_Q!$I$2:$I$600,Raw_Q!$A$2:$A$600,Stock_Card!$B$2,Raw_Q!$P$2:$P$600,0)/SUMIFS(Raw_Q!$I$2:$I$600,Raw_Q!$A$2:$A$600,Stock_Card!$B$2,Raw_Q!$P$2:$P$600,1)-1),""))</f>
        <v>-1</v>
      </c>
      <c r="E17" s="49" t="n">
        <f aca="false">IF(Stock_Card!$B$2="","",IFERROR((SUMIFS(Raw_Q!$I$2:$I$600,Raw_Q!$A$2:$A$600,Stock_Card!$B$2,Raw_Q!$P$2:$P$600,1)/SUMIFS(Raw_Q!$I$2:$I$600,Raw_Q!$A$2:$A$600,Stock_Card!$B$2,Raw_Q!$P$2:$P$600,2)-1),""))</f>
        <v>-0.0158925744711469</v>
      </c>
      <c r="F17" s="68" t="n">
        <f aca="false">IF(Stock_Card!$B$2="","",IFERROR(((SUMIFS(Raw_Q!$I$2:$I$600,Raw_Q!$A$2:$A$600,Stock_Card!$B$2,Raw_Q!$P$2:$P$600,0)/SUMIFS(Raw_Q!$I$2:$I$600,Raw_Q!$A$2:$A$600,Stock_Card!$B$2,Raw_Q!$P$2:$P$600,1)-1)-(SUMIFS(Raw_Q!$I$2:$I$600,Raw_Q!$A$2:$A$600,Stock_Card!$B$2,Raw_Q!$P$2:$P$600,1)/SUMIFS(Raw_Q!$I$2:$I$600,Raw_Q!$A$2:$A$600,Stock_Card!$B$2,Raw_Q!$P$2:$P$600,2)-1))*100,""))</f>
        <v>-98.4107425528853</v>
      </c>
      <c r="G17" s="69" t="str">
        <f aca="false">IF(Stock_Card!$B$2="","",IFERROR(IF(NOT(ISNUMBER(D17)),"",IF(D17&gt;0,IF(F17&gt;0,"成長且加速","成長但減速"),IF(F17&gt;0,"衰退但收斂","衰退且惡化"))),""))</f>
        <v>衰退且惡化</v>
      </c>
      <c r="H17" s="68" t="n">
        <f aca="false">IF(Stock_Card!$B$2="","",IFERROR(((SUMIFS(Raw_Q!$I$2:$I$600,Raw_Q!$A$2:$A$600,Stock_Card!$B$2,Raw_Q!$P$2:$P$600,0)/SUMIFS(Raw_Q!$I$2:$I$600,Raw_Q!$A$2:$A$600,Stock_Card!$B$2,Raw_Q!$P$2:$P$600,1)-1)-(SUMIFS(Raw_Q!$I$2:$I$600,Raw_Q!$A$2:$A$600,Stock_Card!$B$2,Raw_Q!$P$2:$P$600,4)/SUMIFS(Raw_Q!$I$2:$I$600,Raw_Q!$A$2:$A$600,Stock_Card!$B$2,Raw_Q!$P$2:$P$600,5)-1))*100,""))</f>
        <v>-108.964651835467</v>
      </c>
      <c r="I17" s="49" t="n">
        <f aca="false">IF(Stock_Card!$B$2="","",IFERROR((SUMIFS(Raw_Q!$I$2:$I$600,Raw_Q!$A$2:$A$600,Stock_Card!$B$2,Raw_Q!$P$2:$P$600,0)/SUMIFS(Raw_Q!$I$2:$I$600,Raw_Q!$A$2:$A$600,Stock_Card!$B$2,Raw_Q!$P$2:$P$600,4)-1),""))</f>
        <v>-1</v>
      </c>
      <c r="J17" s="49" t="str">
        <f aca="false">IF(Stock_Card!$B$2="","",IFERROR(SUMIFS(Raw_Q!$J$2:$J$600,Raw_Q!$A$2:$A$600,Stock_Card!$B$2,Raw_Q!$P$2:$P$600,0)/SUMIFS(Raw_Q!$I$2:$I$600,Raw_Q!$A$2:$A$600,Stock_Card!$B$2,Raw_Q!$P$2:$P$600,0),""))</f>
        <v/>
      </c>
      <c r="K17" s="50" t="str">
        <f aca="false">IF(Stock_Card!$B$2="","",IFERROR((SUMIFS(Raw_Q!$J$2:$J$600,Raw_Q!$A$2:$A$600,Stock_Card!$B$2,Raw_Q!$P$2:$P$600,0)/SUMIFS(Raw_Q!$I$2:$I$600,Raw_Q!$A$2:$A$600,Stock_Card!$B$2,Raw_Q!$P$2:$P$600,0)-SUMIFS(Raw_Q!$J$2:$J$600,Raw_Q!$A$2:$A$600,Stock_Card!$B$2,Raw_Q!$P$2:$P$600,4)/SUMIFS(Raw_Q!$I$2:$I$600,Raw_Q!$A$2:$A$600,Stock_Card!$B$2,Raw_Q!$P$2:$P$600,4))*10000,""))</f>
        <v/>
      </c>
      <c r="L17" s="51" t="n">
        <f aca="false">IF(Stock_Card!$B$2="","",IFERROR(SUMIFS(Raw_Q!$K$2:$K$600,Raw_Q!$A$2:$A$600,Stock_Card!$B$2,Raw_Q!$P$2:$P$600,0),""))</f>
        <v>1.97656</v>
      </c>
      <c r="M17" s="49" t="n">
        <f aca="false">IF(Stock_Card!$B$2="","",IFERROR((SUMIFS(Raw_Q!$K$2:$K$600,Raw_Q!$A$2:$A$600,Stock_Card!$B$2,Raw_Q!$P$2:$P$600,0)/SUMIFS(Raw_Q!$K$2:$K$600,Raw_Q!$A$2:$A$600,Stock_Card!$B$2,Raw_Q!$P$2:$P$600,4)-1),""))</f>
        <v>0.0684108108108108</v>
      </c>
      <c r="N17" s="51" t="n">
        <f aca="false">IF(Stock_Card!$B$2="","",IFERROR(SUMIFS(Raw_Q!$N$2:$N$600,Raw_Q!$A$2:$A$600,Stock_Card!$B$2,Raw_Q!$P$2:$P$600,0),""))</f>
        <v>0</v>
      </c>
      <c r="O17" s="66" t="str">
        <f aca="false">IF(Stock_Card!$B$2="","",IF(0=0,"預估","實際"))</f>
        <v>預估</v>
      </c>
    </row>
    <row r="18" customFormat="false" ht="15" hidden="false" customHeight="false" outlineLevel="0" collapsed="false">
      <c r="A18" s="24" t="s">
        <v>142</v>
      </c>
    </row>
    <row r="19" customFormat="false" ht="15" hidden="false" customHeight="false" outlineLevel="0" collapsed="false">
      <c r="A19" s="24" t="s">
        <v>143</v>
      </c>
    </row>
    <row r="21" customFormat="false" ht="15" hidden="false" customHeight="false" outlineLevel="0" collapsed="false">
      <c r="A21" s="24" t="s">
        <v>144</v>
      </c>
    </row>
    <row r="22" customFormat="false" ht="15" hidden="false" customHeight="false" outlineLevel="0" collapsed="false">
      <c r="A22" s="70" t="s">
        <v>145</v>
      </c>
    </row>
    <row r="23" customFormat="false" ht="31.5" hidden="false" customHeight="true" outlineLevel="0" collapsed="false">
      <c r="A23" s="15" t="s">
        <v>112</v>
      </c>
      <c r="B23" s="14" t="s">
        <v>146</v>
      </c>
      <c r="C23" s="14" t="s">
        <v>147</v>
      </c>
      <c r="D23" s="14" t="s">
        <v>148</v>
      </c>
      <c r="E23" s="14" t="s">
        <v>149</v>
      </c>
      <c r="F23" s="14" t="s">
        <v>150</v>
      </c>
      <c r="G23" s="14" t="s">
        <v>151</v>
      </c>
    </row>
    <row r="24" customFormat="false" ht="15" hidden="false" customHeight="false" outlineLevel="0" collapsed="false">
      <c r="A24" s="46" t="n">
        <f aca="false">IF(Stock_Card!$B$2="","",IFERROR($Z$1-4,""))</f>
        <v>2022</v>
      </c>
      <c r="B24" s="71" t="n">
        <f aca="false">IF(Stock_Card!$B$2="","",IF(COUNTIFS(Raw_Q!$A$2:$A$600,Stock_Card!$B$2,Raw_Q!$C$2:$C$600,$A24,Raw_Q!$D$2:$D$600,1)=0,"",SUMIFS(Raw_Q!$K$2:$K$600,Raw_Q!$A$2:$A$600,Stock_Card!$B$2,Raw_Q!$C$2:$C$600,$A24,Raw_Q!$D$2:$D$600,1)))</f>
        <v>2.1</v>
      </c>
      <c r="C24" s="71" t="n">
        <f aca="false">IF(Stock_Card!$B$2="","",IF(COUNTIFS(Raw_Q!$A$2:$A$600,Stock_Card!$B$2,Raw_Q!$C$2:$C$600,$A24,Raw_Q!$D$2:$D$600,2)=0,"",SUMIFS(Raw_Q!$K$2:$K$600,Raw_Q!$A$2:$A$600,Stock_Card!$B$2,Raw_Q!$C$2:$C$600,$A24,Raw_Q!$D$2:$D$600,2)))</f>
        <v>1.52</v>
      </c>
      <c r="D24" s="71" t="n">
        <f aca="false">IF(Stock_Card!$B$2="","",IF(COUNTIFS(Raw_Q!$A$2:$A$600,Stock_Card!$B$2,Raw_Q!$C$2:$C$600,$A24,Raw_Q!$D$2:$D$600,3)=0,"",SUMIFS(Raw_Q!$K$2:$K$600,Raw_Q!$A$2:$A$600,Stock_Card!$B$2,Raw_Q!$C$2:$C$600,$A24,Raw_Q!$D$2:$D$600,3)))</f>
        <v>1.2</v>
      </c>
      <c r="E24" s="71" t="n">
        <f aca="false">IF(Stock_Card!$B$2="","",IF(COUNTIFS(Raw_Q!$A$2:$A$600,Stock_Card!$B$2,Raw_Q!$C$2:$C$600,$A24,Raw_Q!$D$2:$D$600,4)=0,"",SUMIFS(Raw_Q!$K$2:$K$600,Raw_Q!$A$2:$A$600,Stock_Card!$B$2,Raw_Q!$C$2:$C$600,$A24,Raw_Q!$D$2:$D$600,4)))</f>
        <v>1.29</v>
      </c>
      <c r="F24" s="72" t="n">
        <f aca="false">IF(Stock_Card!$B$2="","",IF(COUNTIFS(Raw_Q!$A$2:$A$600,Stock_Card!$B$2,Raw_Q!$C$2:$C$600,$A24)&lt;4,"未滿4季",SUM(B24:E24)))</f>
        <v>6.11</v>
      </c>
    </row>
    <row r="25" customFormat="false" ht="15" hidden="false" customHeight="false" outlineLevel="0" collapsed="false">
      <c r="A25" s="46" t="n">
        <f aca="false">IF(Stock_Card!$B$2="","",IFERROR($Z$1-3,""))</f>
        <v>2023</v>
      </c>
      <c r="B25" s="71" t="n">
        <f aca="false">IF(Stock_Card!$B$2="","",IF(COUNTIFS(Raw_Q!$A$2:$A$600,Stock_Card!$B$2,Raw_Q!$C$2:$C$600,$A25,Raw_Q!$D$2:$D$600,1)=0,"",SUMIFS(Raw_Q!$K$2:$K$600,Raw_Q!$A$2:$A$600,Stock_Card!$B$2,Raw_Q!$C$2:$C$600,$A25,Raw_Q!$D$2:$D$600,1)))</f>
        <v>1.88</v>
      </c>
      <c r="C25" s="71" t="n">
        <f aca="false">IF(Stock_Card!$B$2="","",IF(COUNTIFS(Raw_Q!$A$2:$A$600,Stock_Card!$B$2,Raw_Q!$C$2:$C$600,$A25,Raw_Q!$D$2:$D$600,2)=0,"",SUMIFS(Raw_Q!$K$2:$K$600,Raw_Q!$A$2:$A$600,Stock_Card!$B$2,Raw_Q!$C$2:$C$600,$A25,Raw_Q!$D$2:$D$600,2)))</f>
        <v>1.52</v>
      </c>
      <c r="D25" s="71" t="n">
        <f aca="false">IF(Stock_Card!$B$2="","",IF(COUNTIFS(Raw_Q!$A$2:$A$600,Stock_Card!$B$2,Raw_Q!$C$2:$C$600,$A25,Raw_Q!$D$2:$D$600,3)=0,"",SUMIFS(Raw_Q!$K$2:$K$600,Raw_Q!$A$2:$A$600,Stock_Card!$B$2,Raw_Q!$C$2:$C$600,$A25,Raw_Q!$D$2:$D$600,3)))</f>
        <v>1.26</v>
      </c>
      <c r="E25" s="71" t="n">
        <f aca="false">IF(Stock_Card!$B$2="","",IF(COUNTIFS(Raw_Q!$A$2:$A$600,Stock_Card!$B$2,Raw_Q!$C$2:$C$600,$A25,Raw_Q!$D$2:$D$600,4)=0,"",SUMIFS(Raw_Q!$K$2:$K$600,Raw_Q!$A$2:$A$600,Stock_Card!$B$2,Raw_Q!$C$2:$C$600,$A25,Raw_Q!$D$2:$D$600,4)))</f>
        <v>1.46</v>
      </c>
      <c r="F25" s="72" t="n">
        <f aca="false">IF(Stock_Card!$B$2="","",IF(COUNTIFS(Raw_Q!$A$2:$A$600,Stock_Card!$B$2,Raw_Q!$C$2:$C$600,$A25)&lt;4,"未滿4季",SUM(B25:E25)))</f>
        <v>6.12</v>
      </c>
      <c r="G25" s="49" t="n">
        <f aca="false">IFERROR(IF(OR(NOT(ISNUMBER(F25)),NOT(ISNUMBER(F24))),"",F25/F24-1),"")</f>
        <v>0.00163666121112915</v>
      </c>
    </row>
    <row r="26" customFormat="false" ht="15" hidden="false" customHeight="false" outlineLevel="0" collapsed="false">
      <c r="A26" s="46" t="n">
        <f aca="false">IF(Stock_Card!$B$2="","",IFERROR($Z$1-2,""))</f>
        <v>2024</v>
      </c>
      <c r="B26" s="71" t="n">
        <f aca="false">IF(Stock_Card!$B$2="","",IF(COUNTIFS(Raw_Q!$A$2:$A$600,Stock_Card!$B$2,Raw_Q!$C$2:$C$600,$A26,Raw_Q!$D$2:$D$600,1)=0,"",SUMIFS(Raw_Q!$K$2:$K$600,Raw_Q!$A$2:$A$600,Stock_Card!$B$2,Raw_Q!$C$2:$C$600,$A26,Raw_Q!$D$2:$D$600,1)))</f>
        <v>2.18</v>
      </c>
      <c r="C26" s="71" t="n">
        <f aca="false">IF(Stock_Card!$B$2="","",IF(COUNTIFS(Raw_Q!$A$2:$A$600,Stock_Card!$B$2,Raw_Q!$C$2:$C$600,$A26,Raw_Q!$D$2:$D$600,2)=0,"",SUMIFS(Raw_Q!$K$2:$K$600,Raw_Q!$A$2:$A$600,Stock_Card!$B$2,Raw_Q!$C$2:$C$600,$A26,Raw_Q!$D$2:$D$600,2)))</f>
        <v>1.53</v>
      </c>
      <c r="D26" s="71" t="n">
        <f aca="false">IF(Stock_Card!$B$2="","",IF(COUNTIFS(Raw_Q!$A$2:$A$600,Stock_Card!$B$2,Raw_Q!$C$2:$C$600,$A26,Raw_Q!$D$2:$D$600,3)=0,"",SUMIFS(Raw_Q!$K$2:$K$600,Raw_Q!$A$2:$A$600,Stock_Card!$B$2,Raw_Q!$C$2:$C$600,$A26,Raw_Q!$D$2:$D$600,3)))</f>
        <v>1.4</v>
      </c>
      <c r="E26" s="71" t="n">
        <f aca="false">IF(Stock_Card!$B$2="","",IF(COUNTIFS(Raw_Q!$A$2:$A$600,Stock_Card!$B$2,Raw_Q!$C$2:$C$600,$A26,Raw_Q!$D$2:$D$600,4)=0,"",SUMIFS(Raw_Q!$K$2:$K$600,Raw_Q!$A$2:$A$600,Stock_Card!$B$2,Raw_Q!$C$2:$C$600,$A26,Raw_Q!$D$2:$D$600,4)))</f>
        <v>0.97</v>
      </c>
      <c r="F26" s="72" t="n">
        <f aca="false">IF(Stock_Card!$B$2="","",IF(COUNTIFS(Raw_Q!$A$2:$A$600,Stock_Card!$B$2,Raw_Q!$C$2:$C$600,$A26)&lt;4,"未滿4季",SUM(B26:E26)))</f>
        <v>6.08</v>
      </c>
      <c r="G26" s="49" t="n">
        <f aca="false">IFERROR(IF(OR(NOT(ISNUMBER(F26)),NOT(ISNUMBER(F25))),"",F26/F25-1),"")</f>
        <v>-0.00653594771241828</v>
      </c>
    </row>
    <row r="27" customFormat="false" ht="15" hidden="false" customHeight="false" outlineLevel="0" collapsed="false">
      <c r="A27" s="46" t="n">
        <f aca="false">IF(Stock_Card!$B$2="","",IFERROR($Z$1-1,""))</f>
        <v>2025</v>
      </c>
      <c r="B27" s="71" t="n">
        <f aca="false">IF(Stock_Card!$B$2="","",IF(COUNTIFS(Raw_Q!$A$2:$A$600,Stock_Card!$B$2,Raw_Q!$C$2:$C$600,$A27,Raw_Q!$D$2:$D$600,1)=0,"",SUMIFS(Raw_Q!$K$2:$K$600,Raw_Q!$A$2:$A$600,Stock_Card!$B$2,Raw_Q!$C$2:$C$600,$A27,Raw_Q!$D$2:$D$600,1)))</f>
        <v>2.4</v>
      </c>
      <c r="C27" s="71" t="n">
        <f aca="false">IF(Stock_Card!$B$2="","",IF(COUNTIFS(Raw_Q!$A$2:$A$600,Stock_Card!$B$2,Raw_Q!$C$2:$C$600,$A27,Raw_Q!$D$2:$D$600,2)=0,"",SUMIFS(Raw_Q!$K$2:$K$600,Raw_Q!$A$2:$A$600,Stock_Card!$B$2,Raw_Q!$C$2:$C$600,$A27,Raw_Q!$D$2:$D$600,2)))</f>
        <v>1.65</v>
      </c>
      <c r="D27" s="71" t="n">
        <f aca="false">IF(Stock_Card!$B$2="","",IF(COUNTIFS(Raw_Q!$A$2:$A$600,Stock_Card!$B$2,Raw_Q!$C$2:$C$600,$A27,Raw_Q!$D$2:$D$600,3)=0,"",SUMIFS(Raw_Q!$K$2:$K$600,Raw_Q!$A$2:$A$600,Stock_Card!$B$2,Raw_Q!$C$2:$C$600,$A27,Raw_Q!$D$2:$D$600,3)))</f>
        <v>1.57</v>
      </c>
      <c r="E27" s="71" t="n">
        <f aca="false">IF(Stock_Card!$B$2="","",IF(COUNTIFS(Raw_Q!$A$2:$A$600,Stock_Card!$B$2,Raw_Q!$C$2:$C$600,$A27,Raw_Q!$D$2:$D$600,4)=0,"",SUMIFS(Raw_Q!$K$2:$K$600,Raw_Q!$A$2:$A$600,Stock_Card!$B$2,Raw_Q!$C$2:$C$600,$A27,Raw_Q!$D$2:$D$600,4)))</f>
        <v>1.85</v>
      </c>
      <c r="F27" s="72" t="n">
        <f aca="false">IF(Stock_Card!$B$2="","",IF(COUNTIFS(Raw_Q!$A$2:$A$600,Stock_Card!$B$2,Raw_Q!$C$2:$C$600,$A27)&lt;4,"未滿4季",SUM(B27:E27)))</f>
        <v>7.47</v>
      </c>
      <c r="G27" s="49" t="n">
        <f aca="false">IFERROR(IF(OR(NOT(ISNUMBER(F27)),NOT(ISNUMBER(F26))),"",F27/F26-1),"")</f>
        <v>0.228618421052632</v>
      </c>
    </row>
    <row r="28" customFormat="false" ht="15" hidden="false" customHeight="false" outlineLevel="0" collapsed="false">
      <c r="A28" s="46" t="n">
        <f aca="false">IF(Stock_Card!$B$2="","",IFERROR($Z$1-0,""))</f>
        <v>2026</v>
      </c>
      <c r="B28" s="71" t="n">
        <f aca="false">IF(Stock_Card!$B$2="","",IF(COUNTIFS(Raw_Q!$A$2:$A$600,Stock_Card!$B$2,Raw_Q!$C$2:$C$600,$A28,Raw_Q!$D$2:$D$600,1)=0,"",SUMIFS(Raw_Q!$K$2:$K$600,Raw_Q!$A$2:$A$600,Stock_Card!$B$2,Raw_Q!$C$2:$C$600,$A28,Raw_Q!$D$2:$D$600,1)))</f>
        <v>2.84</v>
      </c>
      <c r="C28" s="71" t="n">
        <f aca="false">IF(Stock_Card!$B$2="","",IF(COUNTIFS(Raw_Q!$A$2:$A$600,Stock_Card!$B$2,Raw_Q!$C$2:$C$600,$A28,Raw_Q!$D$2:$D$600,2)=0,"",SUMIFS(Raw_Q!$K$2:$K$600,Raw_Q!$A$2:$A$600,Stock_Card!$B$2,Raw_Q!$C$2:$C$600,$A28,Raw_Q!$D$2:$D$600,2)))</f>
        <v>2.01</v>
      </c>
      <c r="D28" s="71" t="n">
        <f aca="false">IF(Stock_Card!$B$2="","",IF(COUNTIFS(Raw_Q!$A$2:$A$600,Stock_Card!$B$2,Raw_Q!$C$2:$C$600,$A28,Raw_Q!$D$2:$D$600,3)=0,"",SUMIFS(Raw_Q!$K$2:$K$600,Raw_Q!$A$2:$A$600,Stock_Card!$B$2,Raw_Q!$C$2:$C$600,$A28,Raw_Q!$D$2:$D$600,3)))</f>
        <v>2.02</v>
      </c>
      <c r="E28" s="71" t="n">
        <f aca="false">IF(Stock_Card!$B$2="","",IF(COUNTIFS(Raw_Q!$A$2:$A$600,Stock_Card!$B$2,Raw_Q!$C$2:$C$600,$A28,Raw_Q!$D$2:$D$600,4)=0,"",SUMIFS(Raw_Q!$K$2:$K$600,Raw_Q!$A$2:$A$600,Stock_Card!$B$2,Raw_Q!$C$2:$C$600,$A28,Raw_Q!$D$2:$D$600,4)))</f>
        <v>1.97656</v>
      </c>
      <c r="F28" s="72" t="n">
        <f aca="false">IF(Stock_Card!$B$2="","",IF(COUNTIFS(Raw_Q!$A$2:$A$600,Stock_Card!$B$2,Raw_Q!$C$2:$C$600,$A28)&lt;4,"未滿4季",SUM(B28:E28)))</f>
        <v>8.84656</v>
      </c>
      <c r="G28" s="49" t="n">
        <f aca="false">IFERROR(IF(OR(NOT(ISNUMBER(F28)),NOT(ISNUMBER(F27))),"",F28/F27-1),"")</f>
        <v>0.184278447121821</v>
      </c>
    </row>
    <row r="30" customFormat="false" ht="15" hidden="false" customHeight="false" outlineLevel="0" collapsed="false">
      <c r="A30" s="24" t="s">
        <v>152</v>
      </c>
    </row>
    <row r="31" customFormat="false" ht="15" hidden="false" customHeight="false" outlineLevel="0" collapsed="false">
      <c r="A31" s="41" t="s">
        <v>153</v>
      </c>
    </row>
    <row r="32" customFormat="false" ht="31.5" hidden="false" customHeight="true" outlineLevel="0" collapsed="false">
      <c r="A32" s="15" t="s">
        <v>112</v>
      </c>
      <c r="B32" s="14" t="s">
        <v>146</v>
      </c>
      <c r="C32" s="14" t="s">
        <v>147</v>
      </c>
      <c r="D32" s="14" t="s">
        <v>148</v>
      </c>
      <c r="E32" s="14" t="s">
        <v>149</v>
      </c>
    </row>
    <row r="33" customFormat="false" ht="15" hidden="false" customHeight="false" outlineLevel="0" collapsed="false">
      <c r="A33" s="46" t="n">
        <f aca="false">IF(Stock_Card!$B$2="","",IFERROR($Z$1-4,""))</f>
        <v>2022</v>
      </c>
      <c r="B33" s="61" t="n">
        <f aca="false">IF(Stock_Card!$B$2="","",IF(COUNTIFS(Raw_Q!$A$2:$A$600,Stock_Card!$B$2,Raw_Q!$C$2:$C$600,$A33,Raw_Q!$D$2:$D$600,1)=0,"",IFERROR(SUMIFS(Raw_Q!$I$2:$I$600,Raw_Q!$A$2:$A$600,Stock_Card!$B$2,Raw_Q!$C$2:$C$600,$A33,Raw_Q!$D$2:$D$600,1)/SUMIFS(Raw_Q!$I$2:$I$600,Raw_Q!$A$2:$A$600,Stock_Card!$B$2,Raw_Q!$C$2:$C$600,$A33-1,Raw_Q!$D$2:$D$600,1)-1,"")))</f>
        <v>0.112222830427409</v>
      </c>
      <c r="C33" s="61" t="n">
        <f aca="false">IF(Stock_Card!$B$2="","",IF(COUNTIFS(Raw_Q!$A$2:$A$600,Stock_Card!$B$2,Raw_Q!$C$2:$C$600,$A33,Raw_Q!$D$2:$D$600,2)=0,"",IFERROR(SUMIFS(Raw_Q!$I$2:$I$600,Raw_Q!$A$2:$A$600,Stock_Card!$B$2,Raw_Q!$C$2:$C$600,$A33,Raw_Q!$D$2:$D$600,2)/SUMIFS(Raw_Q!$I$2:$I$600,Raw_Q!$A$2:$A$600,Stock_Card!$B$2,Raw_Q!$C$2:$C$600,$A33-1,Raw_Q!$D$2:$D$600,2)-1,"")))</f>
        <v>0.085885872477228</v>
      </c>
      <c r="D33" s="61" t="n">
        <f aca="false">IF(Stock_Card!$B$2="","",IF(COUNTIFS(Raw_Q!$A$2:$A$600,Stock_Card!$B$2,Raw_Q!$C$2:$C$600,$A33,Raw_Q!$D$2:$D$600,3)=0,"",IFERROR(SUMIFS(Raw_Q!$I$2:$I$600,Raw_Q!$A$2:$A$600,Stock_Card!$B$2,Raw_Q!$C$2:$C$600,$A33,Raw_Q!$D$2:$D$600,3)/SUMIFS(Raw_Q!$I$2:$I$600,Raw_Q!$A$2:$A$600,Stock_Card!$B$2,Raw_Q!$C$2:$C$600,$A33-1,Raw_Q!$D$2:$D$600,3)-1,"")))</f>
        <v>0.0187268217206573</v>
      </c>
      <c r="E33" s="61" t="n">
        <f aca="false">IF(Stock_Card!$B$2="","",IF(COUNTIFS(Raw_Q!$A$2:$A$600,Stock_Card!$B$2,Raw_Q!$C$2:$C$600,$A33,Raw_Q!$D$2:$D$600,4)=0,"",IFERROR(SUMIFS(Raw_Q!$I$2:$I$600,Raw_Q!$A$2:$A$600,Stock_Card!$B$2,Raw_Q!$C$2:$C$600,$A33,Raw_Q!$D$2:$D$600,4)/SUMIFS(Raw_Q!$I$2:$I$600,Raw_Q!$A$2:$A$600,Stock_Card!$B$2,Raw_Q!$C$2:$C$600,$A33-1,Raw_Q!$D$2:$D$600,4)-1,"")))</f>
        <v>0.0814059500959692</v>
      </c>
    </row>
    <row r="34" customFormat="false" ht="15" hidden="false" customHeight="false" outlineLevel="0" collapsed="false">
      <c r="A34" s="46" t="n">
        <f aca="false">IF(Stock_Card!$B$2="","",IFERROR($Z$1-3,""))</f>
        <v>2023</v>
      </c>
      <c r="B34" s="61" t="n">
        <f aca="false">IF(Stock_Card!$B$2="","",IF(COUNTIFS(Raw_Q!$A$2:$A$600,Stock_Card!$B$2,Raw_Q!$C$2:$C$600,$A34,Raw_Q!$D$2:$D$600,1)=0,"",IFERROR(SUMIFS(Raw_Q!$I$2:$I$600,Raw_Q!$A$2:$A$600,Stock_Card!$B$2,Raw_Q!$C$2:$C$600,$A34,Raw_Q!$D$2:$D$600,1)/SUMIFS(Raw_Q!$I$2:$I$600,Raw_Q!$A$2:$A$600,Stock_Card!$B$2,Raw_Q!$C$2:$C$600,$A34-1,Raw_Q!$D$2:$D$600,1)-1,"")))</f>
        <v>-0.0547904312396628</v>
      </c>
      <c r="C34" s="61" t="n">
        <f aca="false">IF(Stock_Card!$B$2="","",IF(COUNTIFS(Raw_Q!$A$2:$A$600,Stock_Card!$B$2,Raw_Q!$C$2:$C$600,$A34,Raw_Q!$D$2:$D$600,2)=0,"",IFERROR(SUMIFS(Raw_Q!$I$2:$I$600,Raw_Q!$A$2:$A$600,Stock_Card!$B$2,Raw_Q!$C$2:$C$600,$A34,Raw_Q!$D$2:$D$600,2)/SUMIFS(Raw_Q!$I$2:$I$600,Raw_Q!$A$2:$A$600,Stock_Card!$B$2,Raw_Q!$C$2:$C$600,$A34-1,Raw_Q!$D$2:$D$600,2)-1,"")))</f>
        <v>-0.0251033121569111</v>
      </c>
      <c r="D34" s="61" t="n">
        <f aca="false">IF(Stock_Card!$B$2="","",IF(COUNTIFS(Raw_Q!$A$2:$A$600,Stock_Card!$B$2,Raw_Q!$C$2:$C$600,$A34,Raw_Q!$D$2:$D$600,3)=0,"",IFERROR(SUMIFS(Raw_Q!$I$2:$I$600,Raw_Q!$A$2:$A$600,Stock_Card!$B$2,Raw_Q!$C$2:$C$600,$A34,Raw_Q!$D$2:$D$600,3)/SUMIFS(Raw_Q!$I$2:$I$600,Raw_Q!$A$2:$A$600,Stock_Card!$B$2,Raw_Q!$C$2:$C$600,$A34-1,Raw_Q!$D$2:$D$600,3)-1,"")))</f>
        <v>-0.0140069190805097</v>
      </c>
      <c r="E34" s="61" t="n">
        <f aca="false">IF(Stock_Card!$B$2="","",IF(COUNTIFS(Raw_Q!$A$2:$A$600,Stock_Card!$B$2,Raw_Q!$C$2:$C$600,$A34,Raw_Q!$D$2:$D$600,4)=0,"",IFERROR(SUMIFS(Raw_Q!$I$2:$I$600,Raw_Q!$A$2:$A$600,Stock_Card!$B$2,Raw_Q!$C$2:$C$600,$A34,Raw_Q!$D$2:$D$600,4)/SUMIFS(Raw_Q!$I$2:$I$600,Raw_Q!$A$2:$A$600,Stock_Card!$B$2,Raw_Q!$C$2:$C$600,$A34-1,Raw_Q!$D$2:$D$600,4)-1,"")))</f>
        <v>-0.00718833891686821</v>
      </c>
    </row>
    <row r="35" customFormat="false" ht="15" hidden="false" customHeight="false" outlineLevel="0" collapsed="false">
      <c r="A35" s="46" t="n">
        <f aca="false">IF(Stock_Card!$B$2="","",IFERROR($Z$1-2,""))</f>
        <v>2024</v>
      </c>
      <c r="B35" s="61" t="n">
        <f aca="false">IF(Stock_Card!$B$2="","",IF(COUNTIFS(Raw_Q!$A$2:$A$600,Stock_Card!$B$2,Raw_Q!$C$2:$C$600,$A35,Raw_Q!$D$2:$D$600,1)=0,"",IFERROR(SUMIFS(Raw_Q!$I$2:$I$600,Raw_Q!$A$2:$A$600,Stock_Card!$B$2,Raw_Q!$C$2:$C$600,$A35,Raw_Q!$D$2:$D$600,1)/SUMIFS(Raw_Q!$I$2:$I$600,Raw_Q!$A$2:$A$600,Stock_Card!$B$2,Raw_Q!$C$2:$C$600,$A35-1,Raw_Q!$D$2:$D$600,1)-1,"")))</f>
        <v>0.0206651074653874</v>
      </c>
      <c r="C35" s="61" t="n">
        <f aca="false">IF(Stock_Card!$B$2="","",IF(COUNTIFS(Raw_Q!$A$2:$A$600,Stock_Card!$B$2,Raw_Q!$C$2:$C$600,$A35,Raw_Q!$D$2:$D$600,2)=0,"",IFERROR(SUMIFS(Raw_Q!$I$2:$I$600,Raw_Q!$A$2:$A$600,Stock_Card!$B$2,Raw_Q!$C$2:$C$600,$A35,Raw_Q!$D$2:$D$600,2)/SUMIFS(Raw_Q!$I$2:$I$600,Raw_Q!$A$2:$A$600,Stock_Card!$B$2,Raw_Q!$C$2:$C$600,$A35-1,Raw_Q!$D$2:$D$600,2)-1,"")))</f>
        <v>-0.0430532709097811</v>
      </c>
      <c r="D35" s="61" t="n">
        <f aca="false">IF(Stock_Card!$B$2="","",IF(COUNTIFS(Raw_Q!$A$2:$A$600,Stock_Card!$B$2,Raw_Q!$C$2:$C$600,$A35,Raw_Q!$D$2:$D$600,3)=0,"",IFERROR(SUMIFS(Raw_Q!$I$2:$I$600,Raw_Q!$A$2:$A$600,Stock_Card!$B$2,Raw_Q!$C$2:$C$600,$A35,Raw_Q!$D$2:$D$600,3)/SUMIFS(Raw_Q!$I$2:$I$600,Raw_Q!$A$2:$A$600,Stock_Card!$B$2,Raw_Q!$C$2:$C$600,$A35-1,Raw_Q!$D$2:$D$600,3)-1,"")))</f>
        <v>0.0486570412117804</v>
      </c>
      <c r="E35" s="61" t="n">
        <f aca="false">IF(Stock_Card!$B$2="","",IF(COUNTIFS(Raw_Q!$A$2:$A$600,Stock_Card!$B$2,Raw_Q!$C$2:$C$600,$A35,Raw_Q!$D$2:$D$600,4)=0,"",IFERROR(SUMIFS(Raw_Q!$I$2:$I$600,Raw_Q!$A$2:$A$600,Stock_Card!$B$2,Raw_Q!$C$2:$C$600,$A35,Raw_Q!$D$2:$D$600,4)/SUMIFS(Raw_Q!$I$2:$I$600,Raw_Q!$A$2:$A$600,Stock_Card!$B$2,Raw_Q!$C$2:$C$600,$A35-1,Raw_Q!$D$2:$D$600,4)-1,"")))</f>
        <v>0.0606940937227647</v>
      </c>
    </row>
    <row r="36" customFormat="false" ht="15" hidden="false" customHeight="false" outlineLevel="0" collapsed="false">
      <c r="A36" s="46" t="n">
        <f aca="false">IF(Stock_Card!$B$2="","",IFERROR($Z$1-1,""))</f>
        <v>2025</v>
      </c>
      <c r="B36" s="61" t="n">
        <f aca="false">IF(Stock_Card!$B$2="","",IF(COUNTIFS(Raw_Q!$A$2:$A$600,Stock_Card!$B$2,Raw_Q!$C$2:$C$600,$A36,Raw_Q!$D$2:$D$600,1)=0,"",IFERROR(SUMIFS(Raw_Q!$I$2:$I$600,Raw_Q!$A$2:$A$600,Stock_Card!$B$2,Raw_Q!$C$2:$C$600,$A36,Raw_Q!$D$2:$D$600,1)/SUMIFS(Raw_Q!$I$2:$I$600,Raw_Q!$A$2:$A$600,Stock_Card!$B$2,Raw_Q!$C$2:$C$600,$A36-1,Raw_Q!$D$2:$D$600,1)-1,"")))</f>
        <v>0.0395149487769182</v>
      </c>
      <c r="C36" s="61" t="n">
        <f aca="false">IF(Stock_Card!$B$2="","",IF(COUNTIFS(Raw_Q!$A$2:$A$600,Stock_Card!$B$2,Raw_Q!$C$2:$C$600,$A36,Raw_Q!$D$2:$D$600,2)=0,"",IFERROR(SUMIFS(Raw_Q!$I$2:$I$600,Raw_Q!$A$2:$A$600,Stock_Card!$B$2,Raw_Q!$C$2:$C$600,$A36,Raw_Q!$D$2:$D$600,2)/SUMIFS(Raw_Q!$I$2:$I$600,Raw_Q!$A$2:$A$600,Stock_Card!$B$2,Raw_Q!$C$2:$C$600,$A36-1,Raw_Q!$D$2:$D$600,2)-1,"")))</f>
        <v>0.0507531431467829</v>
      </c>
      <c r="D36" s="61" t="n">
        <f aca="false">IF(Stock_Card!$B$2="","",IF(COUNTIFS(Raw_Q!$A$2:$A$600,Stock_Card!$B$2,Raw_Q!$C$2:$C$600,$A36,Raw_Q!$D$2:$D$600,3)=0,"",IFERROR(SUMIFS(Raw_Q!$I$2:$I$600,Raw_Q!$A$2:$A$600,Stock_Card!$B$2,Raw_Q!$C$2:$C$600,$A36,Raw_Q!$D$2:$D$600,3)/SUMIFS(Raw_Q!$I$2:$I$600,Raw_Q!$A$2:$A$600,Stock_Card!$B$2,Raw_Q!$C$2:$C$600,$A36-1,Raw_Q!$D$2:$D$600,3)-1,"")))</f>
        <v>0.0962845518029309</v>
      </c>
      <c r="E36" s="61" t="n">
        <f aca="false">IF(Stock_Card!$B$2="","",IF(COUNTIFS(Raw_Q!$A$2:$A$600,Stock_Card!$B$2,Raw_Q!$C$2:$C$600,$A36,Raw_Q!$D$2:$D$600,4)=0,"",IFERROR(SUMIFS(Raw_Q!$I$2:$I$600,Raw_Q!$A$2:$A$600,Stock_Card!$B$2,Raw_Q!$C$2:$C$600,$A36,Raw_Q!$D$2:$D$600,4)/SUMIFS(Raw_Q!$I$2:$I$600,Raw_Q!$A$2:$A$600,Stock_Card!$B$2,Raw_Q!$C$2:$C$600,$A36-1,Raw_Q!$D$2:$D$600,4)-1,"")))</f>
        <v>0.0793848098598968</v>
      </c>
    </row>
    <row r="37" customFormat="false" ht="15" hidden="false" customHeight="false" outlineLevel="0" collapsed="false">
      <c r="A37" s="46" t="n">
        <f aca="false">IF(Stock_Card!$B$2="","",IFERROR($Z$1-0,""))</f>
        <v>2026</v>
      </c>
      <c r="B37" s="61" t="n">
        <f aca="false">IF(Stock_Card!$B$2="","",IF(COUNTIFS(Raw_Q!$A$2:$A$600,Stock_Card!$B$2,Raw_Q!$C$2:$C$600,$A37,Raw_Q!$D$2:$D$600,1)=0,"",IFERROR(SUMIFS(Raw_Q!$I$2:$I$600,Raw_Q!$A$2:$A$600,Stock_Card!$B$2,Raw_Q!$C$2:$C$600,$A37,Raw_Q!$D$2:$D$600,1)/SUMIFS(Raw_Q!$I$2:$I$600,Raw_Q!$A$2:$A$600,Stock_Card!$B$2,Raw_Q!$C$2:$C$600,$A37-1,Raw_Q!$D$2:$D$600,1)-1,"")))</f>
        <v>0.156524537409493</v>
      </c>
      <c r="C37" s="61" t="n">
        <f aca="false">IF(Stock_Card!$B$2="","",IF(COUNTIFS(Raw_Q!$A$2:$A$600,Stock_Card!$B$2,Raw_Q!$C$2:$C$600,$A37,Raw_Q!$D$2:$D$600,2)=0,"",IFERROR(SUMIFS(Raw_Q!$I$2:$I$600,Raw_Q!$A$2:$A$600,Stock_Card!$B$2,Raw_Q!$C$2:$C$600,$A37,Raw_Q!$D$2:$D$600,2)/SUMIFS(Raw_Q!$I$2:$I$600,Raw_Q!$A$2:$A$600,Stock_Card!$B$2,Raw_Q!$C$2:$C$600,$A37-1,Raw_Q!$D$2:$D$600,2)-1,"")))</f>
        <v>0.16595182415923</v>
      </c>
      <c r="D37" s="61" t="n">
        <f aca="false">IF(Stock_Card!$B$2="","",IF(COUNTIFS(Raw_Q!$A$2:$A$600,Stock_Card!$B$2,Raw_Q!$C$2:$C$600,$A37,Raw_Q!$D$2:$D$600,3)=0,"",IFERROR(SUMIFS(Raw_Q!$I$2:$I$600,Raw_Q!$A$2:$A$600,Stock_Card!$B$2,Raw_Q!$C$2:$C$600,$A37,Raw_Q!$D$2:$D$600,3)/SUMIFS(Raw_Q!$I$2:$I$600,Raw_Q!$A$2:$A$600,Stock_Card!$B$2,Raw_Q!$C$2:$C$600,$A37-1,Raw_Q!$D$2:$D$600,3)-1,"")))</f>
        <v>0.163565017652814</v>
      </c>
      <c r="E37" s="61" t="n">
        <f aca="false">IF(Stock_Card!$B$2="","",IF(COUNTIFS(Raw_Q!$A$2:$A$600,Stock_Card!$B$2,Raw_Q!$C$2:$C$600,$A37,Raw_Q!$D$2:$D$600,4)=0,"",IFERROR(SUMIFS(Raw_Q!$I$2:$I$600,Raw_Q!$A$2:$A$600,Stock_Card!$B$2,Raw_Q!$C$2:$C$600,$A37,Raw_Q!$D$2:$D$600,4)/SUMIFS(Raw_Q!$I$2:$I$600,Raw_Q!$A$2:$A$600,Stock_Card!$B$2,Raw_Q!$C$2:$C$600,$A37-1,Raw_Q!$D$2:$D$600,4)-1,"")))</f>
        <v>-1</v>
      </c>
    </row>
  </sheetData>
  <conditionalFormatting sqref="C5:C17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{208AC48B-3758-4CA5-B980-52A8DEF9456E}</x14:id>
        </ext>
      </extLst>
    </cfRule>
  </conditionalFormatting>
  <conditionalFormatting sqref="D5:D17">
    <cfRule type="colorScale" priority="3">
      <colorScale>
        <cfvo type="min" val="0"/>
        <cfvo type="max" val="0"/>
        <color rgb="FFFFFFFF"/>
        <color rgb="FF63BE7B"/>
      </colorScale>
    </cfRule>
  </conditionalFormatting>
  <conditionalFormatting sqref="G5:G17">
    <cfRule type="cellIs" priority="4" operator="equal" aboveAverage="0" equalAverage="0" bottom="0" percent="0" rank="0" text="" dxfId="86">
      <formula>"成長且加速"</formula>
    </cfRule>
    <cfRule type="cellIs" priority="5" operator="equal" aboveAverage="0" equalAverage="0" bottom="0" percent="0" rank="0" text="" dxfId="87">
      <formula>"成長但減速"</formula>
    </cfRule>
    <cfRule type="cellIs" priority="6" operator="equal" aboveAverage="0" equalAverage="0" bottom="0" percent="0" rank="0" text="" dxfId="87">
      <formula>"衰退但收斂"</formula>
    </cfRule>
    <cfRule type="cellIs" priority="7" operator="equal" aboveAverage="0" equalAverage="0" bottom="0" percent="0" rank="0" text="" dxfId="88">
      <formula>"衰退且惡化"</formula>
    </cfRule>
  </conditionalFormatting>
  <conditionalFormatting sqref="H5:H17">
    <cfRule type="colorScale" priority="8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conditionalFormatting sqref="F5:F17">
    <cfRule type="colorScale" priority="9">
      <colorScale>
        <cfvo type="num" val="-30"/>
        <cfvo type="num" val="0"/>
        <cfvo type="num" val="30"/>
        <color rgb="FFF8696B"/>
        <color rgb="FFFFFFFF"/>
        <color rgb="FF63BE7B"/>
      </colorScale>
    </cfRule>
  </conditionalFormatting>
  <conditionalFormatting sqref="K5:K17">
    <cfRule type="colorScale" priority="10">
      <colorScale>
        <cfvo type="num" val="-200"/>
        <cfvo type="num" val="0"/>
        <cfvo type="num" val="200"/>
        <color rgb="FFF8696B"/>
        <color rgb="FFFFFFFF"/>
        <color rgb="FF63BE7B"/>
      </colorScale>
    </cfRule>
  </conditionalFormatting>
  <conditionalFormatting sqref="A5:O17">
    <cfRule type="expression" priority="11" aboveAverage="0" equalAverage="0" bottom="0" percent="0" rank="0" text="" dxfId="90">
      <formula>$O5="預估"</formula>
    </cfRule>
  </conditionalFormatting>
  <conditionalFormatting sqref="B24:B28">
    <cfRule type="expression" priority="12" aboveAverage="0" equalAverage="0" bottom="0" percent="0" rank="0" text="" dxfId="90">
      <formula>COUNTIFS(Raw_Q!$A$2:$A$600,Stock_Card!$B$2,Raw_Q!$C$2:$C$600,$A24,Raw_Q!$D$2:$D$600,1,Raw_Q!$F$2:$F$600,"Y")&gt;0</formula>
    </cfRule>
  </conditionalFormatting>
  <conditionalFormatting sqref="C24:C28">
    <cfRule type="expression" priority="13" aboveAverage="0" equalAverage="0" bottom="0" percent="0" rank="0" text="" dxfId="90">
      <formula>COUNTIFS(Raw_Q!$A$2:$A$600,Stock_Card!$B$2,Raw_Q!$C$2:$C$600,$A24,Raw_Q!$D$2:$D$600,2,Raw_Q!$F$2:$F$600,"Y")&gt;0</formula>
    </cfRule>
  </conditionalFormatting>
  <conditionalFormatting sqref="D24:D28">
    <cfRule type="expression" priority="14" aboveAverage="0" equalAverage="0" bottom="0" percent="0" rank="0" text="" dxfId="90">
      <formula>COUNTIFS(Raw_Q!$A$2:$A$600,Stock_Card!$B$2,Raw_Q!$C$2:$C$600,$A24,Raw_Q!$D$2:$D$600,3,Raw_Q!$F$2:$F$600,"Y")&gt;0</formula>
    </cfRule>
  </conditionalFormatting>
  <conditionalFormatting sqref="E24:E28">
    <cfRule type="expression" priority="15" aboveAverage="0" equalAverage="0" bottom="0" percent="0" rank="0" text="" dxfId="90">
      <formula>COUNTIFS(Raw_Q!$A$2:$A$600,Stock_Card!$B$2,Raw_Q!$C$2:$C$600,$A24,Raw_Q!$D$2:$D$600,4,Raw_Q!$F$2:$F$600,"Y")&gt;0</formula>
    </cfRule>
  </conditionalFormatting>
  <conditionalFormatting sqref="B33:B37">
    <cfRule type="expression" priority="16" aboveAverage="0" equalAverage="0" bottom="0" percent="0" rank="0" text="" dxfId="90">
      <formula>COUNTIFS(Raw_Q!$A$2:$A$600,Stock_Card!$B$2,Raw_Q!$C$2:$C$600,$A33,Raw_Q!$D$2:$D$600,1,Raw_Q!$F$2:$F$600,"Y")&gt;0</formula>
    </cfRule>
  </conditionalFormatting>
  <conditionalFormatting sqref="C33:C37">
    <cfRule type="expression" priority="17" aboveAverage="0" equalAverage="0" bottom="0" percent="0" rank="0" text="" dxfId="90">
      <formula>COUNTIFS(Raw_Q!$A$2:$A$600,Stock_Card!$B$2,Raw_Q!$C$2:$C$600,$A33,Raw_Q!$D$2:$D$600,2,Raw_Q!$F$2:$F$600,"Y")&gt;0</formula>
    </cfRule>
  </conditionalFormatting>
  <conditionalFormatting sqref="D33:D37">
    <cfRule type="expression" priority="18" aboveAverage="0" equalAverage="0" bottom="0" percent="0" rank="0" text="" dxfId="90">
      <formula>COUNTIFS(Raw_Q!$A$2:$A$600,Stock_Card!$B$2,Raw_Q!$C$2:$C$600,$A33,Raw_Q!$D$2:$D$600,3,Raw_Q!$F$2:$F$600,"Y")&gt;0</formula>
    </cfRule>
  </conditionalFormatting>
  <conditionalFormatting sqref="E33:E37">
    <cfRule type="expression" priority="19" aboveAverage="0" equalAverage="0" bottom="0" percent="0" rank="0" text="" dxfId="90">
      <formula>COUNTIFS(Raw_Q!$A$2:$A$600,Stock_Card!$B$2,Raw_Q!$C$2:$C$600,$A33,Raw_Q!$D$2:$D$600,4,Raw_Q!$F$2:$F$600,"Y")&gt;0</formula>
    </cfRule>
  </conditionalFormatting>
  <conditionalFormatting sqref="B33:E37">
    <cfRule type="colorScale" priority="20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8AC48B-3758-4CA5-B980-52A8DEF9456E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C5:C17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154</v>
      </c>
    </row>
    <row r="3" customFormat="false" ht="31.5" hidden="false" customHeight="true" outlineLevel="0" collapsed="false">
      <c r="A3" s="14" t="s">
        <v>155</v>
      </c>
      <c r="B3" s="15" t="s">
        <v>113</v>
      </c>
      <c r="C3" s="15" t="s">
        <v>156</v>
      </c>
      <c r="D3" s="15" t="s">
        <v>157</v>
      </c>
      <c r="E3" s="15" t="s">
        <v>158</v>
      </c>
      <c r="F3" s="15" t="s">
        <v>159</v>
      </c>
      <c r="G3" s="15" t="s">
        <v>87</v>
      </c>
      <c r="H3" s="15" t="s">
        <v>160</v>
      </c>
      <c r="I3" s="15" t="s">
        <v>88</v>
      </c>
      <c r="J3" s="15" t="s">
        <v>141</v>
      </c>
    </row>
    <row r="4" customFormat="false" ht="15" hidden="false" customHeight="false" outlineLevel="0" collapsed="false">
      <c r="A4" s="16" t="str">
        <f aca="false">IF(Calc!$A$2="","",Calc!$A$2)</f>
        <v>AAPL</v>
      </c>
      <c r="B4" s="47" t="n">
        <f aca="false">IF($A4="","",COUNTIFS(Raw_Q!$A$2:$A$600,$A4,Raw_Q!$F$2:$F$600,"N"))</f>
        <v>24</v>
      </c>
      <c r="C4" s="47" t="n">
        <f aca="false">IF($A4="","",Config!$B$4)</f>
        <v>24</v>
      </c>
      <c r="D4" s="67" t="n">
        <f aca="false">IF($A4="","",IFERROR(SUMIFS(Raw_Q!$E$2:$E$600,Raw_Q!$A$2:$A$600,$A4,Raw_Q!$P$2:$P$600,$B4),""))</f>
        <v>44104</v>
      </c>
      <c r="E4" s="67" t="n">
        <f aca="false">IF($A4="","",IFERROR(SUMIFS(Raw_Q!$E$2:$E$600,Raw_Q!$A$2:$A$600,$A4,Raw_Q!$P$2:$P$600,1),""))</f>
        <v>46203</v>
      </c>
      <c r="F4" s="66" t="str">
        <f aca="false">IF($A4="","",IFERROR(INDEX(Raw_Q!$B$2:$B$600,MATCH($A4&amp;"|"&amp;0,Raw_Q!$Q$2:$Q$600,0)),""))</f>
        <v>FY2026Q4E</v>
      </c>
      <c r="G4" s="67" t="n">
        <f aca="false">IF($A4="","",IFERROR(INDEX(Raw_Price!$D$2:$D$100,MATCH($A4,Raw_Price!$A$2:$A$100,0)),""))</f>
        <v>46324</v>
      </c>
      <c r="H4" s="47" t="n">
        <f aca="true">IF($A4="","",IFERROR(INDEX(Raw_Price!$D$2:$D$100,MATCH($A4,Raw_Price!$A$2:$A$100,0))-TODAY(),""))</f>
        <v>44</v>
      </c>
      <c r="I4" s="67" t="n">
        <f aca="false">IF($A4="","",IFERROR(INDEX(Raw_Price!$E$2:$E$100,MATCH($A4,Raw_Price!$A$2:$A$100,0)),""))</f>
        <v>46280</v>
      </c>
      <c r="J4" s="66" t="str">
        <f aca="true">IF($A4="","",IF($B4=0,"未抓取",IF($B4&lt;$C4,"需補歷史 ("&amp;($C4-$B4)&amp;" 季)",IF(TODAY()&gt;$G4,"待更新財報","OK"))))</f>
        <v>OK</v>
      </c>
    </row>
    <row r="5" customFormat="false" ht="15" hidden="false" customHeight="false" outlineLevel="0" collapsed="false">
      <c r="A5" s="16" t="str">
        <f aca="false">IF(Calc!$A$3="","",Calc!$A$3)</f>
        <v>MSFT</v>
      </c>
      <c r="B5" s="47" t="n">
        <f aca="false">IF($A5="","",COUNTIFS(Raw_Q!$A$2:$A$600,$A5,Raw_Q!$F$2:$F$600,"N"))</f>
        <v>24</v>
      </c>
      <c r="C5" s="47" t="n">
        <f aca="false">IF($A5="","",Config!$B$4)</f>
        <v>24</v>
      </c>
      <c r="D5" s="67" t="n">
        <f aca="false">IF($A5="","",IFERROR(SUMIFS(Raw_Q!$E$2:$E$600,Raw_Q!$A$2:$A$600,$A5,Raw_Q!$P$2:$P$600,$B5),""))</f>
        <v>44104</v>
      </c>
      <c r="E5" s="67" t="n">
        <f aca="false">IF($A5="","",IFERROR(SUMIFS(Raw_Q!$E$2:$E$600,Raw_Q!$A$2:$A$600,$A5,Raw_Q!$P$2:$P$600,1),""))</f>
        <v>46203</v>
      </c>
      <c r="F5" s="66" t="str">
        <f aca="false">IF($A5="","",IFERROR(INDEX(Raw_Q!$B$2:$B$600,MATCH($A5&amp;"|"&amp;0,Raw_Q!$Q$2:$Q$600,0)),""))</f>
        <v>FY2027Q1E</v>
      </c>
      <c r="G5" s="67" t="n">
        <f aca="false">IF($A5="","",IFERROR(INDEX(Raw_Price!$D$2:$D$100,MATCH($A5,Raw_Price!$A$2:$A$100,0)),""))</f>
        <v>46323</v>
      </c>
      <c r="H5" s="47" t="n">
        <f aca="true">IF($A5="","",IFERROR(INDEX(Raw_Price!$D$2:$D$100,MATCH($A5,Raw_Price!$A$2:$A$100,0))-TODAY(),""))</f>
        <v>43</v>
      </c>
      <c r="I5" s="67" t="n">
        <f aca="false">IF($A5="","",IFERROR(INDEX(Raw_Price!$E$2:$E$100,MATCH($A5,Raw_Price!$A$2:$A$100,0)),""))</f>
        <v>46280</v>
      </c>
      <c r="J5" s="66" t="str">
        <f aca="true">IF($A5="","",IF($B5=0,"未抓取",IF($B5&lt;$C5,"需補歷史 ("&amp;($C5-$B5)&amp;" 季)",IF(TODAY()&gt;$G5,"待更新財報","OK"))))</f>
        <v>OK</v>
      </c>
    </row>
    <row r="6" customFormat="false" ht="15" hidden="false" customHeight="false" outlineLevel="0" collapsed="false">
      <c r="A6" s="16" t="str">
        <f aca="false">IF(Calc!$A$4="","",Calc!$A$4)</f>
        <v>NVDA</v>
      </c>
      <c r="B6" s="47" t="n">
        <f aca="false">IF($A6="","",COUNTIFS(Raw_Q!$A$2:$A$600,$A6,Raw_Q!$F$2:$F$600,"N"))</f>
        <v>25</v>
      </c>
      <c r="C6" s="47" t="n">
        <f aca="false">IF($A6="","",Config!$B$4)</f>
        <v>24</v>
      </c>
      <c r="D6" s="67" t="n">
        <f aca="false">IF($A6="","",IFERROR(SUMIFS(Raw_Q!$E$2:$E$600,Raw_Q!$A$2:$A$600,$A6,Raw_Q!$P$2:$P$600,$B6),""))</f>
        <v>44043</v>
      </c>
      <c r="E6" s="67" t="n">
        <f aca="false">IF($A6="","",IFERROR(SUMIFS(Raw_Q!$E$2:$E$600,Raw_Q!$A$2:$A$600,$A6,Raw_Q!$P$2:$P$600,1),""))</f>
        <v>46234</v>
      </c>
      <c r="F6" s="66" t="str">
        <f aca="false">IF($A6="","",IFERROR(INDEX(Raw_Q!$B$2:$B$600,MATCH($A6&amp;"|"&amp;0,Raw_Q!$Q$2:$Q$600,0)),""))</f>
        <v>FY2027Q3E</v>
      </c>
      <c r="G6" s="67" t="n">
        <f aca="false">IF($A6="","",IFERROR(INDEX(Raw_Price!$D$2:$D$100,MATCH($A6,Raw_Price!$A$2:$A$100,0)),""))</f>
        <v>46343</v>
      </c>
      <c r="H6" s="47" t="n">
        <f aca="true">IF($A6="","",IFERROR(INDEX(Raw_Price!$D$2:$D$100,MATCH($A6,Raw_Price!$A$2:$A$100,0))-TODAY(),""))</f>
        <v>63</v>
      </c>
      <c r="I6" s="67" t="n">
        <f aca="false">IF($A6="","",IFERROR(INDEX(Raw_Price!$E$2:$E$100,MATCH($A6,Raw_Price!$A$2:$A$100,0)),""))</f>
        <v>46280</v>
      </c>
      <c r="J6" s="66" t="str">
        <f aca="true">IF($A6="","",IF($B6=0,"未抓取",IF($B6&lt;$C6,"需補歷史 ("&amp;($C6-$B6)&amp;" 季)",IF(TODAY()&gt;$G6,"待更新財報","OK"))))</f>
        <v>OK</v>
      </c>
    </row>
    <row r="7" customFormat="false" ht="15" hidden="false" customHeight="false" outlineLevel="0" collapsed="false">
      <c r="A7" s="16" t="str">
        <f aca="false">IF(Calc!$A$5="","",Calc!$A$5)</f>
        <v>AAOI</v>
      </c>
      <c r="B7" s="47" t="n">
        <f aca="false">IF($A7="","",COUNTIFS(Raw_Q!$A$2:$A$600,$A7,Raw_Q!$F$2:$F$600,"N"))</f>
        <v>24</v>
      </c>
      <c r="C7" s="47" t="n">
        <f aca="false">IF($A7="","",Config!$B$4)</f>
        <v>24</v>
      </c>
      <c r="D7" s="67" t="n">
        <f aca="false">IF($A7="","",IFERROR(SUMIFS(Raw_Q!$E$2:$E$600,Raw_Q!$A$2:$A$600,$A7,Raw_Q!$P$2:$P$600,$B7),""))</f>
        <v>44104</v>
      </c>
      <c r="E7" s="67" t="n">
        <f aca="false">IF($A7="","",IFERROR(SUMIFS(Raw_Q!$E$2:$E$600,Raw_Q!$A$2:$A$600,$A7,Raw_Q!$P$2:$P$600,1),""))</f>
        <v>46203</v>
      </c>
      <c r="F7" s="66" t="str">
        <f aca="false">IF($A7="","",IFERROR(INDEX(Raw_Q!$B$2:$B$600,MATCH($A7&amp;"|"&amp;0,Raw_Q!$Q$2:$Q$600,0)),""))</f>
        <v>FY2026Q3E</v>
      </c>
      <c r="G7" s="67" t="n">
        <f aca="false">IF($A7="","",IFERROR(INDEX(Raw_Price!$D$2:$D$100,MATCH($A7,Raw_Price!$A$2:$A$100,0)),""))</f>
        <v>46331</v>
      </c>
      <c r="H7" s="47" t="n">
        <f aca="true">IF($A7="","",IFERROR(INDEX(Raw_Price!$D$2:$D$100,MATCH($A7,Raw_Price!$A$2:$A$100,0))-TODAY(),""))</f>
        <v>51</v>
      </c>
      <c r="I7" s="67" t="n">
        <f aca="false">IF($A7="","",IFERROR(INDEX(Raw_Price!$E$2:$E$100,MATCH($A7,Raw_Price!$A$2:$A$100,0)),""))</f>
        <v>46280</v>
      </c>
      <c r="J7" s="66" t="str">
        <f aca="true">IF($A7="","",IF($B7=0,"未抓取",IF($B7&lt;$C7,"需補歷史 ("&amp;($C7-$B7)&amp;" 季)",IF(TODAY()&gt;$G7,"待更新財報","OK"))))</f>
        <v>OK</v>
      </c>
    </row>
    <row r="8" customFormat="false" ht="15" hidden="false" customHeight="false" outlineLevel="0" collapsed="false">
      <c r="A8" s="16" t="str">
        <f aca="false">IF(Calc!$A$6="","",Calc!$A$6)</f>
        <v>MRVL</v>
      </c>
      <c r="B8" s="47" t="n">
        <f aca="false">IF($A8="","",COUNTIFS(Raw_Q!$A$2:$A$600,$A8,Raw_Q!$F$2:$F$600,"N"))</f>
        <v>24</v>
      </c>
      <c r="C8" s="47" t="n">
        <f aca="false">IF($A8="","",Config!$B$4)</f>
        <v>24</v>
      </c>
      <c r="D8" s="67" t="n">
        <f aca="false">IF($A8="","",IFERROR(SUMIFS(Raw_Q!$E$2:$E$600,Raw_Q!$A$2:$A$600,$A8,Raw_Q!$P$2:$P$600,$B8),""))</f>
        <v>44135</v>
      </c>
      <c r="E8" s="67" t="n">
        <f aca="false">IF($A8="","",IFERROR(SUMIFS(Raw_Q!$E$2:$E$600,Raw_Q!$A$2:$A$600,$A8,Raw_Q!$P$2:$P$600,1),""))</f>
        <v>46234</v>
      </c>
      <c r="F8" s="66" t="str">
        <f aca="false">IF($A8="","",IFERROR(INDEX(Raw_Q!$B$2:$B$600,MATCH($A8&amp;"|"&amp;0,Raw_Q!$Q$2:$Q$600,0)),""))</f>
        <v>FY2027Q3E</v>
      </c>
      <c r="G8" s="67" t="n">
        <f aca="false">IF($A8="","",IFERROR(INDEX(Raw_Price!$D$2:$D$100,MATCH($A8,Raw_Price!$A$2:$A$100,0)),""))</f>
        <v>46357</v>
      </c>
      <c r="H8" s="47" t="n">
        <f aca="true">IF($A8="","",IFERROR(INDEX(Raw_Price!$D$2:$D$100,MATCH($A8,Raw_Price!$A$2:$A$100,0))-TODAY(),""))</f>
        <v>77</v>
      </c>
      <c r="I8" s="67" t="n">
        <f aca="false">IF($A8="","",IFERROR(INDEX(Raw_Price!$E$2:$E$100,MATCH($A8,Raw_Price!$A$2:$A$100,0)),""))</f>
        <v>46280</v>
      </c>
      <c r="J8" s="66" t="str">
        <f aca="true">IF($A8="","",IF($B8=0,"未抓取",IF($B8&lt;$C8,"需補歷史 ("&amp;($C8-$B8)&amp;" 季)",IF(TODAY()&gt;$G8,"待更新財報","OK"))))</f>
        <v>OK</v>
      </c>
    </row>
    <row r="9" customFormat="false" ht="15" hidden="false" customHeight="false" outlineLevel="0" collapsed="false">
      <c r="A9" s="16" t="str">
        <f aca="false">IF(Calc!$A$7="","",Calc!$A$7)</f>
        <v>MU</v>
      </c>
      <c r="B9" s="47" t="n">
        <f aca="false">IF($A9="","",COUNTIFS(Raw_Q!$A$2:$A$600,$A9,Raw_Q!$F$2:$F$600,"N"))</f>
        <v>24</v>
      </c>
      <c r="C9" s="47" t="n">
        <f aca="false">IF($A9="","",Config!$B$4)</f>
        <v>24</v>
      </c>
      <c r="D9" s="67" t="n">
        <f aca="false">IF($A9="","",IFERROR(SUMIFS(Raw_Q!$E$2:$E$600,Raw_Q!$A$2:$A$600,$A9,Raw_Q!$P$2:$P$600,$B9),""))</f>
        <v>44074</v>
      </c>
      <c r="E9" s="67" t="n">
        <f aca="false">IF($A9="","",IFERROR(SUMIFS(Raw_Q!$E$2:$E$600,Raw_Q!$A$2:$A$600,$A9,Raw_Q!$P$2:$P$600,1),""))</f>
        <v>46173</v>
      </c>
      <c r="F9" s="66" t="str">
        <f aca="false">IF($A9="","",IFERROR(INDEX(Raw_Q!$B$2:$B$600,MATCH($A9&amp;"|"&amp;0,Raw_Q!$Q$2:$Q$600,0)),""))</f>
        <v>FY2026Q4E</v>
      </c>
      <c r="G9" s="67" t="n">
        <f aca="false">IF($A9="","",IFERROR(INDEX(Raw_Price!$D$2:$D$100,MATCH($A9,Raw_Price!$A$2:$A$100,0)),""))</f>
        <v>46295</v>
      </c>
      <c r="H9" s="47" t="n">
        <f aca="true">IF($A9="","",IFERROR(INDEX(Raw_Price!$D$2:$D$100,MATCH($A9,Raw_Price!$A$2:$A$100,0))-TODAY(),""))</f>
        <v>15</v>
      </c>
      <c r="I9" s="67" t="n">
        <f aca="false">IF($A9="","",IFERROR(INDEX(Raw_Price!$E$2:$E$100,MATCH($A9,Raw_Price!$A$2:$A$100,0)),""))</f>
        <v>46280</v>
      </c>
      <c r="J9" s="66" t="str">
        <f aca="true">IF($A9="","",IF($B9=0,"未抓取",IF($B9&lt;$C9,"需補歷史 ("&amp;($C9-$B9)&amp;" 季)",IF(TODAY()&gt;$G9,"待更新財報","OK"))))</f>
        <v>OK</v>
      </c>
    </row>
    <row r="10" customFormat="false" ht="15" hidden="false" customHeight="false" outlineLevel="0" collapsed="false">
      <c r="A10" s="16" t="str">
        <f aca="false">IF(Calc!$A$8="","",Calc!$A$8)</f>
        <v>TER</v>
      </c>
      <c r="B10" s="47" t="n">
        <f aca="false">IF($A10="","",COUNTIFS(Raw_Q!$A$2:$A$600,$A10,Raw_Q!$F$2:$F$600,"N"))</f>
        <v>24</v>
      </c>
      <c r="C10" s="47" t="n">
        <f aca="false">IF($A10="","",Config!$B$4)</f>
        <v>24</v>
      </c>
      <c r="D10" s="67" t="n">
        <f aca="false">IF($A10="","",IFERROR(SUMIFS(Raw_Q!$E$2:$E$600,Raw_Q!$A$2:$A$600,$A10,Raw_Q!$P$2:$P$600,$B10),""))</f>
        <v>44104</v>
      </c>
      <c r="E10" s="67" t="n">
        <f aca="false">IF($A10="","",IFERROR(SUMIFS(Raw_Q!$E$2:$E$600,Raw_Q!$A$2:$A$600,$A10,Raw_Q!$P$2:$P$600,1),""))</f>
        <v>46203</v>
      </c>
      <c r="F10" s="66" t="str">
        <f aca="false">IF($A10="","",IFERROR(INDEX(Raw_Q!$B$2:$B$600,MATCH($A10&amp;"|"&amp;0,Raw_Q!$Q$2:$Q$600,0)),""))</f>
        <v>FY2026Q3E</v>
      </c>
      <c r="G10" s="67" t="n">
        <f aca="false">IF($A10="","",IFERROR(INDEX(Raw_Price!$D$2:$D$100,MATCH($A10,Raw_Price!$A$2:$A$100,0)),""))</f>
        <v>46316</v>
      </c>
      <c r="H10" s="47" t="n">
        <f aca="true">IF($A10="","",IFERROR(INDEX(Raw_Price!$D$2:$D$100,MATCH($A10,Raw_Price!$A$2:$A$100,0))-TODAY(),""))</f>
        <v>36</v>
      </c>
      <c r="I10" s="67" t="n">
        <f aca="false">IF($A10="","",IFERROR(INDEX(Raw_Price!$E$2:$E$100,MATCH($A10,Raw_Price!$A$2:$A$100,0)),""))</f>
        <v>46280</v>
      </c>
      <c r="J10" s="66" t="str">
        <f aca="true">IF($A10="","",IF($B10=0,"未抓取",IF($B10&lt;$C10,"需補歷史 ("&amp;($C10-$B10)&amp;" 季)",IF(TODAY()&gt;$G10,"待更新財報","OK"))))</f>
        <v>OK</v>
      </c>
    </row>
    <row r="11" customFormat="false" ht="15" hidden="false" customHeight="false" outlineLevel="0" collapsed="false">
      <c r="A11" s="16" t="str">
        <f aca="false">IF(Calc!$A$9="","",Calc!$A$9)</f>
        <v>DELL</v>
      </c>
      <c r="B11" s="47" t="n">
        <f aca="false">IF($A11="","",COUNTIFS(Raw_Q!$A$2:$A$600,$A11,Raw_Q!$F$2:$F$600,"N"))</f>
        <v>24</v>
      </c>
      <c r="C11" s="47" t="n">
        <f aca="false">IF($A11="","",Config!$B$4)</f>
        <v>24</v>
      </c>
      <c r="D11" s="67" t="n">
        <f aca="false">IF($A11="","",IFERROR(SUMIFS(Raw_Q!$E$2:$E$600,Raw_Q!$A$2:$A$600,$A11,Raw_Q!$P$2:$P$600,$B11),""))</f>
        <v>44043</v>
      </c>
      <c r="E11" s="67" t="n">
        <f aca="false">IF($A11="","",IFERROR(SUMIFS(Raw_Q!$E$2:$E$600,Raw_Q!$A$2:$A$600,$A11,Raw_Q!$P$2:$P$600,1),""))</f>
        <v>46142</v>
      </c>
      <c r="F11" s="66" t="str">
        <f aca="false">IF($A11="","",IFERROR(INDEX(Raw_Q!$B$2:$B$600,MATCH($A11&amp;"|"&amp;0,Raw_Q!$Q$2:$Q$600,0)),""))</f>
        <v>FY2027Q2E</v>
      </c>
      <c r="G11" s="67" t="n">
        <f aca="false">IF($A11="","",IFERROR(INDEX(Raw_Price!$D$2:$D$100,MATCH($A11,Raw_Price!$A$2:$A$100,0)),""))</f>
        <v>46353</v>
      </c>
      <c r="H11" s="47" t="n">
        <f aca="true">IF($A11="","",IFERROR(INDEX(Raw_Price!$D$2:$D$100,MATCH($A11,Raw_Price!$A$2:$A$100,0))-TODAY(),""))</f>
        <v>73</v>
      </c>
      <c r="I11" s="67" t="n">
        <f aca="false">IF($A11="","",IFERROR(INDEX(Raw_Price!$E$2:$E$100,MATCH($A11,Raw_Price!$A$2:$A$100,0)),""))</f>
        <v>46280</v>
      </c>
      <c r="J11" s="66" t="str">
        <f aca="true">IF($A11="","",IF($B11=0,"未抓取",IF($B11&lt;$C11,"需補歷史 ("&amp;($C11-$B11)&amp;" 季)",IF(TODAY()&gt;$G11,"待更新財報","OK"))))</f>
        <v>OK</v>
      </c>
    </row>
    <row r="12" customFormat="false" ht="15" hidden="false" customHeight="false" outlineLevel="0" collapsed="false">
      <c r="A12" s="16" t="str">
        <f aca="false">IF(Calc!$A$10="","",Calc!$A$10)</f>
        <v>DIOD</v>
      </c>
      <c r="B12" s="47" t="n">
        <f aca="false">IF($A12="","",COUNTIFS(Raw_Q!$A$2:$A$600,$A12,Raw_Q!$F$2:$F$600,"N"))</f>
        <v>24</v>
      </c>
      <c r="C12" s="47" t="n">
        <f aca="false">IF($A12="","",Config!$B$4)</f>
        <v>24</v>
      </c>
      <c r="D12" s="67" t="n">
        <f aca="false">IF($A12="","",IFERROR(SUMIFS(Raw_Q!$E$2:$E$600,Raw_Q!$A$2:$A$600,$A12,Raw_Q!$P$2:$P$600,$B12),""))</f>
        <v>44104</v>
      </c>
      <c r="E12" s="67" t="n">
        <f aca="false">IF($A12="","",IFERROR(SUMIFS(Raw_Q!$E$2:$E$600,Raw_Q!$A$2:$A$600,$A12,Raw_Q!$P$2:$P$600,1),""))</f>
        <v>46203</v>
      </c>
      <c r="F12" s="66" t="str">
        <f aca="false">IF($A12="","",IFERROR(INDEX(Raw_Q!$B$2:$B$600,MATCH($A12&amp;"|"&amp;0,Raw_Q!$Q$2:$Q$600,0)),""))</f>
        <v>FY2026Q3E</v>
      </c>
      <c r="G12" s="67" t="n">
        <f aca="false">IF($A12="","",IFERROR(INDEX(Raw_Price!$D$2:$D$100,MATCH($A12,Raw_Price!$A$2:$A$100,0)),""))</f>
        <v>46331</v>
      </c>
      <c r="H12" s="47" t="n">
        <f aca="true">IF($A12="","",IFERROR(INDEX(Raw_Price!$D$2:$D$100,MATCH($A12,Raw_Price!$A$2:$A$100,0))-TODAY(),""))</f>
        <v>51</v>
      </c>
      <c r="I12" s="67" t="n">
        <f aca="false">IF($A12="","",IFERROR(INDEX(Raw_Price!$E$2:$E$100,MATCH($A12,Raw_Price!$A$2:$A$100,0)),""))</f>
        <v>46280</v>
      </c>
      <c r="J12" s="66" t="str">
        <f aca="true">IF($A12="","",IF($B12=0,"未抓取",IF($B12&lt;$C12,"需補歷史 ("&amp;($C12-$B12)&amp;" 季)",IF(TODAY()&gt;$G12,"待更新財報","OK"))))</f>
        <v>OK</v>
      </c>
    </row>
    <row r="13" customFormat="false" ht="15" hidden="false" customHeight="false" outlineLevel="0" collapsed="false">
      <c r="A13" s="16" t="str">
        <f aca="false">IF(Calc!$A$11="","",Calc!$A$11)</f>
        <v>CRWD</v>
      </c>
      <c r="B13" s="47" t="n">
        <f aca="false">IF($A13="","",COUNTIFS(Raw_Q!$A$2:$A$600,$A13,Raw_Q!$F$2:$F$600,"N"))</f>
        <v>24</v>
      </c>
      <c r="C13" s="47" t="n">
        <f aca="false">IF($A13="","",Config!$B$4)</f>
        <v>24</v>
      </c>
      <c r="D13" s="67" t="n">
        <f aca="false">IF($A13="","",IFERROR(SUMIFS(Raw_Q!$E$2:$E$600,Raw_Q!$A$2:$A$600,$A13,Raw_Q!$P$2:$P$600,$B13),""))</f>
        <v>44135</v>
      </c>
      <c r="E13" s="67" t="n">
        <f aca="false">IF($A13="","",IFERROR(SUMIFS(Raw_Q!$E$2:$E$600,Raw_Q!$A$2:$A$600,$A13,Raw_Q!$P$2:$P$600,1),""))</f>
        <v>46234</v>
      </c>
      <c r="F13" s="66" t="str">
        <f aca="false">IF($A13="","",IFERROR(INDEX(Raw_Q!$B$2:$B$600,MATCH($A13&amp;"|"&amp;0,Raw_Q!$Q$2:$Q$600,0)),""))</f>
        <v>FY2027Q3E</v>
      </c>
      <c r="G13" s="67" t="n">
        <f aca="false">IF($A13="","",IFERROR(INDEX(Raw_Price!$D$2:$D$100,MATCH($A13,Raw_Price!$A$2:$A$100,0)),""))</f>
        <v>46357</v>
      </c>
      <c r="H13" s="47" t="n">
        <f aca="true">IF($A13="","",IFERROR(INDEX(Raw_Price!$D$2:$D$100,MATCH($A13,Raw_Price!$A$2:$A$100,0))-TODAY(),""))</f>
        <v>77</v>
      </c>
      <c r="I13" s="67" t="n">
        <f aca="false">IF($A13="","",IFERROR(INDEX(Raw_Price!$E$2:$E$100,MATCH($A13,Raw_Price!$A$2:$A$100,0)),""))</f>
        <v>46280</v>
      </c>
      <c r="J13" s="66" t="str">
        <f aca="true">IF($A13="","",IF($B13=0,"未抓取",IF($B13&lt;$C13,"需補歷史 ("&amp;($C13-$B13)&amp;" 季)",IF(TODAY()&gt;$G13,"待更新財報","OK"))))</f>
        <v>OK</v>
      </c>
    </row>
    <row r="14" customFormat="false" ht="15" hidden="false" customHeight="false" outlineLevel="0" collapsed="false">
      <c r="A14" s="16" t="str">
        <f aca="false">IF(Calc!$A$12="","",Calc!$A$12)</f>
        <v>NET</v>
      </c>
      <c r="B14" s="47" t="n">
        <f aca="false">IF($A14="","",COUNTIFS(Raw_Q!$A$2:$A$600,$A14,Raw_Q!$F$2:$F$600,"N"))</f>
        <v>24</v>
      </c>
      <c r="C14" s="47" t="n">
        <f aca="false">IF($A14="","",Config!$B$4)</f>
        <v>24</v>
      </c>
      <c r="D14" s="67" t="n">
        <f aca="false">IF($A14="","",IFERROR(SUMIFS(Raw_Q!$E$2:$E$600,Raw_Q!$A$2:$A$600,$A14,Raw_Q!$P$2:$P$600,$B14),""))</f>
        <v>44104</v>
      </c>
      <c r="E14" s="67" t="n">
        <f aca="false">IF($A14="","",IFERROR(SUMIFS(Raw_Q!$E$2:$E$600,Raw_Q!$A$2:$A$600,$A14,Raw_Q!$P$2:$P$600,1),""))</f>
        <v>46203</v>
      </c>
      <c r="F14" s="66" t="str">
        <f aca="false">IF($A14="","",IFERROR(INDEX(Raw_Q!$B$2:$B$600,MATCH($A14&amp;"|"&amp;0,Raw_Q!$Q$2:$Q$600,0)),""))</f>
        <v>FY2026Q3E</v>
      </c>
      <c r="G14" s="67" t="n">
        <f aca="false">IF($A14="","",IFERROR(INDEX(Raw_Price!$D$2:$D$100,MATCH($A14,Raw_Price!$A$2:$A$100,0)),""))</f>
        <v>46324</v>
      </c>
      <c r="H14" s="47" t="n">
        <f aca="true">IF($A14="","",IFERROR(INDEX(Raw_Price!$D$2:$D$100,MATCH($A14,Raw_Price!$A$2:$A$100,0))-TODAY(),""))</f>
        <v>44</v>
      </c>
      <c r="I14" s="67" t="n">
        <f aca="false">IF($A14="","",IFERROR(INDEX(Raw_Price!$E$2:$E$100,MATCH($A14,Raw_Price!$A$2:$A$100,0)),""))</f>
        <v>46280</v>
      </c>
      <c r="J14" s="66" t="str">
        <f aca="true">IF($A14="","",IF($B14=0,"未抓取",IF($B14&lt;$C14,"需補歷史 ("&amp;($C14-$B14)&amp;" 季)",IF(TODAY()&gt;$G14,"待更新財報","OK"))))</f>
        <v>OK</v>
      </c>
    </row>
    <row r="15" customFormat="false" ht="15" hidden="false" customHeight="false" outlineLevel="0" collapsed="false">
      <c r="A15" s="16" t="str">
        <f aca="false">IF(Calc!$A$13="","",Calc!$A$13)</f>
        <v>CEG</v>
      </c>
      <c r="B15" s="47" t="n">
        <f aca="false">IF($A15="","",COUNTIFS(Raw_Q!$A$2:$A$600,$A15,Raw_Q!$F$2:$F$600,"N"))</f>
        <v>24</v>
      </c>
      <c r="C15" s="47" t="n">
        <f aca="false">IF($A15="","",Config!$B$4)</f>
        <v>24</v>
      </c>
      <c r="D15" s="67" t="n">
        <f aca="false">IF($A15="","",IFERROR(SUMIFS(Raw_Q!$E$2:$E$600,Raw_Q!$A$2:$A$600,$A15,Raw_Q!$P$2:$P$600,$B15),""))</f>
        <v>44104</v>
      </c>
      <c r="E15" s="67" t="n">
        <f aca="false">IF($A15="","",IFERROR(SUMIFS(Raw_Q!$E$2:$E$600,Raw_Q!$A$2:$A$600,$A15,Raw_Q!$P$2:$P$600,1),""))</f>
        <v>46203</v>
      </c>
      <c r="F15" s="66" t="str">
        <f aca="false">IF($A15="","",IFERROR(INDEX(Raw_Q!$B$2:$B$600,MATCH($A15&amp;"|"&amp;0,Raw_Q!$Q$2:$Q$600,0)),""))</f>
        <v>FY2026Q3E</v>
      </c>
      <c r="G15" s="67" t="n">
        <f aca="false">IF($A15="","",IFERROR(INDEX(Raw_Price!$D$2:$D$100,MATCH($A15,Raw_Price!$A$2:$A$100,0)),""))</f>
        <v>46335</v>
      </c>
      <c r="H15" s="47" t="n">
        <f aca="true">IF($A15="","",IFERROR(INDEX(Raw_Price!$D$2:$D$100,MATCH($A15,Raw_Price!$A$2:$A$100,0))-TODAY(),""))</f>
        <v>55</v>
      </c>
      <c r="I15" s="67" t="n">
        <f aca="false">IF($A15="","",IFERROR(INDEX(Raw_Price!$E$2:$E$100,MATCH($A15,Raw_Price!$A$2:$A$100,0)),""))</f>
        <v>46280</v>
      </c>
      <c r="J15" s="66" t="str">
        <f aca="true">IF($A15="","",IF($B15=0,"未抓取",IF($B15&lt;$C15,"需補歷史 ("&amp;($C15-$B15)&amp;" 季)",IF(TODAY()&gt;$G15,"待更新財報","OK"))))</f>
        <v>OK</v>
      </c>
    </row>
    <row r="16" customFormat="false" ht="15" hidden="false" customHeight="false" outlineLevel="0" collapsed="false">
      <c r="A16" s="16" t="str">
        <f aca="false">IF(Calc!$A$14="","",Calc!$A$14)</f>
        <v>AMZN</v>
      </c>
      <c r="B16" s="47" t="n">
        <f aca="false">IF($A16="","",COUNTIFS(Raw_Q!$A$2:$A$600,$A16,Raw_Q!$F$2:$F$600,"N"))</f>
        <v>24</v>
      </c>
      <c r="C16" s="47" t="n">
        <f aca="false">IF($A16="","",Config!$B$4)</f>
        <v>24</v>
      </c>
      <c r="D16" s="67" t="n">
        <f aca="false">IF($A16="","",IFERROR(SUMIFS(Raw_Q!$E$2:$E$600,Raw_Q!$A$2:$A$600,$A16,Raw_Q!$P$2:$P$600,$B16),""))</f>
        <v>44104</v>
      </c>
      <c r="E16" s="67" t="n">
        <f aca="false">IF($A16="","",IFERROR(SUMIFS(Raw_Q!$E$2:$E$600,Raw_Q!$A$2:$A$600,$A16,Raw_Q!$P$2:$P$600,1),""))</f>
        <v>46203</v>
      </c>
      <c r="F16" s="66" t="str">
        <f aca="false">IF($A16="","",IFERROR(INDEX(Raw_Q!$B$2:$B$600,MATCH($A16&amp;"|"&amp;0,Raw_Q!$Q$2:$Q$600,0)),""))</f>
        <v>FY2026Q3E</v>
      </c>
      <c r="G16" s="67" t="n">
        <f aca="false">IF($A16="","",IFERROR(INDEX(Raw_Price!$D$2:$D$100,MATCH($A16,Raw_Price!$A$2:$A$100,0)),""))</f>
        <v>46324</v>
      </c>
      <c r="H16" s="47" t="n">
        <f aca="true">IF($A16="","",IFERROR(INDEX(Raw_Price!$D$2:$D$100,MATCH($A16,Raw_Price!$A$2:$A$100,0))-TODAY(),""))</f>
        <v>44</v>
      </c>
      <c r="I16" s="67" t="n">
        <f aca="false">IF($A16="","",IFERROR(INDEX(Raw_Price!$E$2:$E$100,MATCH($A16,Raw_Price!$A$2:$A$100,0)),""))</f>
        <v>46280</v>
      </c>
      <c r="J16" s="66" t="str">
        <f aca="true">IF($A16="","",IF($B16=0,"未抓取",IF($B16&lt;$C16,"需補歷史 ("&amp;($C16-$B16)&amp;" 季)",IF(TODAY()&gt;$G16,"待更新財報","OK"))))</f>
        <v>OK</v>
      </c>
    </row>
    <row r="17" customFormat="false" ht="15" hidden="false" customHeight="false" outlineLevel="0" collapsed="false">
      <c r="A17" s="16" t="str">
        <f aca="false">IF(Calc!$A$15="","",Calc!$A$15)</f>
        <v>GOOG</v>
      </c>
      <c r="B17" s="47" t="n">
        <f aca="false">IF($A17="","",COUNTIFS(Raw_Q!$A$2:$A$600,$A17,Raw_Q!$F$2:$F$600,"N"))</f>
        <v>24</v>
      </c>
      <c r="C17" s="47" t="n">
        <f aca="false">IF($A17="","",Config!$B$4)</f>
        <v>24</v>
      </c>
      <c r="D17" s="67" t="n">
        <f aca="false">IF($A17="","",IFERROR(SUMIFS(Raw_Q!$E$2:$E$600,Raw_Q!$A$2:$A$600,$A17,Raw_Q!$P$2:$P$600,$B17),""))</f>
        <v>44104</v>
      </c>
      <c r="E17" s="67" t="n">
        <f aca="false">IF($A17="","",IFERROR(SUMIFS(Raw_Q!$E$2:$E$600,Raw_Q!$A$2:$A$600,$A17,Raw_Q!$P$2:$P$600,1),""))</f>
        <v>46203</v>
      </c>
      <c r="F17" s="66" t="str">
        <f aca="false">IF($A17="","",IFERROR(INDEX(Raw_Q!$B$2:$B$600,MATCH($A17&amp;"|"&amp;0,Raw_Q!$Q$2:$Q$600,0)),""))</f>
        <v>FY2026Q3E</v>
      </c>
      <c r="G17" s="67" t="n">
        <f aca="false">IF($A17="","",IFERROR(INDEX(Raw_Price!$D$2:$D$100,MATCH($A17,Raw_Price!$A$2:$A$100,0)),""))</f>
        <v>46323</v>
      </c>
      <c r="H17" s="47" t="n">
        <f aca="true">IF($A17="","",IFERROR(INDEX(Raw_Price!$D$2:$D$100,MATCH($A17,Raw_Price!$A$2:$A$100,0))-TODAY(),""))</f>
        <v>43</v>
      </c>
      <c r="I17" s="67" t="n">
        <f aca="false">IF($A17="","",IFERROR(INDEX(Raw_Price!$E$2:$E$100,MATCH($A17,Raw_Price!$A$2:$A$100,0)),""))</f>
        <v>46280</v>
      </c>
      <c r="J17" s="66" t="str">
        <f aca="true">IF($A17="","",IF($B17=0,"未抓取",IF($B17&lt;$C17,"需補歷史 ("&amp;($C17-$B17)&amp;" 季)",IF(TODAY()&gt;$G17,"待更新財報","OK"))))</f>
        <v>OK</v>
      </c>
    </row>
    <row r="18" customFormat="false" ht="15" hidden="false" customHeight="false" outlineLevel="0" collapsed="false">
      <c r="A18" s="16" t="str">
        <f aca="false">IF(Calc!$A$16="","",Calc!$A$16)</f>
        <v>OKTA</v>
      </c>
      <c r="B18" s="47" t="n">
        <f aca="false">IF($A18="","",COUNTIFS(Raw_Q!$A$2:$A$600,$A18,Raw_Q!$F$2:$F$600,"N"))</f>
        <v>24</v>
      </c>
      <c r="C18" s="47" t="n">
        <f aca="false">IF($A18="","",Config!$B$4)</f>
        <v>24</v>
      </c>
      <c r="D18" s="67" t="n">
        <f aca="false">IF($A18="","",IFERROR(SUMIFS(Raw_Q!$E$2:$E$600,Raw_Q!$A$2:$A$600,$A18,Raw_Q!$P$2:$P$600,$B18),""))</f>
        <v>44135</v>
      </c>
      <c r="E18" s="67" t="n">
        <f aca="false">IF($A18="","",IFERROR(SUMIFS(Raw_Q!$E$2:$E$600,Raw_Q!$A$2:$A$600,$A18,Raw_Q!$P$2:$P$600,1),""))</f>
        <v>46234</v>
      </c>
      <c r="F18" s="66" t="str">
        <f aca="false">IF($A18="","",IFERROR(INDEX(Raw_Q!$B$2:$B$600,MATCH($A18&amp;"|"&amp;0,Raw_Q!$Q$2:$Q$600,0)),""))</f>
        <v>FY2027Q3E</v>
      </c>
      <c r="G18" s="67" t="n">
        <f aca="false">IF($A18="","",IFERROR(INDEX(Raw_Price!$D$2:$D$100,MATCH($A18,Raw_Price!$A$2:$A$100,0)),""))</f>
        <v>46357</v>
      </c>
      <c r="H18" s="47" t="n">
        <f aca="true">IF($A18="","",IFERROR(INDEX(Raw_Price!$D$2:$D$100,MATCH($A18,Raw_Price!$A$2:$A$100,0))-TODAY(),""))</f>
        <v>77</v>
      </c>
      <c r="I18" s="67" t="n">
        <f aca="false">IF($A18="","",IFERROR(INDEX(Raw_Price!$E$2:$E$100,MATCH($A18,Raw_Price!$A$2:$A$100,0)),""))</f>
        <v>46280</v>
      </c>
      <c r="J18" s="66" t="str">
        <f aca="true">IF($A18="","",IF($B18=0,"未抓取",IF($B18&lt;$C18,"需補歷史 ("&amp;($C18-$B18)&amp;" 季)",IF(TODAY()&gt;$G18,"待更新財報","OK"))))</f>
        <v>OK</v>
      </c>
    </row>
    <row r="19" customFormat="false" ht="15" hidden="false" customHeight="false" outlineLevel="0" collapsed="false">
      <c r="A19" s="16" t="str">
        <f aca="false">IF(Calc!$A$17="","",Calc!$A$17)</f>
        <v>PLTR</v>
      </c>
      <c r="B19" s="47" t="n">
        <f aca="false">IF($A19="","",COUNTIFS(Raw_Q!$A$2:$A$600,$A19,Raw_Q!$F$2:$F$600,"N"))</f>
        <v>24</v>
      </c>
      <c r="C19" s="47" t="n">
        <f aca="false">IF($A19="","",Config!$B$4)</f>
        <v>24</v>
      </c>
      <c r="D19" s="67" t="n">
        <f aca="false">IF($A19="","",IFERROR(SUMIFS(Raw_Q!$E$2:$E$600,Raw_Q!$A$2:$A$600,$A19,Raw_Q!$P$2:$P$600,$B19),""))</f>
        <v>44104</v>
      </c>
      <c r="E19" s="67" t="n">
        <f aca="false">IF($A19="","",IFERROR(SUMIFS(Raw_Q!$E$2:$E$600,Raw_Q!$A$2:$A$600,$A19,Raw_Q!$P$2:$P$600,1),""))</f>
        <v>46203</v>
      </c>
      <c r="F19" s="66" t="str">
        <f aca="false">IF($A19="","",IFERROR(INDEX(Raw_Q!$B$2:$B$600,MATCH($A19&amp;"|"&amp;0,Raw_Q!$Q$2:$Q$600,0)),""))</f>
        <v>FY2026Q3E</v>
      </c>
      <c r="G19" s="67" t="n">
        <f aca="false">IF($A19="","",IFERROR(INDEX(Raw_Price!$D$2:$D$100,MATCH($A19,Raw_Price!$A$2:$A$100,0)),""))</f>
        <v>46328</v>
      </c>
      <c r="H19" s="47" t="n">
        <f aca="true">IF($A19="","",IFERROR(INDEX(Raw_Price!$D$2:$D$100,MATCH($A19,Raw_Price!$A$2:$A$100,0))-TODAY(),""))</f>
        <v>48</v>
      </c>
      <c r="I19" s="67" t="n">
        <f aca="false">IF($A19="","",IFERROR(INDEX(Raw_Price!$E$2:$E$100,MATCH($A19,Raw_Price!$A$2:$A$100,0)),""))</f>
        <v>46280</v>
      </c>
      <c r="J19" s="66" t="str">
        <f aca="true">IF($A19="","",IF($B19=0,"未抓取",IF($B19&lt;$C19,"需補歷史 ("&amp;($C19-$B19)&amp;" 季)",IF(TODAY()&gt;$G19,"待更新財報","OK"))))</f>
        <v>OK</v>
      </c>
    </row>
    <row r="20" customFormat="false" ht="15" hidden="false" customHeight="false" outlineLevel="0" collapsed="false">
      <c r="A20" s="16" t="str">
        <f aca="false">IF(Calc!$A$18="","",Calc!$A$18)</f>
        <v>SMTC</v>
      </c>
      <c r="B20" s="47" t="n">
        <f aca="false">IF($A20="","",COUNTIFS(Raw_Q!$A$2:$A$600,$A20,Raw_Q!$F$2:$F$600,"N"))</f>
        <v>24</v>
      </c>
      <c r="C20" s="47" t="n">
        <f aca="false">IF($A20="","",Config!$B$4)</f>
        <v>24</v>
      </c>
      <c r="D20" s="67" t="n">
        <f aca="false">IF($A20="","",IFERROR(SUMIFS(Raw_Q!$E$2:$E$600,Raw_Q!$A$2:$A$600,$A20,Raw_Q!$P$2:$P$600,$B20),""))</f>
        <v>44135</v>
      </c>
      <c r="E20" s="67" t="n">
        <f aca="false">IF($A20="","",IFERROR(SUMIFS(Raw_Q!$E$2:$E$600,Raw_Q!$A$2:$A$600,$A20,Raw_Q!$P$2:$P$600,1),""))</f>
        <v>46234</v>
      </c>
      <c r="F20" s="66" t="str">
        <f aca="false">IF($A20="","",IFERROR(INDEX(Raw_Q!$B$2:$B$600,MATCH($A20&amp;"|"&amp;0,Raw_Q!$Q$2:$Q$600,0)),""))</f>
        <v>FY2027Q3E</v>
      </c>
      <c r="G20" s="67" t="n">
        <f aca="false">IF($A20="","",IFERROR(INDEX(Raw_Price!$D$2:$D$100,MATCH($A20,Raw_Price!$A$2:$A$100,0)),""))</f>
        <v>46349</v>
      </c>
      <c r="H20" s="47" t="n">
        <f aca="true">IF($A20="","",IFERROR(INDEX(Raw_Price!$D$2:$D$100,MATCH($A20,Raw_Price!$A$2:$A$100,0))-TODAY(),""))</f>
        <v>69</v>
      </c>
      <c r="I20" s="67" t="n">
        <f aca="false">IF($A20="","",IFERROR(INDEX(Raw_Price!$E$2:$E$100,MATCH($A20,Raw_Price!$A$2:$A$100,0)),""))</f>
        <v>46280</v>
      </c>
      <c r="J20" s="66" t="str">
        <f aca="true">IF($A20="","",IF($B20=0,"未抓取",IF($B20&lt;$C20,"需補歷史 ("&amp;($C20-$B20)&amp;" 季)",IF(TODAY()&gt;$G20,"待更新財報","OK"))))</f>
        <v>OK</v>
      </c>
    </row>
    <row r="21" customFormat="false" ht="15" hidden="false" customHeight="false" outlineLevel="0" collapsed="false">
      <c r="A21" s="16" t="str">
        <f aca="false">IF(Calc!$A$19="","",Calc!$A$19)</f>
        <v>QCOM</v>
      </c>
      <c r="B21" s="47" t="n">
        <f aca="false">IF($A21="","",COUNTIFS(Raw_Q!$A$2:$A$600,$A21,Raw_Q!$F$2:$F$600,"N"))</f>
        <v>24</v>
      </c>
      <c r="C21" s="47" t="n">
        <f aca="false">IF($A21="","",Config!$B$4)</f>
        <v>24</v>
      </c>
      <c r="D21" s="67" t="n">
        <f aca="false">IF($A21="","",IFERROR(SUMIFS(Raw_Q!$E$2:$E$600,Raw_Q!$A$2:$A$600,$A21,Raw_Q!$P$2:$P$600,$B21),""))</f>
        <v>44104</v>
      </c>
      <c r="E21" s="67" t="n">
        <f aca="false">IF($A21="","",IFERROR(SUMIFS(Raw_Q!$E$2:$E$600,Raw_Q!$A$2:$A$600,$A21,Raw_Q!$P$2:$P$600,1),""))</f>
        <v>46203</v>
      </c>
      <c r="F21" s="66" t="str">
        <f aca="false">IF($A21="","",IFERROR(INDEX(Raw_Q!$B$2:$B$600,MATCH($A21&amp;"|"&amp;0,Raw_Q!$Q$2:$Q$600,0)),""))</f>
        <v>FY2026Q4E</v>
      </c>
      <c r="G21" s="67" t="n">
        <f aca="false">IF($A21="","",IFERROR(INDEX(Raw_Price!$D$2:$D$100,MATCH($A21,Raw_Price!$A$2:$A$100,0)),""))</f>
        <v>46324</v>
      </c>
      <c r="H21" s="47" t="n">
        <f aca="true">IF($A21="","",IFERROR(INDEX(Raw_Price!$D$2:$D$100,MATCH($A21,Raw_Price!$A$2:$A$100,0))-TODAY(),""))</f>
        <v>44</v>
      </c>
      <c r="I21" s="67" t="n">
        <f aca="false">IF($A21="","",IFERROR(INDEX(Raw_Price!$E$2:$E$100,MATCH($A21,Raw_Price!$A$2:$A$100,0)),""))</f>
        <v>46280</v>
      </c>
      <c r="J21" s="66" t="str">
        <f aca="true">IF($A21="","",IF($B21=0,"未抓取",IF($B21&lt;$C21,"需補歷史 ("&amp;($C21-$B21)&amp;" 季)",IF(TODAY()&gt;$G21,"待更新財報","OK"))))</f>
        <v>OK</v>
      </c>
    </row>
    <row r="22" customFormat="false" ht="15" hidden="false" customHeight="false" outlineLevel="0" collapsed="false">
      <c r="A22" s="16" t="str">
        <f aca="false">IF(Calc!$A$20="","",Calc!$A$20)</f>
        <v>AVGO</v>
      </c>
      <c r="B22" s="47" t="n">
        <f aca="false">IF($A22="","",COUNTIFS(Raw_Q!$A$2:$A$600,$A22,Raw_Q!$F$2:$F$600,"N"))</f>
        <v>24</v>
      </c>
      <c r="C22" s="47" t="n">
        <f aca="false">IF($A22="","",Config!$B$4)</f>
        <v>24</v>
      </c>
      <c r="D22" s="67" t="n">
        <f aca="false">IF($A22="","",IFERROR(SUMIFS(Raw_Q!$E$2:$E$600,Raw_Q!$A$2:$A$600,$A22,Raw_Q!$P$2:$P$600,$B22),""))</f>
        <v>44135</v>
      </c>
      <c r="E22" s="67" t="n">
        <f aca="false">IF($A22="","",IFERROR(SUMIFS(Raw_Q!$E$2:$E$600,Raw_Q!$A$2:$A$600,$A22,Raw_Q!$P$2:$P$600,1),""))</f>
        <v>46234</v>
      </c>
      <c r="F22" s="66" t="str">
        <f aca="false">IF($A22="","",IFERROR(INDEX(Raw_Q!$B$2:$B$600,MATCH($A22&amp;"|"&amp;0,Raw_Q!$Q$2:$Q$600,0)),""))</f>
        <v>FY2026Q4E</v>
      </c>
      <c r="G22" s="67" t="n">
        <f aca="false">IF($A22="","",IFERROR(INDEX(Raw_Price!$D$2:$D$100,MATCH($A22,Raw_Price!$A$2:$A$100,0)),""))</f>
        <v>46365</v>
      </c>
      <c r="H22" s="47" t="n">
        <f aca="true">IF($A22="","",IFERROR(INDEX(Raw_Price!$D$2:$D$100,MATCH($A22,Raw_Price!$A$2:$A$100,0))-TODAY(),""))</f>
        <v>85</v>
      </c>
      <c r="I22" s="67" t="n">
        <f aca="false">IF($A22="","",IFERROR(INDEX(Raw_Price!$E$2:$E$100,MATCH($A22,Raw_Price!$A$2:$A$100,0)),""))</f>
        <v>46280</v>
      </c>
      <c r="J22" s="66" t="str">
        <f aca="true">IF($A22="","",IF($B22=0,"未抓取",IF($B22&lt;$C22,"需補歷史 ("&amp;($C22-$B22)&amp;" 季)",IF(TODAY()&gt;$G22,"待更新財報","OK"))))</f>
        <v>OK</v>
      </c>
    </row>
    <row r="23" customFormat="false" ht="15" hidden="false" customHeight="false" outlineLevel="0" collapsed="false">
      <c r="A23" s="16" t="str">
        <f aca="false">IF(Calc!$A$21="","",Calc!$A$21)</f>
        <v>FTNT</v>
      </c>
      <c r="B23" s="47" t="n">
        <f aca="false">IF($A23="","",COUNTIFS(Raw_Q!$A$2:$A$600,$A23,Raw_Q!$F$2:$F$600,"N"))</f>
        <v>24</v>
      </c>
      <c r="C23" s="47" t="n">
        <f aca="false">IF($A23="","",Config!$B$4)</f>
        <v>24</v>
      </c>
      <c r="D23" s="67" t="n">
        <f aca="false">IF($A23="","",IFERROR(SUMIFS(Raw_Q!$E$2:$E$600,Raw_Q!$A$2:$A$600,$A23,Raw_Q!$P$2:$P$600,$B23),""))</f>
        <v>44104</v>
      </c>
      <c r="E23" s="67" t="n">
        <f aca="false">IF($A23="","",IFERROR(SUMIFS(Raw_Q!$E$2:$E$600,Raw_Q!$A$2:$A$600,$A23,Raw_Q!$P$2:$P$600,1),""))</f>
        <v>46203</v>
      </c>
      <c r="F23" s="66" t="str">
        <f aca="false">IF($A23="","",IFERROR(INDEX(Raw_Q!$B$2:$B$600,MATCH($A23&amp;"|"&amp;0,Raw_Q!$Q$2:$Q$600,0)),""))</f>
        <v>FY2026Q3E</v>
      </c>
      <c r="G23" s="67" t="n">
        <f aca="false">IF($A23="","",IFERROR(INDEX(Raw_Price!$D$2:$D$100,MATCH($A23,Raw_Price!$A$2:$A$100,0)),""))</f>
        <v>46330</v>
      </c>
      <c r="H23" s="47" t="n">
        <f aca="true">IF($A23="","",IFERROR(INDEX(Raw_Price!$D$2:$D$100,MATCH($A23,Raw_Price!$A$2:$A$100,0))-TODAY(),""))</f>
        <v>50</v>
      </c>
      <c r="I23" s="67" t="n">
        <f aca="false">IF($A23="","",IFERROR(INDEX(Raw_Price!$E$2:$E$100,MATCH($A23,Raw_Price!$A$2:$A$100,0)),""))</f>
        <v>46280</v>
      </c>
      <c r="J23" s="66" t="str">
        <f aca="true">IF($A23="","",IF($B23=0,"未抓取",IF($B23&lt;$C23,"需補歷史 ("&amp;($C23-$B23)&amp;" 季)",IF(TODAY()&gt;$G23,"待更新財報","OK"))))</f>
        <v>OK</v>
      </c>
    </row>
    <row r="24" customFormat="false" ht="15" hidden="false" customHeight="false" outlineLevel="0" collapsed="false">
      <c r="A24" s="16" t="str">
        <f aca="false">IF(Calc!$A$22="","",Calc!$A$22)</f>
        <v/>
      </c>
      <c r="B24" s="47" t="str">
        <f aca="false">IF($A24="","",COUNTIFS(Raw_Q!$A$2:$A$600,$A24,Raw_Q!$F$2:$F$600,"N"))</f>
        <v/>
      </c>
      <c r="C24" s="47" t="str">
        <f aca="false">IF($A24="","",Config!$B$4)</f>
        <v/>
      </c>
      <c r="D24" s="67" t="str">
        <f aca="false">IF($A24="","",IFERROR(SUMIFS(Raw_Q!$E$2:$E$600,Raw_Q!$A$2:$A$600,$A24,Raw_Q!$P$2:$P$600,$B24),""))</f>
        <v/>
      </c>
      <c r="E24" s="67" t="str">
        <f aca="false">IF($A24="","",IFERROR(SUMIFS(Raw_Q!$E$2:$E$600,Raw_Q!$A$2:$A$600,$A24,Raw_Q!$P$2:$P$600,1),""))</f>
        <v/>
      </c>
      <c r="F24" s="66" t="str">
        <f aca="false">IF($A24="","",IFERROR(INDEX(Raw_Q!$B$2:$B$600,MATCH($A24&amp;"|"&amp;0,Raw_Q!$Q$2:$Q$600,0)),""))</f>
        <v/>
      </c>
      <c r="G24" s="67" t="str">
        <f aca="false">IF($A24="","",IFERROR(INDEX(Raw_Price!$D$2:$D$100,MATCH($A24,Raw_Price!$A$2:$A$100,0)),""))</f>
        <v/>
      </c>
      <c r="H24" s="47" t="str">
        <f aca="true">IF($A24="","",IFERROR(INDEX(Raw_Price!$D$2:$D$100,MATCH($A24,Raw_Price!$A$2:$A$100,0))-TODAY(),""))</f>
        <v/>
      </c>
      <c r="I24" s="67" t="str">
        <f aca="false">IF($A24="","",IFERROR(INDEX(Raw_Price!$E$2:$E$100,MATCH($A24,Raw_Price!$A$2:$A$100,0)),""))</f>
        <v/>
      </c>
      <c r="J24" s="66" t="str">
        <f aca="true">IF($A24="","",IF($B24=0,"未抓取",IF($B24&lt;$C24,"需補歷史 ("&amp;($C24-$B24)&amp;" 季)",IF(TODAY()&gt;$G24,"待更新財報","OK"))))</f>
        <v/>
      </c>
    </row>
    <row r="25" customFormat="false" ht="15" hidden="false" customHeight="false" outlineLevel="0" collapsed="false">
      <c r="A25" s="16" t="str">
        <f aca="false">IF(Calc!$A$23="","",Calc!$A$23)</f>
        <v/>
      </c>
      <c r="B25" s="47" t="str">
        <f aca="false">IF($A25="","",COUNTIFS(Raw_Q!$A$2:$A$600,$A25,Raw_Q!$F$2:$F$600,"N"))</f>
        <v/>
      </c>
      <c r="C25" s="47" t="str">
        <f aca="false">IF($A25="","",Config!$B$4)</f>
        <v/>
      </c>
      <c r="D25" s="67" t="str">
        <f aca="false">IF($A25="","",IFERROR(SUMIFS(Raw_Q!$E$2:$E$600,Raw_Q!$A$2:$A$600,$A25,Raw_Q!$P$2:$P$600,$B25),""))</f>
        <v/>
      </c>
      <c r="E25" s="67" t="str">
        <f aca="false">IF($A25="","",IFERROR(SUMIFS(Raw_Q!$E$2:$E$600,Raw_Q!$A$2:$A$600,$A25,Raw_Q!$P$2:$P$600,1),""))</f>
        <v/>
      </c>
      <c r="F25" s="66" t="str">
        <f aca="false">IF($A25="","",IFERROR(INDEX(Raw_Q!$B$2:$B$600,MATCH($A25&amp;"|"&amp;0,Raw_Q!$Q$2:$Q$600,0)),""))</f>
        <v/>
      </c>
      <c r="G25" s="67" t="str">
        <f aca="false">IF($A25="","",IFERROR(INDEX(Raw_Price!$D$2:$D$100,MATCH($A25,Raw_Price!$A$2:$A$100,0)),""))</f>
        <v/>
      </c>
      <c r="H25" s="47" t="str">
        <f aca="true">IF($A25="","",IFERROR(INDEX(Raw_Price!$D$2:$D$100,MATCH($A25,Raw_Price!$A$2:$A$100,0))-TODAY(),""))</f>
        <v/>
      </c>
      <c r="I25" s="67" t="str">
        <f aca="false">IF($A25="","",IFERROR(INDEX(Raw_Price!$E$2:$E$100,MATCH($A25,Raw_Price!$A$2:$A$100,0)),""))</f>
        <v/>
      </c>
      <c r="J25" s="66" t="str">
        <f aca="true">IF($A25="","",IF($B25=0,"未抓取",IF($B25&lt;$C25,"需補歷史 ("&amp;($C25-$B25)&amp;" 季)",IF(TODAY()&gt;$G25,"待更新財報","OK"))))</f>
        <v/>
      </c>
    </row>
    <row r="26" customFormat="false" ht="15" hidden="false" customHeight="false" outlineLevel="0" collapsed="false">
      <c r="A26" s="16" t="str">
        <f aca="false">IF(Calc!$A$24="","",Calc!$A$24)</f>
        <v>↑ 藍字＝手動輸入。新增股票就在第 2~21 列往下打一列，其餘分頁全自動延伸。</v>
      </c>
      <c r="B26" s="47" t="n">
        <f aca="false">IF($A26="","",COUNTIFS(Raw_Q!$A$2:$A$600,$A26,Raw_Q!$F$2:$F$600,"N"))</f>
        <v>0</v>
      </c>
      <c r="C26" s="47" t="n">
        <f aca="false">IF($A26="","",Config!$B$4)</f>
        <v>24</v>
      </c>
      <c r="D26" s="67" t="n">
        <f aca="false">IF($A26="","",IFERROR(SUMIFS(Raw_Q!$E$2:$E$600,Raw_Q!$A$2:$A$600,$A26,Raw_Q!$P$2:$P$600,$B26),""))</f>
        <v>0</v>
      </c>
      <c r="E26" s="67" t="n">
        <f aca="false">IF($A26="","",IFERROR(SUMIFS(Raw_Q!$E$2:$E$600,Raw_Q!$A$2:$A$600,$A26,Raw_Q!$P$2:$P$600,1),""))</f>
        <v>0</v>
      </c>
      <c r="F26" s="66" t="str">
        <f aca="false">IF($A26="","",IFERROR(INDEX(Raw_Q!$B$2:$B$600,MATCH($A26&amp;"|"&amp;0,Raw_Q!$Q$2:$Q$600,0)),""))</f>
        <v/>
      </c>
      <c r="G26" s="67" t="str">
        <f aca="false">IF($A26="","",IFERROR(INDEX(Raw_Price!$D$2:$D$100,MATCH($A26,Raw_Price!$A$2:$A$100,0)),""))</f>
        <v/>
      </c>
      <c r="H26" s="47" t="str">
        <f aca="true">IF($A26="","",IFERROR(INDEX(Raw_Price!$D$2:$D$100,MATCH($A26,Raw_Price!$A$2:$A$100,0))-TODAY(),""))</f>
        <v/>
      </c>
      <c r="I26" s="67" t="str">
        <f aca="false">IF($A26="","",IFERROR(INDEX(Raw_Price!$E$2:$E$100,MATCH($A26,Raw_Price!$A$2:$A$100,0)),""))</f>
        <v/>
      </c>
      <c r="J26" s="66" t="str">
        <f aca="true">IF($A26="","",IF($B26=0,"未抓取",IF($B26&lt;$C26,"需補歷史 ("&amp;($C26-$B26)&amp;" 季)",IF(TODAY()&gt;$G26,"待更新財報","OK"))))</f>
        <v>未抓取</v>
      </c>
    </row>
    <row r="27" customFormat="false" ht="15" hidden="false" customHeight="false" outlineLevel="0" collapsed="false">
      <c r="A27" s="16" t="str">
        <f aca="false">IF(Calc!$A$25="","",Calc!$A$25)</f>
        <v/>
      </c>
      <c r="B27" s="47" t="str">
        <f aca="false">IF($A27="","",COUNTIFS(Raw_Q!$A$2:$A$600,$A27,Raw_Q!$F$2:$F$600,"N"))</f>
        <v/>
      </c>
      <c r="C27" s="47" t="str">
        <f aca="false">IF($A27="","",Config!$B$4)</f>
        <v/>
      </c>
      <c r="D27" s="67" t="str">
        <f aca="false">IF($A27="","",IFERROR(SUMIFS(Raw_Q!$E$2:$E$600,Raw_Q!$A$2:$A$600,$A27,Raw_Q!$P$2:$P$600,$B27),""))</f>
        <v/>
      </c>
      <c r="E27" s="67" t="str">
        <f aca="false">IF($A27="","",IFERROR(SUMIFS(Raw_Q!$E$2:$E$600,Raw_Q!$A$2:$A$600,$A27,Raw_Q!$P$2:$P$600,1),""))</f>
        <v/>
      </c>
      <c r="F27" s="66" t="str">
        <f aca="false">IF($A27="","",IFERROR(INDEX(Raw_Q!$B$2:$B$600,MATCH($A27&amp;"|"&amp;0,Raw_Q!$Q$2:$Q$600,0)),""))</f>
        <v/>
      </c>
      <c r="G27" s="67" t="str">
        <f aca="false">IF($A27="","",IFERROR(INDEX(Raw_Price!$D$2:$D$100,MATCH($A27,Raw_Price!$A$2:$A$100,0)),""))</f>
        <v/>
      </c>
      <c r="H27" s="47" t="str">
        <f aca="true">IF($A27="","",IFERROR(INDEX(Raw_Price!$D$2:$D$100,MATCH($A27,Raw_Price!$A$2:$A$100,0))-TODAY(),""))</f>
        <v/>
      </c>
      <c r="I27" s="67" t="str">
        <f aca="false">IF($A27="","",IFERROR(INDEX(Raw_Price!$E$2:$E$100,MATCH($A27,Raw_Price!$A$2:$A$100,0)),""))</f>
        <v/>
      </c>
      <c r="J27" s="66" t="str">
        <f aca="true">IF($A27="","",IF($B27=0,"未抓取",IF($B27&lt;$C27,"需補歷史 ("&amp;($C27-$B27)&amp;" 季)",IF(TODAY()&gt;$G27,"待更新財報","OK"))))</f>
        <v/>
      </c>
    </row>
    <row r="28" customFormat="false" ht="15" hidden="false" customHeight="false" outlineLevel="0" collapsed="false">
      <c r="A28" s="16" t="str">
        <f aca="false">IF(Calc!$A$26="","",Calc!$A$26)</f>
        <v/>
      </c>
      <c r="B28" s="47" t="str">
        <f aca="false">IF($A28="","",COUNTIFS(Raw_Q!$A$2:$A$600,$A28,Raw_Q!$F$2:$F$600,"N"))</f>
        <v/>
      </c>
      <c r="C28" s="47" t="str">
        <f aca="false">IF($A28="","",Config!$B$4)</f>
        <v/>
      </c>
      <c r="D28" s="67" t="str">
        <f aca="false">IF($A28="","",IFERROR(SUMIFS(Raw_Q!$E$2:$E$600,Raw_Q!$A$2:$A$600,$A28,Raw_Q!$P$2:$P$600,$B28),""))</f>
        <v/>
      </c>
      <c r="E28" s="67" t="str">
        <f aca="false">IF($A28="","",IFERROR(SUMIFS(Raw_Q!$E$2:$E$600,Raw_Q!$A$2:$A$600,$A28,Raw_Q!$P$2:$P$600,1),""))</f>
        <v/>
      </c>
      <c r="F28" s="66" t="str">
        <f aca="false">IF($A28="","",IFERROR(INDEX(Raw_Q!$B$2:$B$600,MATCH($A28&amp;"|"&amp;0,Raw_Q!$Q$2:$Q$600,0)),""))</f>
        <v/>
      </c>
      <c r="G28" s="67" t="str">
        <f aca="false">IF($A28="","",IFERROR(INDEX(Raw_Price!$D$2:$D$100,MATCH($A28,Raw_Price!$A$2:$A$100,0)),""))</f>
        <v/>
      </c>
      <c r="H28" s="47" t="str">
        <f aca="true">IF($A28="","",IFERROR(INDEX(Raw_Price!$D$2:$D$100,MATCH($A28,Raw_Price!$A$2:$A$100,0))-TODAY(),""))</f>
        <v/>
      </c>
      <c r="I28" s="67" t="str">
        <f aca="false">IF($A28="","",IFERROR(INDEX(Raw_Price!$E$2:$E$100,MATCH($A28,Raw_Price!$A$2:$A$100,0)),""))</f>
        <v/>
      </c>
      <c r="J28" s="66" t="str">
        <f aca="true">IF($A28="","",IF($B28=0,"未抓取",IF($B28&lt;$C28,"需補歷史 ("&amp;($C28-$B28)&amp;" 季)",IF(TODAY()&gt;$G28,"待更新財報","OK"))))</f>
        <v/>
      </c>
    </row>
    <row r="30" customFormat="false" ht="15" hidden="false" customHeight="false" outlineLevel="0" collapsed="false">
      <c r="A30" s="24" t="s">
        <v>161</v>
      </c>
    </row>
  </sheetData>
  <conditionalFormatting sqref="J4:J28">
    <cfRule type="cellIs" priority="2" operator="equal" aboveAverage="0" equalAverage="0" bottom="0" percent="0" rank="0" text="" dxfId="91">
      <formula>"OK"</formula>
    </cfRule>
    <cfRule type="cellIs" priority="3" operator="equal" aboveAverage="0" equalAverage="0" bottom="0" percent="0" rank="0" text="" dxfId="92">
      <formula>"待更新財報"</formula>
    </cfRule>
    <cfRule type="expression" priority="4" aboveAverage="0" equalAverage="0" bottom="0" percent="0" rank="0" text="" dxfId="93">
      <formula>ISNUMBER(SEARCH("補歷史",$J4))</formula>
    </cfRule>
  </conditionalFormatting>
  <conditionalFormatting sqref="H4:H28">
    <cfRule type="cellIs" priority="5" operator="lessThan" aboveAverage="0" equalAverage="0" bottom="0" percent="0" rank="0" text="" dxfId="94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4" t="s">
        <v>155</v>
      </c>
      <c r="B1" s="15" t="s">
        <v>162</v>
      </c>
      <c r="C1" s="15" t="s">
        <v>163</v>
      </c>
      <c r="D1" s="15" t="s">
        <v>54</v>
      </c>
      <c r="E1" s="15" t="s">
        <v>164</v>
      </c>
      <c r="F1" s="15" t="s">
        <v>165</v>
      </c>
      <c r="G1" s="15" t="s">
        <v>166</v>
      </c>
    </row>
    <row r="2" customFormat="false" ht="15" hidden="false" customHeight="false" outlineLevel="0" collapsed="false">
      <c r="A2" s="73" t="s">
        <v>84</v>
      </c>
      <c r="B2" s="73" t="s">
        <v>167</v>
      </c>
      <c r="C2" s="74" t="s">
        <v>168</v>
      </c>
      <c r="D2" s="73"/>
      <c r="E2" s="73"/>
      <c r="F2" s="75"/>
      <c r="G2" s="73"/>
    </row>
    <row r="3" customFormat="false" ht="15" hidden="false" customHeight="false" outlineLevel="0" collapsed="false">
      <c r="A3" s="73" t="s">
        <v>169</v>
      </c>
      <c r="B3" s="73" t="s">
        <v>170</v>
      </c>
      <c r="C3" s="74" t="s">
        <v>171</v>
      </c>
      <c r="D3" s="73"/>
      <c r="E3" s="73"/>
      <c r="F3" s="75"/>
      <c r="G3" s="73"/>
    </row>
    <row r="4" customFormat="false" ht="15" hidden="false" customHeight="false" outlineLevel="0" collapsed="false">
      <c r="A4" s="73" t="s">
        <v>172</v>
      </c>
      <c r="B4" s="73" t="s">
        <v>173</v>
      </c>
      <c r="C4" s="74" t="s">
        <v>174</v>
      </c>
      <c r="D4" s="73"/>
      <c r="E4" s="73"/>
      <c r="F4" s="75"/>
      <c r="G4" s="73"/>
    </row>
    <row r="5" customFormat="false" ht="15" hidden="false" customHeight="false" outlineLevel="0" collapsed="false">
      <c r="A5" s="73" t="s">
        <v>175</v>
      </c>
      <c r="B5" s="73" t="s">
        <v>176</v>
      </c>
      <c r="C5" s="74" t="s">
        <v>168</v>
      </c>
      <c r="D5" s="74" t="s">
        <v>177</v>
      </c>
      <c r="E5" s="73" t="s">
        <v>178</v>
      </c>
      <c r="F5" s="75" t="n">
        <v>46263</v>
      </c>
      <c r="G5" s="73"/>
    </row>
    <row r="6" customFormat="false" ht="15" hidden="false" customHeight="false" outlineLevel="0" collapsed="false">
      <c r="A6" s="73" t="s">
        <v>179</v>
      </c>
      <c r="B6" s="73" t="s">
        <v>180</v>
      </c>
      <c r="C6" s="74" t="s">
        <v>174</v>
      </c>
      <c r="D6" s="74" t="s">
        <v>181</v>
      </c>
      <c r="E6" s="73"/>
      <c r="F6" s="75" t="n">
        <v>46264</v>
      </c>
      <c r="G6" s="73"/>
    </row>
    <row r="7" customFormat="false" ht="15" hidden="false" customHeight="false" outlineLevel="0" collapsed="false">
      <c r="A7" s="73" t="s">
        <v>182</v>
      </c>
      <c r="B7" s="73" t="s">
        <v>183</v>
      </c>
      <c r="C7" s="74" t="s">
        <v>174</v>
      </c>
      <c r="D7" s="74" t="s">
        <v>181</v>
      </c>
      <c r="E7" s="73"/>
      <c r="F7" s="75" t="n">
        <v>46264</v>
      </c>
      <c r="G7" s="73"/>
    </row>
    <row r="8" customFormat="false" ht="15" hidden="false" customHeight="false" outlineLevel="0" collapsed="false">
      <c r="A8" s="73" t="s">
        <v>184</v>
      </c>
      <c r="B8" s="73" t="s">
        <v>185</v>
      </c>
      <c r="C8" s="74" t="s">
        <v>186</v>
      </c>
      <c r="D8" s="74" t="s">
        <v>181</v>
      </c>
      <c r="E8" s="73"/>
      <c r="F8" s="75" t="n">
        <v>46265</v>
      </c>
      <c r="G8" s="73"/>
    </row>
    <row r="9" customFormat="false" ht="15" hidden="false" customHeight="false" outlineLevel="0" collapsed="false">
      <c r="A9" s="73" t="s">
        <v>187</v>
      </c>
      <c r="B9" s="73" t="s">
        <v>188</v>
      </c>
      <c r="C9" s="74" t="s">
        <v>168</v>
      </c>
      <c r="D9" s="74" t="s">
        <v>181</v>
      </c>
      <c r="E9" s="73"/>
      <c r="F9" s="75" t="n">
        <v>46265</v>
      </c>
      <c r="G9" s="73"/>
    </row>
    <row r="10" customFormat="false" ht="15" hidden="false" customHeight="false" outlineLevel="0" collapsed="false">
      <c r="A10" s="73" t="s">
        <v>189</v>
      </c>
      <c r="B10" s="73" t="s">
        <v>190</v>
      </c>
      <c r="C10" s="74" t="s">
        <v>174</v>
      </c>
      <c r="D10" s="74" t="s">
        <v>181</v>
      </c>
      <c r="E10" s="73"/>
      <c r="F10" s="75" t="n">
        <v>46265</v>
      </c>
      <c r="G10" s="73"/>
    </row>
    <row r="11" customFormat="false" ht="15" hidden="false" customHeight="false" outlineLevel="0" collapsed="false">
      <c r="A11" s="73" t="s">
        <v>191</v>
      </c>
      <c r="B11" s="73" t="s">
        <v>192</v>
      </c>
      <c r="C11" s="74" t="s">
        <v>171</v>
      </c>
      <c r="D11" s="74" t="s">
        <v>181</v>
      </c>
      <c r="E11" s="73"/>
      <c r="F11" s="75" t="n">
        <v>46266</v>
      </c>
      <c r="G11" s="73"/>
    </row>
    <row r="12" customFormat="false" ht="15" hidden="false" customHeight="false" outlineLevel="0" collapsed="false">
      <c r="A12" s="73" t="s">
        <v>193</v>
      </c>
      <c r="B12" s="73" t="s">
        <v>194</v>
      </c>
      <c r="C12" s="74" t="s">
        <v>171</v>
      </c>
      <c r="D12" s="74" t="s">
        <v>195</v>
      </c>
      <c r="E12" s="73"/>
      <c r="F12" s="75" t="n">
        <v>46267</v>
      </c>
      <c r="G12" s="73"/>
    </row>
    <row r="13" customFormat="false" ht="15" hidden="false" customHeight="false" outlineLevel="0" collapsed="false">
      <c r="A13" s="73" t="s">
        <v>196</v>
      </c>
      <c r="B13" s="73" t="s">
        <v>197</v>
      </c>
      <c r="C13" s="74" t="s">
        <v>198</v>
      </c>
      <c r="D13" s="74" t="s">
        <v>181</v>
      </c>
      <c r="E13" s="73"/>
      <c r="F13" s="75" t="n">
        <v>46274</v>
      </c>
      <c r="G13" s="73"/>
    </row>
    <row r="14" customFormat="false" ht="15" hidden="false" customHeight="false" outlineLevel="0" collapsed="false">
      <c r="A14" s="73" t="s">
        <v>199</v>
      </c>
      <c r="B14" s="73" t="s">
        <v>200</v>
      </c>
      <c r="C14" s="74" t="s">
        <v>201</v>
      </c>
      <c r="D14" s="74" t="s">
        <v>181</v>
      </c>
      <c r="E14" s="73"/>
      <c r="F14" s="75" t="n">
        <v>46274</v>
      </c>
      <c r="G14" s="73"/>
    </row>
    <row r="15" customFormat="false" ht="15" hidden="false" customHeight="false" outlineLevel="0" collapsed="false">
      <c r="A15" s="73" t="s">
        <v>202</v>
      </c>
      <c r="B15" s="73" t="s">
        <v>203</v>
      </c>
      <c r="C15" s="74" t="s">
        <v>204</v>
      </c>
      <c r="D15" s="74" t="s">
        <v>181</v>
      </c>
      <c r="E15" s="73"/>
      <c r="F15" s="75" t="n">
        <v>46275</v>
      </c>
      <c r="G15" s="73"/>
    </row>
    <row r="16" customFormat="false" ht="15" hidden="false" customHeight="false" outlineLevel="0" collapsed="false">
      <c r="A16" s="73" t="s">
        <v>205</v>
      </c>
      <c r="B16" s="73" t="s">
        <v>206</v>
      </c>
      <c r="C16" s="74" t="s">
        <v>171</v>
      </c>
      <c r="D16" s="74" t="s">
        <v>181</v>
      </c>
      <c r="E16" s="74" t="s">
        <v>207</v>
      </c>
      <c r="F16" s="75" t="n">
        <v>46275</v>
      </c>
      <c r="G16" s="73"/>
    </row>
    <row r="17" customFormat="false" ht="15" hidden="false" customHeight="false" outlineLevel="0" collapsed="false">
      <c r="A17" s="73" t="s">
        <v>208</v>
      </c>
      <c r="B17" s="73" t="s">
        <v>209</v>
      </c>
      <c r="C17" s="74" t="s">
        <v>171</v>
      </c>
      <c r="D17" s="74" t="s">
        <v>181</v>
      </c>
      <c r="E17" s="73"/>
      <c r="F17" s="75" t="n">
        <v>46275</v>
      </c>
      <c r="G17" s="73"/>
    </row>
    <row r="18" customFormat="false" ht="15" hidden="false" customHeight="false" outlineLevel="0" collapsed="false">
      <c r="A18" s="73" t="s">
        <v>210</v>
      </c>
      <c r="B18" s="73" t="s">
        <v>211</v>
      </c>
      <c r="C18" s="74" t="s">
        <v>174</v>
      </c>
      <c r="D18" s="74" t="s">
        <v>181</v>
      </c>
      <c r="E18" s="73"/>
      <c r="F18" s="75" t="n">
        <v>46275</v>
      </c>
      <c r="G18" s="73"/>
    </row>
    <row r="19" customFormat="false" ht="15" hidden="false" customHeight="false" outlineLevel="0" collapsed="false">
      <c r="A19" s="73" t="s">
        <v>212</v>
      </c>
      <c r="B19" s="73" t="s">
        <v>213</v>
      </c>
      <c r="C19" s="74" t="s">
        <v>174</v>
      </c>
      <c r="D19" s="74" t="s">
        <v>181</v>
      </c>
      <c r="E19" s="73"/>
      <c r="F19" s="75" t="n">
        <v>46276</v>
      </c>
      <c r="G19" s="73"/>
    </row>
    <row r="20" customFormat="false" ht="15" hidden="false" customHeight="false" outlineLevel="0" collapsed="false">
      <c r="A20" s="73" t="s">
        <v>214</v>
      </c>
      <c r="B20" s="73" t="s">
        <v>215</v>
      </c>
      <c r="C20" s="74" t="s">
        <v>174</v>
      </c>
      <c r="D20" s="74" t="s">
        <v>181</v>
      </c>
      <c r="E20" s="73"/>
      <c r="F20" s="75" t="n">
        <v>46279</v>
      </c>
      <c r="G20" s="73"/>
    </row>
    <row r="21" customFormat="false" ht="15" hidden="false" customHeight="false" outlineLevel="0" collapsed="false">
      <c r="A21" s="73" t="s">
        <v>216</v>
      </c>
      <c r="B21" s="73" t="s">
        <v>217</v>
      </c>
      <c r="C21" s="74" t="s">
        <v>171</v>
      </c>
      <c r="D21" s="74" t="s">
        <v>181</v>
      </c>
      <c r="E21" s="73"/>
      <c r="F21" s="75" t="n">
        <v>46280</v>
      </c>
      <c r="G21" s="73"/>
    </row>
    <row r="24" customFormat="false" ht="15" hidden="false" customHeight="false" outlineLevel="0" collapsed="false">
      <c r="A24" s="24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3" min="10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6"/>
    <col collapsed="false" customWidth="true" hidden="false" outlineLevel="0" max="17" min="17" style="0" width="11"/>
  </cols>
  <sheetData>
    <row r="1" customFormat="false" ht="31.5" hidden="false" customHeight="true" outlineLevel="0" collapsed="false">
      <c r="A1" s="14" t="s">
        <v>155</v>
      </c>
      <c r="B1" s="14" t="s">
        <v>219</v>
      </c>
      <c r="C1" s="14" t="s">
        <v>220</v>
      </c>
      <c r="D1" s="14" t="s">
        <v>221</v>
      </c>
      <c r="E1" s="14" t="s">
        <v>222</v>
      </c>
      <c r="F1" s="14" t="s">
        <v>223</v>
      </c>
      <c r="G1" s="14" t="s">
        <v>224</v>
      </c>
      <c r="H1" s="14" t="s">
        <v>225</v>
      </c>
      <c r="I1" s="14" t="s">
        <v>226</v>
      </c>
      <c r="J1" s="14" t="s">
        <v>227</v>
      </c>
      <c r="K1" s="14" t="s">
        <v>228</v>
      </c>
      <c r="L1" s="14" t="s">
        <v>229</v>
      </c>
      <c r="M1" s="14" t="s">
        <v>230</v>
      </c>
      <c r="N1" s="14" t="s">
        <v>231</v>
      </c>
      <c r="O1" s="14" t="s">
        <v>232</v>
      </c>
      <c r="P1" s="14" t="s">
        <v>233</v>
      </c>
      <c r="Q1" s="14" t="s">
        <v>234</v>
      </c>
    </row>
    <row r="2" customFormat="false" ht="15" hidden="false" customHeight="false" outlineLevel="0" collapsed="false">
      <c r="A2" s="76" t="s">
        <v>175</v>
      </c>
      <c r="B2" s="76" t="s">
        <v>235</v>
      </c>
      <c r="C2" s="77" t="n">
        <v>2026</v>
      </c>
      <c r="D2" s="77" t="n">
        <v>2</v>
      </c>
      <c r="E2" s="78" t="n">
        <v>46203</v>
      </c>
      <c r="F2" s="76" t="s">
        <v>236</v>
      </c>
      <c r="G2" s="76" t="s">
        <v>237</v>
      </c>
      <c r="H2" s="76" t="s">
        <v>238</v>
      </c>
      <c r="I2" s="79" t="n">
        <v>191.922</v>
      </c>
      <c r="J2" s="79" t="n">
        <v>53.207</v>
      </c>
      <c r="K2" s="80" t="n">
        <v>0.06</v>
      </c>
      <c r="L2" s="79" t="n">
        <v>81.568</v>
      </c>
      <c r="M2" s="79" t="n">
        <v>1668.025</v>
      </c>
      <c r="N2" s="80"/>
      <c r="O2" s="80" t="n">
        <v>148.160003662109</v>
      </c>
      <c r="P2" s="47" t="n">
        <v>1</v>
      </c>
      <c r="Q2" s="66" t="s">
        <v>239</v>
      </c>
    </row>
    <row r="3" customFormat="false" ht="15" hidden="false" customHeight="false" outlineLevel="0" collapsed="false">
      <c r="A3" s="76" t="s">
        <v>175</v>
      </c>
      <c r="B3" s="76" t="s">
        <v>240</v>
      </c>
      <c r="C3" s="77" t="n">
        <v>2026</v>
      </c>
      <c r="D3" s="77" t="n">
        <v>1</v>
      </c>
      <c r="E3" s="78" t="n">
        <v>46112</v>
      </c>
      <c r="F3" s="76" t="s">
        <v>236</v>
      </c>
      <c r="G3" s="76" t="s">
        <v>237</v>
      </c>
      <c r="H3" s="76" t="s">
        <v>238</v>
      </c>
      <c r="I3" s="79" t="n">
        <v>151.144</v>
      </c>
      <c r="J3" s="79" t="n">
        <v>43.916</v>
      </c>
      <c r="K3" s="80" t="n">
        <v>-0.07</v>
      </c>
      <c r="L3" s="79" t="n">
        <v>75.98</v>
      </c>
      <c r="M3" s="79" t="n">
        <v>1105.952</v>
      </c>
      <c r="N3" s="80"/>
      <c r="O3" s="80" t="n">
        <v>84.5899963378906</v>
      </c>
      <c r="P3" s="47" t="n">
        <v>2</v>
      </c>
      <c r="Q3" s="66" t="s">
        <v>241</v>
      </c>
    </row>
    <row r="4" customFormat="false" ht="15" hidden="false" customHeight="false" outlineLevel="0" collapsed="false">
      <c r="A4" s="76" t="s">
        <v>175</v>
      </c>
      <c r="B4" s="76" t="s">
        <v>242</v>
      </c>
      <c r="C4" s="77" t="n">
        <v>2025</v>
      </c>
      <c r="D4" s="77" t="n">
        <v>4</v>
      </c>
      <c r="E4" s="78" t="n">
        <v>46022</v>
      </c>
      <c r="F4" s="76" t="s">
        <v>236</v>
      </c>
      <c r="G4" s="76" t="s">
        <v>237</v>
      </c>
      <c r="H4" s="76" t="s">
        <v>238</v>
      </c>
      <c r="I4" s="79" t="n">
        <v>134.274</v>
      </c>
      <c r="J4" s="79" t="n">
        <v>41.944</v>
      </c>
      <c r="K4" s="80" t="n">
        <v>-0.01</v>
      </c>
      <c r="L4" s="79" t="n">
        <v>70.336</v>
      </c>
      <c r="M4" s="79" t="n">
        <v>733.918</v>
      </c>
      <c r="N4" s="80"/>
      <c r="O4" s="80" t="n">
        <v>34.8600006103516</v>
      </c>
      <c r="P4" s="47" t="n">
        <v>3</v>
      </c>
      <c r="Q4" s="66" t="s">
        <v>243</v>
      </c>
    </row>
    <row r="5" customFormat="false" ht="15" hidden="false" customHeight="false" outlineLevel="0" collapsed="false">
      <c r="A5" s="76" t="s">
        <v>175</v>
      </c>
      <c r="B5" s="76" t="s">
        <v>244</v>
      </c>
      <c r="C5" s="77" t="n">
        <v>2025</v>
      </c>
      <c r="D5" s="77" t="n">
        <v>3</v>
      </c>
      <c r="E5" s="78" t="n">
        <v>45930</v>
      </c>
      <c r="F5" s="76" t="s">
        <v>236</v>
      </c>
      <c r="G5" s="76" t="s">
        <v>237</v>
      </c>
      <c r="H5" s="76" t="s">
        <v>238</v>
      </c>
      <c r="I5" s="79" t="n">
        <v>118.63</v>
      </c>
      <c r="J5" s="79" t="n">
        <v>33.263</v>
      </c>
      <c r="K5" s="80" t="n">
        <v>-0.09</v>
      </c>
      <c r="L5" s="79" t="n">
        <v>63.329</v>
      </c>
      <c r="M5" s="79" t="n">
        <v>559.085</v>
      </c>
      <c r="N5" s="80"/>
      <c r="O5" s="80" t="n">
        <v>25.9300003051758</v>
      </c>
      <c r="P5" s="47" t="n">
        <v>4</v>
      </c>
      <c r="Q5" s="66" t="s">
        <v>245</v>
      </c>
    </row>
    <row r="6" customFormat="false" ht="15" hidden="false" customHeight="false" outlineLevel="0" collapsed="false">
      <c r="A6" s="76" t="s">
        <v>175</v>
      </c>
      <c r="B6" s="76" t="s">
        <v>246</v>
      </c>
      <c r="C6" s="77" t="n">
        <v>2025</v>
      </c>
      <c r="D6" s="77" t="n">
        <v>2</v>
      </c>
      <c r="E6" s="78" t="n">
        <v>45838</v>
      </c>
      <c r="F6" s="76" t="s">
        <v>236</v>
      </c>
      <c r="G6" s="76" t="s">
        <v>237</v>
      </c>
      <c r="H6" s="76" t="s">
        <v>238</v>
      </c>
      <c r="I6" s="79" t="n">
        <v>102.952</v>
      </c>
      <c r="J6" s="79" t="n">
        <v>31.162</v>
      </c>
      <c r="K6" s="80" t="n">
        <v>-0.16</v>
      </c>
      <c r="L6" s="79" t="n">
        <v>56.772</v>
      </c>
      <c r="M6" s="79" t="n">
        <v>424.981</v>
      </c>
      <c r="N6" s="80"/>
      <c r="O6" s="80" t="n">
        <v>25.6900005340576</v>
      </c>
      <c r="P6" s="47" t="n">
        <v>5</v>
      </c>
      <c r="Q6" s="66" t="s">
        <v>247</v>
      </c>
    </row>
    <row r="7" customFormat="false" ht="15" hidden="false" customHeight="false" outlineLevel="0" collapsed="false">
      <c r="A7" s="76" t="s">
        <v>175</v>
      </c>
      <c r="B7" s="76" t="s">
        <v>248</v>
      </c>
      <c r="C7" s="77" t="n">
        <v>2025</v>
      </c>
      <c r="D7" s="77" t="n">
        <v>1</v>
      </c>
      <c r="E7" s="78" t="n">
        <v>45747</v>
      </c>
      <c r="F7" s="76" t="s">
        <v>236</v>
      </c>
      <c r="G7" s="76" t="s">
        <v>237</v>
      </c>
      <c r="H7" s="76" t="s">
        <v>238</v>
      </c>
      <c r="I7" s="79" t="n">
        <v>99.859</v>
      </c>
      <c r="J7" s="79" t="n">
        <v>30.544</v>
      </c>
      <c r="K7" s="80" t="n">
        <v>-0.02</v>
      </c>
      <c r="L7" s="79" t="n">
        <v>44.458301</v>
      </c>
      <c r="M7" s="79" t="n">
        <v>309.013</v>
      </c>
      <c r="N7" s="80"/>
      <c r="O7" s="80" t="n">
        <v>15.3500003814697</v>
      </c>
      <c r="P7" s="47" t="n">
        <v>6</v>
      </c>
      <c r="Q7" s="66" t="s">
        <v>249</v>
      </c>
    </row>
    <row r="8" customFormat="false" ht="15" hidden="false" customHeight="false" outlineLevel="0" collapsed="false">
      <c r="A8" s="76" t="s">
        <v>175</v>
      </c>
      <c r="B8" s="76" t="s">
        <v>250</v>
      </c>
      <c r="C8" s="77" t="n">
        <v>2024</v>
      </c>
      <c r="D8" s="77" t="n">
        <v>4</v>
      </c>
      <c r="E8" s="78" t="n">
        <v>45657</v>
      </c>
      <c r="F8" s="76" t="s">
        <v>236</v>
      </c>
      <c r="G8" s="76" t="s">
        <v>237</v>
      </c>
      <c r="H8" s="76" t="s">
        <v>238</v>
      </c>
      <c r="I8" s="79" t="n">
        <v>100.271</v>
      </c>
      <c r="J8" s="79" t="n">
        <v>28.729</v>
      </c>
      <c r="K8" s="80" t="n">
        <v>-0.02</v>
      </c>
      <c r="L8" s="79" t="n">
        <v>83.077102</v>
      </c>
      <c r="M8" s="79" t="n">
        <v>229.112</v>
      </c>
      <c r="N8" s="80"/>
      <c r="O8" s="80" t="n">
        <v>36.8600006103516</v>
      </c>
      <c r="P8" s="47" t="n">
        <v>7</v>
      </c>
      <c r="Q8" s="66" t="s">
        <v>251</v>
      </c>
    </row>
    <row r="9" customFormat="false" ht="15" hidden="false" customHeight="false" outlineLevel="0" collapsed="false">
      <c r="A9" s="76" t="s">
        <v>175</v>
      </c>
      <c r="B9" s="76" t="s">
        <v>252</v>
      </c>
      <c r="C9" s="77" t="n">
        <v>2024</v>
      </c>
      <c r="D9" s="77" t="n">
        <v>3</v>
      </c>
      <c r="E9" s="78" t="n">
        <v>45565</v>
      </c>
      <c r="F9" s="76" t="s">
        <v>236</v>
      </c>
      <c r="G9" s="76" t="s">
        <v>237</v>
      </c>
      <c r="H9" s="76" t="s">
        <v>238</v>
      </c>
      <c r="I9" s="79" t="n">
        <v>65.151</v>
      </c>
      <c r="J9" s="79" t="n">
        <v>15.917</v>
      </c>
      <c r="K9" s="80" t="n">
        <v>-0.21</v>
      </c>
      <c r="L9" s="79" t="n">
        <v>39.16587</v>
      </c>
      <c r="M9" s="79" t="n">
        <v>212.086</v>
      </c>
      <c r="N9" s="80"/>
      <c r="O9" s="80" t="n">
        <v>14.3100004196167</v>
      </c>
      <c r="P9" s="47" t="n">
        <v>8</v>
      </c>
      <c r="Q9" s="66" t="s">
        <v>253</v>
      </c>
    </row>
    <row r="10" customFormat="false" ht="15" hidden="false" customHeight="false" outlineLevel="0" collapsed="false">
      <c r="A10" s="76" t="s">
        <v>175</v>
      </c>
      <c r="B10" s="76" t="s">
        <v>254</v>
      </c>
      <c r="C10" s="77" t="n">
        <v>2024</v>
      </c>
      <c r="D10" s="77" t="n">
        <v>2</v>
      </c>
      <c r="E10" s="78" t="n">
        <v>45473</v>
      </c>
      <c r="F10" s="76" t="s">
        <v>236</v>
      </c>
      <c r="G10" s="76" t="s">
        <v>237</v>
      </c>
      <c r="H10" s="76" t="s">
        <v>238</v>
      </c>
      <c r="I10" s="79" t="n">
        <v>43.27</v>
      </c>
      <c r="J10" s="79" t="n">
        <v>9.562</v>
      </c>
      <c r="K10" s="80" t="n">
        <v>-0.28</v>
      </c>
      <c r="L10" s="79" t="n">
        <v>36.78515</v>
      </c>
      <c r="M10" s="79" t="n">
        <v>186.494</v>
      </c>
      <c r="N10" s="80"/>
      <c r="O10" s="80" t="n">
        <v>8.28999996185303</v>
      </c>
      <c r="P10" s="47" t="n">
        <v>9</v>
      </c>
      <c r="Q10" s="66" t="s">
        <v>255</v>
      </c>
    </row>
    <row r="11" customFormat="false" ht="15" hidden="false" customHeight="false" outlineLevel="0" collapsed="false">
      <c r="A11" s="76" t="s">
        <v>175</v>
      </c>
      <c r="B11" s="76" t="s">
        <v>256</v>
      </c>
      <c r="C11" s="77" t="n">
        <v>2024</v>
      </c>
      <c r="D11" s="77" t="n">
        <v>1</v>
      </c>
      <c r="E11" s="78" t="n">
        <v>45382</v>
      </c>
      <c r="F11" s="76" t="s">
        <v>236</v>
      </c>
      <c r="G11" s="76" t="s">
        <v>237</v>
      </c>
      <c r="H11" s="76" t="s">
        <v>238</v>
      </c>
      <c r="I11" s="79" t="n">
        <v>40.673</v>
      </c>
      <c r="J11" s="79" t="n">
        <v>7.591</v>
      </c>
      <c r="K11" s="80" t="n">
        <v>-0.31</v>
      </c>
      <c r="L11" s="79" t="n">
        <v>34.316824</v>
      </c>
      <c r="M11" s="79" t="n">
        <v>195.726</v>
      </c>
      <c r="N11" s="80"/>
      <c r="O11" s="80" t="n">
        <v>13.8599996566773</v>
      </c>
      <c r="P11" s="47" t="n">
        <v>10</v>
      </c>
      <c r="Q11" s="66" t="s">
        <v>257</v>
      </c>
    </row>
    <row r="12" customFormat="false" ht="15" hidden="false" customHeight="false" outlineLevel="0" collapsed="false">
      <c r="A12" s="76" t="s">
        <v>175</v>
      </c>
      <c r="B12" s="76" t="s">
        <v>258</v>
      </c>
      <c r="C12" s="77" t="n">
        <v>2023</v>
      </c>
      <c r="D12" s="77" t="n">
        <v>4</v>
      </c>
      <c r="E12" s="78" t="n">
        <v>45291</v>
      </c>
      <c r="F12" s="76" t="s">
        <v>236</v>
      </c>
      <c r="G12" s="76" t="s">
        <v>237</v>
      </c>
      <c r="H12" s="76" t="s">
        <v>238</v>
      </c>
      <c r="I12" s="79" t="n">
        <v>60.453</v>
      </c>
      <c r="J12" s="79" t="n">
        <v>21.604</v>
      </c>
      <c r="K12" s="80" t="n">
        <v>0.04</v>
      </c>
      <c r="L12" s="79" t="n">
        <v>31.944259</v>
      </c>
      <c r="M12" s="79" t="n">
        <v>214.869</v>
      </c>
      <c r="N12" s="80"/>
      <c r="O12" s="80" t="n">
        <v>19.3199996948242</v>
      </c>
      <c r="P12" s="47" t="n">
        <v>11</v>
      </c>
      <c r="Q12" s="66" t="s">
        <v>259</v>
      </c>
    </row>
    <row r="13" customFormat="false" ht="15" hidden="false" customHeight="false" outlineLevel="0" collapsed="false">
      <c r="A13" s="76" t="s">
        <v>175</v>
      </c>
      <c r="B13" s="76" t="s">
        <v>260</v>
      </c>
      <c r="C13" s="77" t="n">
        <v>2023</v>
      </c>
      <c r="D13" s="77" t="n">
        <v>3</v>
      </c>
      <c r="E13" s="78" t="n">
        <v>45199</v>
      </c>
      <c r="F13" s="76" t="s">
        <v>236</v>
      </c>
      <c r="G13" s="76" t="s">
        <v>237</v>
      </c>
      <c r="H13" s="76" t="s">
        <v>238</v>
      </c>
      <c r="I13" s="79" t="n">
        <v>62.547</v>
      </c>
      <c r="J13" s="79" t="n">
        <v>20.174</v>
      </c>
      <c r="K13" s="80" t="n">
        <v>-0.05</v>
      </c>
      <c r="L13" s="79" t="n">
        <v>29.910996</v>
      </c>
      <c r="M13" s="79" t="n">
        <v>178.353</v>
      </c>
      <c r="N13" s="80"/>
      <c r="O13" s="80" t="n">
        <v>10.9700002670288</v>
      </c>
      <c r="P13" s="47" t="n">
        <v>12</v>
      </c>
      <c r="Q13" s="66" t="s">
        <v>261</v>
      </c>
    </row>
    <row r="14" customFormat="false" ht="15" hidden="false" customHeight="false" outlineLevel="0" collapsed="false">
      <c r="A14" s="76" t="s">
        <v>175</v>
      </c>
      <c r="B14" s="76" t="s">
        <v>262</v>
      </c>
      <c r="C14" s="77" t="n">
        <v>2023</v>
      </c>
      <c r="D14" s="77" t="n">
        <v>2</v>
      </c>
      <c r="E14" s="78" t="n">
        <v>45107</v>
      </c>
      <c r="F14" s="76" t="s">
        <v>236</v>
      </c>
      <c r="G14" s="76" t="s">
        <v>237</v>
      </c>
      <c r="H14" s="76" t="s">
        <v>238</v>
      </c>
      <c r="I14" s="79" t="n">
        <v>41.615</v>
      </c>
      <c r="J14" s="79" t="n">
        <v>7.898</v>
      </c>
      <c r="K14" s="80" t="n">
        <v>-0.21</v>
      </c>
      <c r="L14" s="79" t="n">
        <v>29.488561</v>
      </c>
      <c r="M14" s="79" t="n">
        <v>163.259</v>
      </c>
      <c r="N14" s="80"/>
      <c r="O14" s="80" t="n">
        <v>5.96000003814697</v>
      </c>
      <c r="P14" s="47" t="n">
        <v>13</v>
      </c>
      <c r="Q14" s="66" t="s">
        <v>263</v>
      </c>
    </row>
    <row r="15" customFormat="false" ht="15" hidden="false" customHeight="false" outlineLevel="0" collapsed="false">
      <c r="A15" s="76" t="s">
        <v>175</v>
      </c>
      <c r="B15" s="76" t="s">
        <v>264</v>
      </c>
      <c r="C15" s="77" t="n">
        <v>2023</v>
      </c>
      <c r="D15" s="77" t="n">
        <v>1</v>
      </c>
      <c r="E15" s="78" t="n">
        <v>45016</v>
      </c>
      <c r="F15" s="76" t="s">
        <v>236</v>
      </c>
      <c r="G15" s="76" t="s">
        <v>237</v>
      </c>
      <c r="H15" s="76" t="s">
        <v>238</v>
      </c>
      <c r="I15" s="79" t="n">
        <v>53.03</v>
      </c>
      <c r="J15" s="79" t="n">
        <v>9.244</v>
      </c>
      <c r="K15" s="80" t="n">
        <v>-0.25</v>
      </c>
      <c r="L15" s="79" t="n">
        <v>28.871857</v>
      </c>
      <c r="M15" s="79" t="n">
        <v>172.637</v>
      </c>
      <c r="N15" s="80"/>
      <c r="O15" s="80" t="n">
        <v>2.21000003814697</v>
      </c>
      <c r="P15" s="47" t="n">
        <v>14</v>
      </c>
      <c r="Q15" s="66" t="s">
        <v>265</v>
      </c>
    </row>
    <row r="16" customFormat="false" ht="15" hidden="false" customHeight="false" outlineLevel="0" collapsed="false">
      <c r="A16" s="76" t="s">
        <v>175</v>
      </c>
      <c r="B16" s="76" t="s">
        <v>266</v>
      </c>
      <c r="C16" s="77" t="n">
        <v>2022</v>
      </c>
      <c r="D16" s="77" t="n">
        <v>4</v>
      </c>
      <c r="E16" s="78" t="n">
        <v>44926</v>
      </c>
      <c r="F16" s="76" t="s">
        <v>236</v>
      </c>
      <c r="G16" s="76" t="s">
        <v>237</v>
      </c>
      <c r="H16" s="76" t="s">
        <v>238</v>
      </c>
      <c r="I16" s="79" t="n">
        <v>61.585</v>
      </c>
      <c r="J16" s="79" t="n">
        <v>6.226</v>
      </c>
      <c r="K16" s="80" t="n">
        <v>-0.19</v>
      </c>
      <c r="L16" s="79"/>
      <c r="M16" s="79" t="n">
        <v>184.67</v>
      </c>
      <c r="N16" s="80"/>
      <c r="O16" s="80" t="n">
        <v>1.88999998569489</v>
      </c>
      <c r="P16" s="47" t="n">
        <v>15</v>
      </c>
      <c r="Q16" s="66" t="s">
        <v>267</v>
      </c>
    </row>
    <row r="17" customFormat="false" ht="15" hidden="false" customHeight="false" outlineLevel="0" collapsed="false">
      <c r="A17" s="76" t="s">
        <v>175</v>
      </c>
      <c r="B17" s="76" t="s">
        <v>268</v>
      </c>
      <c r="C17" s="77" t="n">
        <v>2022</v>
      </c>
      <c r="D17" s="77" t="n">
        <v>3</v>
      </c>
      <c r="E17" s="78" t="n">
        <v>44834</v>
      </c>
      <c r="F17" s="76" t="s">
        <v>236</v>
      </c>
      <c r="G17" s="76" t="s">
        <v>237</v>
      </c>
      <c r="H17" s="76" t="s">
        <v>238</v>
      </c>
      <c r="I17" s="79" t="n">
        <v>56.693</v>
      </c>
      <c r="J17" s="79" t="n">
        <v>9.749</v>
      </c>
      <c r="K17" s="80" t="n">
        <v>-0.26</v>
      </c>
      <c r="L17" s="79" t="n">
        <v>83.517735</v>
      </c>
      <c r="M17" s="79" t="n">
        <v>198.538</v>
      </c>
      <c r="N17" s="80"/>
      <c r="O17" s="80" t="n">
        <v>2.72000002861023</v>
      </c>
      <c r="P17" s="47" t="n">
        <v>16</v>
      </c>
      <c r="Q17" s="66" t="s">
        <v>269</v>
      </c>
    </row>
    <row r="18" customFormat="false" ht="15" hidden="false" customHeight="false" outlineLevel="0" collapsed="false">
      <c r="A18" s="76" t="s">
        <v>175</v>
      </c>
      <c r="B18" s="76" t="s">
        <v>270</v>
      </c>
      <c r="C18" s="77" t="n">
        <v>2022</v>
      </c>
      <c r="D18" s="77" t="n">
        <v>2</v>
      </c>
      <c r="E18" s="78" t="n">
        <v>44742</v>
      </c>
      <c r="F18" s="76" t="s">
        <v>236</v>
      </c>
      <c r="G18" s="76" t="s">
        <v>237</v>
      </c>
      <c r="H18" s="76" t="s">
        <v>238</v>
      </c>
      <c r="I18" s="79" t="n">
        <v>52.299</v>
      </c>
      <c r="J18" s="79" t="n">
        <v>8.628</v>
      </c>
      <c r="K18" s="80" t="n">
        <v>-0.28</v>
      </c>
      <c r="L18" s="79" t="n">
        <v>82.836945</v>
      </c>
      <c r="M18" s="79" t="n">
        <v>219.594</v>
      </c>
      <c r="N18" s="80"/>
      <c r="O18" s="80" t="n">
        <v>1.54999995231628</v>
      </c>
      <c r="P18" s="47" t="n">
        <v>17</v>
      </c>
      <c r="Q18" s="66" t="s">
        <v>271</v>
      </c>
    </row>
    <row r="19" customFormat="false" ht="15" hidden="false" customHeight="false" outlineLevel="0" collapsed="false">
      <c r="A19" s="76" t="s">
        <v>175</v>
      </c>
      <c r="B19" s="76" t="s">
        <v>272</v>
      </c>
      <c r="C19" s="77" t="n">
        <v>2022</v>
      </c>
      <c r="D19" s="77" t="n">
        <v>1</v>
      </c>
      <c r="E19" s="78" t="n">
        <v>44651</v>
      </c>
      <c r="F19" s="76" t="s">
        <v>236</v>
      </c>
      <c r="G19" s="76" t="s">
        <v>237</v>
      </c>
      <c r="H19" s="76" t="s">
        <v>238</v>
      </c>
      <c r="I19" s="79" t="n">
        <v>52.242</v>
      </c>
      <c r="J19" s="79" t="n">
        <v>9.025</v>
      </c>
      <c r="K19" s="80" t="n">
        <v>-0.29</v>
      </c>
      <c r="L19" s="79" t="n">
        <v>82.389963</v>
      </c>
      <c r="M19" s="79" t="n">
        <v>239.577</v>
      </c>
      <c r="N19" s="80"/>
      <c r="O19" s="80" t="n">
        <v>3.65000009536743</v>
      </c>
      <c r="P19" s="47" t="n">
        <v>18</v>
      </c>
      <c r="Q19" s="66" t="s">
        <v>273</v>
      </c>
    </row>
    <row r="20" customFormat="false" ht="15" hidden="false" customHeight="false" outlineLevel="0" collapsed="false">
      <c r="A20" s="76" t="s">
        <v>175</v>
      </c>
      <c r="B20" s="76" t="s">
        <v>274</v>
      </c>
      <c r="C20" s="77" t="n">
        <v>2021</v>
      </c>
      <c r="D20" s="77" t="n">
        <v>4</v>
      </c>
      <c r="E20" s="78" t="n">
        <v>44561</v>
      </c>
      <c r="F20" s="76" t="s">
        <v>236</v>
      </c>
      <c r="G20" s="76" t="s">
        <v>237</v>
      </c>
      <c r="H20" s="76" t="s">
        <v>238</v>
      </c>
      <c r="I20" s="79" t="n">
        <v>54.408</v>
      </c>
      <c r="J20" s="79" t="n">
        <v>8.095</v>
      </c>
      <c r="K20" s="80" t="n">
        <v>-0.2</v>
      </c>
      <c r="L20" s="79"/>
      <c r="M20" s="79" t="n">
        <v>254.57</v>
      </c>
      <c r="N20" s="80"/>
      <c r="O20" s="80" t="n">
        <v>5.1399998664856</v>
      </c>
      <c r="P20" s="47" t="n">
        <v>19</v>
      </c>
      <c r="Q20" s="66" t="s">
        <v>275</v>
      </c>
    </row>
    <row r="21" customFormat="false" ht="15" hidden="false" customHeight="false" outlineLevel="0" collapsed="false">
      <c r="A21" s="76" t="s">
        <v>175</v>
      </c>
      <c r="B21" s="76" t="s">
        <v>276</v>
      </c>
      <c r="C21" s="77" t="n">
        <v>2021</v>
      </c>
      <c r="D21" s="77" t="n">
        <v>3</v>
      </c>
      <c r="E21" s="78" t="n">
        <v>44469</v>
      </c>
      <c r="F21" s="76" t="s">
        <v>236</v>
      </c>
      <c r="G21" s="76" t="s">
        <v>237</v>
      </c>
      <c r="H21" s="76" t="s">
        <v>238</v>
      </c>
      <c r="I21" s="79" t="n">
        <v>53.267</v>
      </c>
      <c r="J21" s="79" t="n">
        <v>8.124</v>
      </c>
      <c r="K21" s="80" t="n">
        <v>-0.2</v>
      </c>
      <c r="L21" s="79" t="n">
        <v>81.292116</v>
      </c>
      <c r="M21" s="79" t="n">
        <v>263.968</v>
      </c>
      <c r="N21" s="80"/>
      <c r="O21" s="80" t="n">
        <v>7.17999982833862</v>
      </c>
      <c r="P21" s="47" t="n">
        <v>20</v>
      </c>
      <c r="Q21" s="66" t="s">
        <v>277</v>
      </c>
    </row>
    <row r="22" customFormat="false" ht="15" hidden="false" customHeight="false" outlineLevel="0" collapsed="false">
      <c r="A22" s="76" t="s">
        <v>175</v>
      </c>
      <c r="B22" s="76" t="s">
        <v>278</v>
      </c>
      <c r="C22" s="77" t="n">
        <v>2021</v>
      </c>
      <c r="D22" s="77" t="n">
        <v>2</v>
      </c>
      <c r="E22" s="78" t="n">
        <v>44377</v>
      </c>
      <c r="F22" s="76" t="s">
        <v>236</v>
      </c>
      <c r="G22" s="76" t="s">
        <v>237</v>
      </c>
      <c r="H22" s="76" t="s">
        <v>238</v>
      </c>
      <c r="I22" s="79" t="n">
        <v>54.189</v>
      </c>
      <c r="J22" s="79" t="n">
        <v>10.778</v>
      </c>
      <c r="K22" s="80" t="n">
        <v>-0.15</v>
      </c>
      <c r="L22" s="79" t="n">
        <v>80.550096</v>
      </c>
      <c r="M22" s="79" t="n">
        <v>277.291</v>
      </c>
      <c r="N22" s="80"/>
      <c r="O22" s="80" t="n">
        <v>8.47000026702881</v>
      </c>
      <c r="P22" s="47" t="n">
        <v>21</v>
      </c>
      <c r="Q22" s="66" t="s">
        <v>279</v>
      </c>
    </row>
    <row r="23" customFormat="false" ht="15" hidden="false" customHeight="false" outlineLevel="0" collapsed="false">
      <c r="A23" s="76" t="s">
        <v>175</v>
      </c>
      <c r="B23" s="76" t="s">
        <v>280</v>
      </c>
      <c r="C23" s="77" t="n">
        <v>2021</v>
      </c>
      <c r="D23" s="77" t="n">
        <v>1</v>
      </c>
      <c r="E23" s="78" t="n">
        <v>44286</v>
      </c>
      <c r="F23" s="76" t="s">
        <v>236</v>
      </c>
      <c r="G23" s="76" t="s">
        <v>237</v>
      </c>
      <c r="H23" s="76" t="s">
        <v>238</v>
      </c>
      <c r="I23" s="79" t="n">
        <v>49.701</v>
      </c>
      <c r="J23" s="79" t="n">
        <v>10.719</v>
      </c>
      <c r="K23" s="80" t="n">
        <v>-0.21</v>
      </c>
      <c r="L23" s="79" t="n">
        <v>79.314213</v>
      </c>
      <c r="M23" s="79" t="n">
        <v>278.472</v>
      </c>
      <c r="N23" s="80"/>
      <c r="O23" s="80" t="n">
        <v>8.35999965667725</v>
      </c>
      <c r="P23" s="47" t="n">
        <v>22</v>
      </c>
      <c r="Q23" s="66" t="s">
        <v>281</v>
      </c>
    </row>
    <row r="24" customFormat="false" ht="15" hidden="false" customHeight="false" outlineLevel="0" collapsed="false">
      <c r="A24" s="76" t="s">
        <v>175</v>
      </c>
      <c r="B24" s="76" t="s">
        <v>282</v>
      </c>
      <c r="C24" s="77" t="n">
        <v>2020</v>
      </c>
      <c r="D24" s="77" t="n">
        <v>4</v>
      </c>
      <c r="E24" s="78" t="n">
        <v>44196</v>
      </c>
      <c r="F24" s="76" t="s">
        <v>236</v>
      </c>
      <c r="G24" s="76" t="s">
        <v>237</v>
      </c>
      <c r="H24" s="76" t="s">
        <v>238</v>
      </c>
      <c r="I24" s="79" t="n">
        <v>52.325</v>
      </c>
      <c r="J24" s="79" t="n">
        <v>11.277</v>
      </c>
      <c r="K24" s="80" t="n">
        <v>-0.2</v>
      </c>
      <c r="L24" s="79"/>
      <c r="M24" s="79" t="n">
        <v>277.891</v>
      </c>
      <c r="N24" s="80"/>
      <c r="O24" s="80" t="n">
        <v>8.51000022888184</v>
      </c>
      <c r="P24" s="47" t="n">
        <v>23</v>
      </c>
      <c r="Q24" s="66" t="s">
        <v>283</v>
      </c>
    </row>
    <row r="25" customFormat="false" ht="15" hidden="false" customHeight="false" outlineLevel="0" collapsed="false">
      <c r="A25" s="76" t="s">
        <v>175</v>
      </c>
      <c r="B25" s="76" t="s">
        <v>284</v>
      </c>
      <c r="C25" s="77" t="n">
        <v>2020</v>
      </c>
      <c r="D25" s="77" t="n">
        <v>3</v>
      </c>
      <c r="E25" s="78" t="n">
        <v>44104</v>
      </c>
      <c r="F25" s="76" t="s">
        <v>236</v>
      </c>
      <c r="G25" s="76" t="s">
        <v>237</v>
      </c>
      <c r="H25" s="76" t="s">
        <v>238</v>
      </c>
      <c r="I25" s="79" t="n">
        <v>76.608</v>
      </c>
      <c r="J25" s="79" t="n">
        <v>19.19</v>
      </c>
      <c r="K25" s="80" t="n">
        <v>-0.06</v>
      </c>
      <c r="L25" s="79" t="n">
        <v>22.744361</v>
      </c>
      <c r="M25" s="79" t="n">
        <v>265.166</v>
      </c>
      <c r="N25" s="80"/>
      <c r="O25" s="80" t="n">
        <v>11.25</v>
      </c>
      <c r="P25" s="47" t="n">
        <v>24</v>
      </c>
      <c r="Q25" s="66" t="s">
        <v>285</v>
      </c>
    </row>
    <row r="26" customFormat="false" ht="15" hidden="false" customHeight="false" outlineLevel="0" collapsed="false">
      <c r="A26" s="76" t="s">
        <v>84</v>
      </c>
      <c r="B26" s="76" t="s">
        <v>286</v>
      </c>
      <c r="C26" s="77" t="n">
        <v>2026</v>
      </c>
      <c r="D26" s="77" t="n">
        <v>3</v>
      </c>
      <c r="E26" s="78" t="n">
        <v>46203</v>
      </c>
      <c r="F26" s="76" t="s">
        <v>236</v>
      </c>
      <c r="G26" s="76" t="s">
        <v>237</v>
      </c>
      <c r="H26" s="76" t="s">
        <v>238</v>
      </c>
      <c r="I26" s="79" t="n">
        <v>109417</v>
      </c>
      <c r="J26" s="79" t="n">
        <v>54770</v>
      </c>
      <c r="K26" s="80" t="n">
        <v>2.02</v>
      </c>
      <c r="L26" s="79" t="n">
        <v>14714.676</v>
      </c>
      <c r="M26" s="79" t="n">
        <v>107520</v>
      </c>
      <c r="N26" s="80" t="n">
        <v>0.27</v>
      </c>
      <c r="O26" s="80" t="n">
        <v>289.359985351563</v>
      </c>
      <c r="P26" s="47" t="n">
        <v>1</v>
      </c>
      <c r="Q26" s="66" t="s">
        <v>287</v>
      </c>
    </row>
    <row r="27" customFormat="false" ht="15" hidden="false" customHeight="false" outlineLevel="0" collapsed="false">
      <c r="A27" s="76" t="s">
        <v>84</v>
      </c>
      <c r="B27" s="76" t="s">
        <v>235</v>
      </c>
      <c r="C27" s="77" t="n">
        <v>2026</v>
      </c>
      <c r="D27" s="77" t="n">
        <v>2</v>
      </c>
      <c r="E27" s="78" t="n">
        <v>46112</v>
      </c>
      <c r="F27" s="76" t="s">
        <v>236</v>
      </c>
      <c r="G27" s="76" t="s">
        <v>237</v>
      </c>
      <c r="H27" s="76" t="s">
        <v>238</v>
      </c>
      <c r="I27" s="79" t="n">
        <v>111184</v>
      </c>
      <c r="J27" s="79" t="n">
        <v>54781</v>
      </c>
      <c r="K27" s="80" t="n">
        <v>2.01</v>
      </c>
      <c r="L27" s="79" t="n">
        <v>14725.873</v>
      </c>
      <c r="M27" s="79" t="n">
        <v>106491</v>
      </c>
      <c r="N27" s="80" t="n">
        <v>0.26</v>
      </c>
      <c r="O27" s="80" t="n">
        <v>253.789993286133</v>
      </c>
      <c r="P27" s="47" t="n">
        <v>2</v>
      </c>
      <c r="Q27" s="66" t="s">
        <v>288</v>
      </c>
    </row>
    <row r="28" customFormat="false" ht="15" hidden="false" customHeight="false" outlineLevel="0" collapsed="false">
      <c r="A28" s="76" t="s">
        <v>84</v>
      </c>
      <c r="B28" s="76" t="s">
        <v>240</v>
      </c>
      <c r="C28" s="77" t="n">
        <v>2026</v>
      </c>
      <c r="D28" s="77" t="n">
        <v>1</v>
      </c>
      <c r="E28" s="78" t="n">
        <v>46022</v>
      </c>
      <c r="F28" s="76" t="s">
        <v>236</v>
      </c>
      <c r="G28" s="76" t="s">
        <v>237</v>
      </c>
      <c r="H28" s="76" t="s">
        <v>238</v>
      </c>
      <c r="I28" s="79" t="n">
        <v>143756</v>
      </c>
      <c r="J28" s="79" t="n">
        <v>69231</v>
      </c>
      <c r="K28" s="80" t="n">
        <v>2.84</v>
      </c>
      <c r="L28" s="79" t="n">
        <v>14810.356</v>
      </c>
      <c r="M28" s="79" t="n">
        <v>88190</v>
      </c>
      <c r="N28" s="80" t="n">
        <v>0.26</v>
      </c>
      <c r="O28" s="80" t="n">
        <v>271.859985351563</v>
      </c>
      <c r="P28" s="47" t="n">
        <v>3</v>
      </c>
      <c r="Q28" s="66" t="s">
        <v>289</v>
      </c>
    </row>
    <row r="29" customFormat="false" ht="15" hidden="false" customHeight="false" outlineLevel="0" collapsed="false">
      <c r="A29" s="76" t="s">
        <v>84</v>
      </c>
      <c r="B29" s="76" t="s">
        <v>242</v>
      </c>
      <c r="C29" s="77" t="n">
        <v>2025</v>
      </c>
      <c r="D29" s="77" t="n">
        <v>4</v>
      </c>
      <c r="E29" s="78" t="n">
        <v>45930</v>
      </c>
      <c r="F29" s="76" t="s">
        <v>236</v>
      </c>
      <c r="G29" s="76" t="s">
        <v>237</v>
      </c>
      <c r="H29" s="76" t="s">
        <v>238</v>
      </c>
      <c r="I29" s="79" t="n">
        <v>102466</v>
      </c>
      <c r="J29" s="79" t="n">
        <v>48341</v>
      </c>
      <c r="K29" s="80" t="n">
        <v>1.85</v>
      </c>
      <c r="L29" s="79" t="n">
        <v>14863.609</v>
      </c>
      <c r="M29" s="79" t="n">
        <v>73733</v>
      </c>
      <c r="N29" s="80" t="n">
        <v>0.26</v>
      </c>
      <c r="O29" s="80" t="n">
        <v>254.630004882813</v>
      </c>
      <c r="P29" s="47" t="n">
        <v>4</v>
      </c>
      <c r="Q29" s="66" t="s">
        <v>290</v>
      </c>
    </row>
    <row r="30" customFormat="false" ht="15" hidden="false" customHeight="false" outlineLevel="0" collapsed="false">
      <c r="A30" s="76" t="s">
        <v>84</v>
      </c>
      <c r="B30" s="76" t="s">
        <v>244</v>
      </c>
      <c r="C30" s="77" t="n">
        <v>2025</v>
      </c>
      <c r="D30" s="77" t="n">
        <v>3</v>
      </c>
      <c r="E30" s="78" t="n">
        <v>45838</v>
      </c>
      <c r="F30" s="76" t="s">
        <v>236</v>
      </c>
      <c r="G30" s="76" t="s">
        <v>237</v>
      </c>
      <c r="H30" s="76" t="s">
        <v>238</v>
      </c>
      <c r="I30" s="79" t="n">
        <v>94036</v>
      </c>
      <c r="J30" s="79" t="n">
        <v>43718</v>
      </c>
      <c r="K30" s="80" t="n">
        <v>1.57</v>
      </c>
      <c r="L30" s="79" t="n">
        <v>14948.179</v>
      </c>
      <c r="M30" s="79" t="n">
        <v>65830</v>
      </c>
      <c r="N30" s="80" t="n">
        <v>0.26</v>
      </c>
      <c r="O30" s="80" t="n">
        <v>205.169998168945</v>
      </c>
      <c r="P30" s="47" t="n">
        <v>5</v>
      </c>
      <c r="Q30" s="66" t="s">
        <v>291</v>
      </c>
    </row>
    <row r="31" customFormat="false" ht="15" hidden="false" customHeight="false" outlineLevel="0" collapsed="false">
      <c r="A31" s="76" t="s">
        <v>84</v>
      </c>
      <c r="B31" s="76" t="s">
        <v>246</v>
      </c>
      <c r="C31" s="77" t="n">
        <v>2025</v>
      </c>
      <c r="D31" s="77" t="n">
        <v>2</v>
      </c>
      <c r="E31" s="78" t="n">
        <v>45747</v>
      </c>
      <c r="F31" s="76" t="s">
        <v>236</v>
      </c>
      <c r="G31" s="76" t="s">
        <v>237</v>
      </c>
      <c r="H31" s="76" t="s">
        <v>238</v>
      </c>
      <c r="I31" s="79" t="n">
        <v>95359</v>
      </c>
      <c r="J31" s="79" t="n">
        <v>44867</v>
      </c>
      <c r="K31" s="80" t="n">
        <v>1.65</v>
      </c>
      <c r="L31" s="79" t="n">
        <v>15199.507</v>
      </c>
      <c r="M31" s="79" t="n">
        <v>66796</v>
      </c>
      <c r="N31" s="80" t="n">
        <v>0.25</v>
      </c>
      <c r="O31" s="80" t="n">
        <v>222.130004882813</v>
      </c>
      <c r="P31" s="47" t="n">
        <v>6</v>
      </c>
      <c r="Q31" s="66" t="s">
        <v>292</v>
      </c>
    </row>
    <row r="32" customFormat="false" ht="15" hidden="false" customHeight="false" outlineLevel="0" collapsed="false">
      <c r="A32" s="76" t="s">
        <v>84</v>
      </c>
      <c r="B32" s="76" t="s">
        <v>248</v>
      </c>
      <c r="C32" s="77" t="n">
        <v>2025</v>
      </c>
      <c r="D32" s="77" t="n">
        <v>1</v>
      </c>
      <c r="E32" s="78" t="n">
        <v>45657</v>
      </c>
      <c r="F32" s="76" t="s">
        <v>236</v>
      </c>
      <c r="G32" s="76" t="s">
        <v>237</v>
      </c>
      <c r="H32" s="76" t="s">
        <v>238</v>
      </c>
      <c r="I32" s="79" t="n">
        <v>124300</v>
      </c>
      <c r="J32" s="79" t="n">
        <v>58275</v>
      </c>
      <c r="K32" s="80" t="n">
        <v>2.4</v>
      </c>
      <c r="L32" s="79" t="n">
        <v>15301.651</v>
      </c>
      <c r="M32" s="79" t="n">
        <v>66758</v>
      </c>
      <c r="N32" s="80" t="n">
        <v>0.25</v>
      </c>
      <c r="O32" s="80" t="n">
        <v>250.419998168945</v>
      </c>
      <c r="P32" s="47" t="n">
        <v>7</v>
      </c>
      <c r="Q32" s="66" t="s">
        <v>293</v>
      </c>
    </row>
    <row r="33" customFormat="false" ht="15" hidden="false" customHeight="false" outlineLevel="0" collapsed="false">
      <c r="A33" s="76" t="s">
        <v>84</v>
      </c>
      <c r="B33" s="76" t="s">
        <v>250</v>
      </c>
      <c r="C33" s="77" t="n">
        <v>2024</v>
      </c>
      <c r="D33" s="77" t="n">
        <v>4</v>
      </c>
      <c r="E33" s="78" t="n">
        <v>45565</v>
      </c>
      <c r="F33" s="76" t="s">
        <v>236</v>
      </c>
      <c r="G33" s="76" t="s">
        <v>237</v>
      </c>
      <c r="H33" s="76" t="s">
        <v>238</v>
      </c>
      <c r="I33" s="79" t="n">
        <v>94930</v>
      </c>
      <c r="J33" s="79" t="n">
        <v>43879</v>
      </c>
      <c r="K33" s="80" t="n">
        <v>0.97</v>
      </c>
      <c r="L33" s="79" t="n">
        <v>15408.095</v>
      </c>
      <c r="M33" s="79" t="n">
        <v>56950</v>
      </c>
      <c r="N33" s="80" t="n">
        <v>0.25</v>
      </c>
      <c r="O33" s="80" t="n">
        <v>233</v>
      </c>
      <c r="P33" s="47" t="n">
        <v>8</v>
      </c>
      <c r="Q33" s="66" t="s">
        <v>294</v>
      </c>
    </row>
    <row r="34" customFormat="false" ht="15" hidden="false" customHeight="false" outlineLevel="0" collapsed="false">
      <c r="A34" s="76" t="s">
        <v>84</v>
      </c>
      <c r="B34" s="76" t="s">
        <v>252</v>
      </c>
      <c r="C34" s="77" t="n">
        <v>2024</v>
      </c>
      <c r="D34" s="77" t="n">
        <v>3</v>
      </c>
      <c r="E34" s="78" t="n">
        <v>45473</v>
      </c>
      <c r="F34" s="76" t="s">
        <v>236</v>
      </c>
      <c r="G34" s="76" t="s">
        <v>237</v>
      </c>
      <c r="H34" s="76" t="s">
        <v>238</v>
      </c>
      <c r="I34" s="79" t="n">
        <v>85777</v>
      </c>
      <c r="J34" s="79" t="n">
        <v>39678</v>
      </c>
      <c r="K34" s="80" t="n">
        <v>1.4</v>
      </c>
      <c r="L34" s="79" t="n">
        <v>15515.481</v>
      </c>
      <c r="M34" s="79" t="n">
        <v>66708</v>
      </c>
      <c r="N34" s="80" t="n">
        <v>0.25</v>
      </c>
      <c r="O34" s="80" t="n">
        <v>210.619995117188</v>
      </c>
      <c r="P34" s="47" t="n">
        <v>9</v>
      </c>
      <c r="Q34" s="66" t="s">
        <v>295</v>
      </c>
    </row>
    <row r="35" customFormat="false" ht="15" hidden="false" customHeight="false" outlineLevel="0" collapsed="false">
      <c r="A35" s="76" t="s">
        <v>84</v>
      </c>
      <c r="B35" s="76" t="s">
        <v>254</v>
      </c>
      <c r="C35" s="77" t="n">
        <v>2024</v>
      </c>
      <c r="D35" s="77" t="n">
        <v>2</v>
      </c>
      <c r="E35" s="78" t="n">
        <v>45382</v>
      </c>
      <c r="F35" s="76" t="s">
        <v>236</v>
      </c>
      <c r="G35" s="76" t="s">
        <v>237</v>
      </c>
      <c r="H35" s="76" t="s">
        <v>238</v>
      </c>
      <c r="I35" s="79" t="n">
        <v>90753</v>
      </c>
      <c r="J35" s="79" t="n">
        <v>42271</v>
      </c>
      <c r="K35" s="80" t="n">
        <v>1.53</v>
      </c>
      <c r="L35" s="79" t="n">
        <v>15622.1925</v>
      </c>
      <c r="M35" s="79" t="n">
        <v>74194</v>
      </c>
      <c r="N35" s="80" t="n">
        <v>0.24</v>
      </c>
      <c r="O35" s="80" t="n">
        <v>171.479995727539</v>
      </c>
      <c r="P35" s="47" t="n">
        <v>10</v>
      </c>
      <c r="Q35" s="66" t="s">
        <v>296</v>
      </c>
    </row>
    <row r="36" customFormat="false" ht="15" hidden="false" customHeight="false" outlineLevel="0" collapsed="false">
      <c r="A36" s="76" t="s">
        <v>84</v>
      </c>
      <c r="B36" s="76" t="s">
        <v>256</v>
      </c>
      <c r="C36" s="77" t="n">
        <v>2024</v>
      </c>
      <c r="D36" s="77" t="n">
        <v>1</v>
      </c>
      <c r="E36" s="78" t="n">
        <v>45291</v>
      </c>
      <c r="F36" s="76" t="s">
        <v>236</v>
      </c>
      <c r="G36" s="76" t="s">
        <v>237</v>
      </c>
      <c r="H36" s="76" t="s">
        <v>238</v>
      </c>
      <c r="I36" s="79" t="n">
        <v>119575</v>
      </c>
      <c r="J36" s="79" t="n">
        <v>54855</v>
      </c>
      <c r="K36" s="80" t="n">
        <v>2.18</v>
      </c>
      <c r="L36" s="79" t="n">
        <v>15717.77775</v>
      </c>
      <c r="M36" s="79" t="n">
        <v>74100</v>
      </c>
      <c r="N36" s="80" t="n">
        <v>0.24</v>
      </c>
      <c r="O36" s="80" t="n">
        <v>192.529998779297</v>
      </c>
      <c r="P36" s="47" t="n">
        <v>11</v>
      </c>
      <c r="Q36" s="66" t="s">
        <v>297</v>
      </c>
    </row>
    <row r="37" customFormat="false" ht="15" hidden="false" customHeight="false" outlineLevel="0" collapsed="false">
      <c r="A37" s="76" t="s">
        <v>84</v>
      </c>
      <c r="B37" s="76" t="s">
        <v>258</v>
      </c>
      <c r="C37" s="77" t="n">
        <v>2023</v>
      </c>
      <c r="D37" s="77" t="n">
        <v>4</v>
      </c>
      <c r="E37" s="78" t="n">
        <v>45199</v>
      </c>
      <c r="F37" s="76" t="s">
        <v>236</v>
      </c>
      <c r="G37" s="76" t="s">
        <v>237</v>
      </c>
      <c r="H37" s="76" t="s">
        <v>238</v>
      </c>
      <c r="I37" s="79" t="n">
        <v>89498</v>
      </c>
      <c r="J37" s="79" t="n">
        <v>40427</v>
      </c>
      <c r="K37" s="80" t="n">
        <v>1.46</v>
      </c>
      <c r="L37" s="79" t="n">
        <v>15812.547</v>
      </c>
      <c r="M37" s="79" t="n">
        <v>62146</v>
      </c>
      <c r="N37" s="80" t="n">
        <v>0.24</v>
      </c>
      <c r="O37" s="80" t="n">
        <v>171.210006713867</v>
      </c>
      <c r="P37" s="47" t="n">
        <v>12</v>
      </c>
      <c r="Q37" s="66" t="s">
        <v>298</v>
      </c>
    </row>
    <row r="38" customFormat="false" ht="15" hidden="false" customHeight="false" outlineLevel="0" collapsed="false">
      <c r="A38" s="76" t="s">
        <v>84</v>
      </c>
      <c r="B38" s="76" t="s">
        <v>260</v>
      </c>
      <c r="C38" s="77" t="n">
        <v>2023</v>
      </c>
      <c r="D38" s="77" t="n">
        <v>3</v>
      </c>
      <c r="E38" s="78" t="n">
        <v>45107</v>
      </c>
      <c r="F38" s="76" t="s">
        <v>236</v>
      </c>
      <c r="G38" s="76" t="s">
        <v>237</v>
      </c>
      <c r="H38" s="76" t="s">
        <v>238</v>
      </c>
      <c r="I38" s="79" t="n">
        <v>81797</v>
      </c>
      <c r="J38" s="79" t="n">
        <v>36413</v>
      </c>
      <c r="K38" s="80" t="n">
        <v>1.26</v>
      </c>
      <c r="L38" s="79" t="n">
        <v>15775.021</v>
      </c>
      <c r="M38" s="79" t="n">
        <v>60274</v>
      </c>
      <c r="N38" s="80" t="n">
        <v>0.24</v>
      </c>
      <c r="O38" s="80" t="n">
        <v>193.970001220703</v>
      </c>
      <c r="P38" s="47" t="n">
        <v>13</v>
      </c>
      <c r="Q38" s="66" t="s">
        <v>299</v>
      </c>
    </row>
    <row r="39" customFormat="false" ht="15" hidden="false" customHeight="false" outlineLevel="0" collapsed="false">
      <c r="A39" s="76" t="s">
        <v>84</v>
      </c>
      <c r="B39" s="76" t="s">
        <v>262</v>
      </c>
      <c r="C39" s="77" t="n">
        <v>2023</v>
      </c>
      <c r="D39" s="77" t="n">
        <v>2</v>
      </c>
      <c r="E39" s="78" t="n">
        <v>45016</v>
      </c>
      <c r="F39" s="76" t="s">
        <v>236</v>
      </c>
      <c r="G39" s="76" t="s">
        <v>237</v>
      </c>
      <c r="H39" s="76" t="s">
        <v>238</v>
      </c>
      <c r="I39" s="79" t="n">
        <v>94836</v>
      </c>
      <c r="J39" s="79" t="n">
        <v>41976</v>
      </c>
      <c r="K39" s="80" t="n">
        <v>1.52</v>
      </c>
      <c r="L39" s="79" t="n">
        <v>15847.05</v>
      </c>
      <c r="M39" s="79" t="n">
        <v>62158</v>
      </c>
      <c r="N39" s="80" t="n">
        <v>0.23</v>
      </c>
      <c r="O39" s="80" t="n">
        <v>164.899993896484</v>
      </c>
      <c r="P39" s="47" t="n">
        <v>14</v>
      </c>
      <c r="Q39" s="66" t="s">
        <v>300</v>
      </c>
    </row>
    <row r="40" customFormat="false" ht="15" hidden="false" customHeight="false" outlineLevel="0" collapsed="false">
      <c r="A40" s="76" t="s">
        <v>84</v>
      </c>
      <c r="B40" s="76" t="s">
        <v>264</v>
      </c>
      <c r="C40" s="77" t="n">
        <v>2023</v>
      </c>
      <c r="D40" s="77" t="n">
        <v>1</v>
      </c>
      <c r="E40" s="78" t="n">
        <v>44926</v>
      </c>
      <c r="F40" s="76" t="s">
        <v>236</v>
      </c>
      <c r="G40" s="76" t="s">
        <v>237</v>
      </c>
      <c r="H40" s="76" t="s">
        <v>238</v>
      </c>
      <c r="I40" s="79" t="n">
        <v>117154</v>
      </c>
      <c r="J40" s="79" t="n">
        <v>50332</v>
      </c>
      <c r="K40" s="80" t="n">
        <v>1.88</v>
      </c>
      <c r="L40" s="79" t="n">
        <v>15955.718</v>
      </c>
      <c r="M40" s="79" t="n">
        <v>56727</v>
      </c>
      <c r="N40" s="80" t="n">
        <v>0.23</v>
      </c>
      <c r="O40" s="80" t="n">
        <v>129.929992675781</v>
      </c>
      <c r="P40" s="47" t="n">
        <v>15</v>
      </c>
      <c r="Q40" s="66" t="s">
        <v>301</v>
      </c>
    </row>
    <row r="41" customFormat="false" ht="15" hidden="false" customHeight="false" outlineLevel="0" collapsed="false">
      <c r="A41" s="76" t="s">
        <v>84</v>
      </c>
      <c r="B41" s="76" t="s">
        <v>266</v>
      </c>
      <c r="C41" s="77" t="n">
        <v>2022</v>
      </c>
      <c r="D41" s="77" t="n">
        <v>4</v>
      </c>
      <c r="E41" s="78" t="n">
        <v>44834</v>
      </c>
      <c r="F41" s="76" t="s">
        <v>236</v>
      </c>
      <c r="G41" s="76" t="s">
        <v>237</v>
      </c>
      <c r="H41" s="76" t="s">
        <v>238</v>
      </c>
      <c r="I41" s="79" t="n">
        <v>90146</v>
      </c>
      <c r="J41" s="79" t="n">
        <v>38095</v>
      </c>
      <c r="K41" s="80" t="n">
        <v>1.29</v>
      </c>
      <c r="L41" s="79"/>
      <c r="M41" s="79" t="n">
        <v>50672</v>
      </c>
      <c r="N41" s="80" t="n">
        <v>0.23</v>
      </c>
      <c r="O41" s="80" t="n">
        <v>138.199996948242</v>
      </c>
      <c r="P41" s="47" t="n">
        <v>16</v>
      </c>
      <c r="Q41" s="66" t="s">
        <v>302</v>
      </c>
    </row>
    <row r="42" customFormat="false" ht="15" hidden="false" customHeight="false" outlineLevel="0" collapsed="false">
      <c r="A42" s="76" t="s">
        <v>84</v>
      </c>
      <c r="B42" s="76" t="s">
        <v>268</v>
      </c>
      <c r="C42" s="77" t="n">
        <v>2022</v>
      </c>
      <c r="D42" s="77" t="n">
        <v>3</v>
      </c>
      <c r="E42" s="78" t="n">
        <v>44742</v>
      </c>
      <c r="F42" s="76" t="s">
        <v>236</v>
      </c>
      <c r="G42" s="76" t="s">
        <v>237</v>
      </c>
      <c r="H42" s="76" t="s">
        <v>238</v>
      </c>
      <c r="I42" s="79" t="n">
        <v>82959</v>
      </c>
      <c r="J42" s="79" t="n">
        <v>35885</v>
      </c>
      <c r="K42" s="80" t="n">
        <v>1.2</v>
      </c>
      <c r="L42" s="79" t="n">
        <v>16262.203</v>
      </c>
      <c r="M42" s="79" t="n">
        <v>58107</v>
      </c>
      <c r="N42" s="80" t="n">
        <v>0.23</v>
      </c>
      <c r="O42" s="80" t="n">
        <v>136.720001220703</v>
      </c>
      <c r="P42" s="47" t="n">
        <v>17</v>
      </c>
      <c r="Q42" s="66" t="s">
        <v>303</v>
      </c>
    </row>
    <row r="43" customFormat="false" ht="15" hidden="false" customHeight="false" outlineLevel="0" collapsed="false">
      <c r="A43" s="76" t="s">
        <v>84</v>
      </c>
      <c r="B43" s="76" t="s">
        <v>270</v>
      </c>
      <c r="C43" s="77" t="n">
        <v>2022</v>
      </c>
      <c r="D43" s="77" t="n">
        <v>2</v>
      </c>
      <c r="E43" s="78" t="n">
        <v>44651</v>
      </c>
      <c r="F43" s="76" t="s">
        <v>236</v>
      </c>
      <c r="G43" s="76" t="s">
        <v>237</v>
      </c>
      <c r="H43" s="76" t="s">
        <v>238</v>
      </c>
      <c r="I43" s="79" t="n">
        <v>97278</v>
      </c>
      <c r="J43" s="79" t="n">
        <v>42559</v>
      </c>
      <c r="K43" s="80" t="n">
        <v>1.52</v>
      </c>
      <c r="L43" s="79" t="n">
        <v>16403.316</v>
      </c>
      <c r="M43" s="79" t="n">
        <v>67399</v>
      </c>
      <c r="N43" s="80" t="n">
        <v>0.22</v>
      </c>
      <c r="O43" s="80" t="n">
        <v>174.610000610352</v>
      </c>
      <c r="P43" s="47" t="n">
        <v>18</v>
      </c>
      <c r="Q43" s="66" t="s">
        <v>304</v>
      </c>
    </row>
    <row r="44" customFormat="false" ht="15" hidden="false" customHeight="false" outlineLevel="0" collapsed="false">
      <c r="A44" s="76" t="s">
        <v>84</v>
      </c>
      <c r="B44" s="76" t="s">
        <v>272</v>
      </c>
      <c r="C44" s="77" t="n">
        <v>2022</v>
      </c>
      <c r="D44" s="77" t="n">
        <v>1</v>
      </c>
      <c r="E44" s="78" t="n">
        <v>44561</v>
      </c>
      <c r="F44" s="76" t="s">
        <v>236</v>
      </c>
      <c r="G44" s="76" t="s">
        <v>237</v>
      </c>
      <c r="H44" s="76" t="s">
        <v>238</v>
      </c>
      <c r="I44" s="79" t="n">
        <v>123945</v>
      </c>
      <c r="J44" s="79" t="n">
        <v>54243</v>
      </c>
      <c r="K44" s="80" t="n">
        <v>2.1</v>
      </c>
      <c r="L44" s="79" t="n">
        <v>16519.291</v>
      </c>
      <c r="M44" s="79" t="n">
        <v>71932</v>
      </c>
      <c r="N44" s="80" t="n">
        <v>0.22</v>
      </c>
      <c r="O44" s="80" t="n">
        <v>177.570007324219</v>
      </c>
      <c r="P44" s="47" t="n">
        <v>19</v>
      </c>
      <c r="Q44" s="66" t="s">
        <v>305</v>
      </c>
    </row>
    <row r="45" customFormat="false" ht="15" hidden="false" customHeight="false" outlineLevel="0" collapsed="false">
      <c r="A45" s="76" t="s">
        <v>84</v>
      </c>
      <c r="B45" s="76" t="s">
        <v>274</v>
      </c>
      <c r="C45" s="77" t="n">
        <v>2021</v>
      </c>
      <c r="D45" s="77" t="n">
        <v>4</v>
      </c>
      <c r="E45" s="78" t="n">
        <v>44469</v>
      </c>
      <c r="F45" s="76" t="s">
        <v>236</v>
      </c>
      <c r="G45" s="76" t="s">
        <v>237</v>
      </c>
      <c r="H45" s="76" t="s">
        <v>238</v>
      </c>
      <c r="I45" s="79" t="n">
        <v>83360</v>
      </c>
      <c r="J45" s="79" t="n">
        <v>35174</v>
      </c>
      <c r="K45" s="80" t="n">
        <v>1.24</v>
      </c>
      <c r="L45" s="79"/>
      <c r="M45" s="79" t="n">
        <v>63090</v>
      </c>
      <c r="N45" s="80" t="n">
        <v>0.22</v>
      </c>
      <c r="O45" s="80" t="n">
        <v>141.5</v>
      </c>
      <c r="P45" s="47" t="n">
        <v>20</v>
      </c>
      <c r="Q45" s="66" t="s">
        <v>306</v>
      </c>
    </row>
    <row r="46" customFormat="false" ht="15" hidden="false" customHeight="false" outlineLevel="0" collapsed="false">
      <c r="A46" s="76" t="s">
        <v>84</v>
      </c>
      <c r="B46" s="76" t="s">
        <v>276</v>
      </c>
      <c r="C46" s="77" t="n">
        <v>2021</v>
      </c>
      <c r="D46" s="77" t="n">
        <v>3</v>
      </c>
      <c r="E46" s="78" t="n">
        <v>44377</v>
      </c>
      <c r="F46" s="76" t="s">
        <v>236</v>
      </c>
      <c r="G46" s="76" t="s">
        <v>237</v>
      </c>
      <c r="H46" s="76" t="s">
        <v>238</v>
      </c>
      <c r="I46" s="79" t="n">
        <v>81434</v>
      </c>
      <c r="J46" s="79" t="n">
        <v>35255</v>
      </c>
      <c r="K46" s="80" t="n">
        <v>1.3</v>
      </c>
      <c r="L46" s="79" t="n">
        <v>16781.735</v>
      </c>
      <c r="M46" s="79" t="n">
        <v>64280</v>
      </c>
      <c r="N46" s="80" t="n">
        <v>0.22</v>
      </c>
      <c r="O46" s="80" t="n">
        <v>136.960006713867</v>
      </c>
      <c r="P46" s="47" t="n">
        <v>21</v>
      </c>
      <c r="Q46" s="66" t="s">
        <v>307</v>
      </c>
    </row>
    <row r="47" customFormat="false" ht="15" hidden="false" customHeight="false" outlineLevel="0" collapsed="false">
      <c r="A47" s="76" t="s">
        <v>84</v>
      </c>
      <c r="B47" s="76" t="s">
        <v>278</v>
      </c>
      <c r="C47" s="77" t="n">
        <v>2021</v>
      </c>
      <c r="D47" s="77" t="n">
        <v>2</v>
      </c>
      <c r="E47" s="78" t="n">
        <v>44286</v>
      </c>
      <c r="F47" s="76" t="s">
        <v>236</v>
      </c>
      <c r="G47" s="76" t="s">
        <v>237</v>
      </c>
      <c r="H47" s="76" t="s">
        <v>238</v>
      </c>
      <c r="I47" s="79" t="n">
        <v>89584</v>
      </c>
      <c r="J47" s="79" t="n">
        <v>38079</v>
      </c>
      <c r="K47" s="80" t="n">
        <v>1.4</v>
      </c>
      <c r="L47" s="79" t="n">
        <v>16929.157</v>
      </c>
      <c r="M47" s="79" t="n">
        <v>69178</v>
      </c>
      <c r="N47" s="80" t="n">
        <v>0.205</v>
      </c>
      <c r="O47" s="80" t="n">
        <v>122.150001525879</v>
      </c>
      <c r="P47" s="47" t="n">
        <v>22</v>
      </c>
      <c r="Q47" s="66" t="s">
        <v>308</v>
      </c>
    </row>
    <row r="48" customFormat="false" ht="15" hidden="false" customHeight="false" outlineLevel="0" collapsed="false">
      <c r="A48" s="76" t="s">
        <v>84</v>
      </c>
      <c r="B48" s="76" t="s">
        <v>280</v>
      </c>
      <c r="C48" s="77" t="n">
        <v>2021</v>
      </c>
      <c r="D48" s="77" t="n">
        <v>1</v>
      </c>
      <c r="E48" s="78" t="n">
        <v>44196</v>
      </c>
      <c r="F48" s="76" t="s">
        <v>236</v>
      </c>
      <c r="G48" s="76" t="s">
        <v>237</v>
      </c>
      <c r="H48" s="76" t="s">
        <v>238</v>
      </c>
      <c r="I48" s="79" t="n">
        <v>111439</v>
      </c>
      <c r="J48" s="79" t="n">
        <v>44328</v>
      </c>
      <c r="K48" s="80" t="n">
        <v>1.68</v>
      </c>
      <c r="L48" s="79" t="n">
        <v>17113.688</v>
      </c>
      <c r="M48" s="79" t="n">
        <v>66224</v>
      </c>
      <c r="N48" s="80" t="n">
        <v>0.205</v>
      </c>
      <c r="O48" s="80" t="n">
        <v>132.690002441406</v>
      </c>
      <c r="P48" s="47" t="n">
        <v>23</v>
      </c>
      <c r="Q48" s="66" t="s">
        <v>309</v>
      </c>
    </row>
    <row r="49" customFormat="false" ht="15" hidden="false" customHeight="false" outlineLevel="0" collapsed="false">
      <c r="A49" s="76" t="s">
        <v>84</v>
      </c>
      <c r="B49" s="76" t="s">
        <v>282</v>
      </c>
      <c r="C49" s="77" t="n">
        <v>2020</v>
      </c>
      <c r="D49" s="77" t="n">
        <v>4</v>
      </c>
      <c r="E49" s="78" t="n">
        <v>44104</v>
      </c>
      <c r="F49" s="76" t="s">
        <v>236</v>
      </c>
      <c r="G49" s="76" t="s">
        <v>237</v>
      </c>
      <c r="H49" s="76" t="s">
        <v>238</v>
      </c>
      <c r="I49" s="79" t="n">
        <v>64698</v>
      </c>
      <c r="J49" s="79" t="n">
        <v>24689</v>
      </c>
      <c r="K49" s="80" t="n">
        <v>0.73</v>
      </c>
      <c r="L49" s="79"/>
      <c r="M49" s="79" t="n">
        <v>65339</v>
      </c>
      <c r="N49" s="80"/>
      <c r="O49" s="80" t="n">
        <v>115.809997558594</v>
      </c>
      <c r="P49" s="47" t="n">
        <v>24</v>
      </c>
      <c r="Q49" s="66" t="s">
        <v>310</v>
      </c>
    </row>
    <row r="50" customFormat="false" ht="15" hidden="false" customHeight="false" outlineLevel="0" collapsed="false">
      <c r="A50" s="76" t="s">
        <v>199</v>
      </c>
      <c r="B50" s="76" t="s">
        <v>235</v>
      </c>
      <c r="C50" s="77" t="n">
        <v>2026</v>
      </c>
      <c r="D50" s="77" t="n">
        <v>2</v>
      </c>
      <c r="E50" s="78" t="n">
        <v>46203</v>
      </c>
      <c r="F50" s="76" t="s">
        <v>236</v>
      </c>
      <c r="G50" s="76" t="s">
        <v>237</v>
      </c>
      <c r="H50" s="76" t="s">
        <v>238</v>
      </c>
      <c r="I50" s="79" t="n">
        <v>775680</v>
      </c>
      <c r="J50" s="79" t="n">
        <v>393810</v>
      </c>
      <c r="K50" s="80" t="n">
        <v>5.75</v>
      </c>
      <c r="L50" s="79" t="n">
        <v>10903</v>
      </c>
      <c r="M50" s="79" t="n">
        <v>551620</v>
      </c>
      <c r="N50" s="80"/>
      <c r="O50" s="80" t="n">
        <v>238.339996337891</v>
      </c>
      <c r="P50" s="47" t="n">
        <v>1</v>
      </c>
      <c r="Q50" s="66" t="s">
        <v>311</v>
      </c>
    </row>
    <row r="51" customFormat="false" ht="15" hidden="false" customHeight="false" outlineLevel="0" collapsed="false">
      <c r="A51" s="76" t="s">
        <v>199</v>
      </c>
      <c r="B51" s="76" t="s">
        <v>240</v>
      </c>
      <c r="C51" s="77" t="n">
        <v>2026</v>
      </c>
      <c r="D51" s="77" t="n">
        <v>1</v>
      </c>
      <c r="E51" s="78" t="n">
        <v>46112</v>
      </c>
      <c r="F51" s="76" t="s">
        <v>236</v>
      </c>
      <c r="G51" s="76" t="s">
        <v>237</v>
      </c>
      <c r="H51" s="76" t="s">
        <v>238</v>
      </c>
      <c r="I51" s="79" t="n">
        <v>181519</v>
      </c>
      <c r="J51" s="79" t="n">
        <v>94056</v>
      </c>
      <c r="K51" s="80" t="n">
        <v>2.78</v>
      </c>
      <c r="L51" s="79" t="n">
        <v>10874</v>
      </c>
      <c r="M51" s="79" t="n">
        <v>441914</v>
      </c>
      <c r="N51" s="80"/>
      <c r="O51" s="80" t="n">
        <v>208.270004272461</v>
      </c>
      <c r="P51" s="47" t="n">
        <v>2</v>
      </c>
      <c r="Q51" s="66" t="s">
        <v>312</v>
      </c>
    </row>
    <row r="52" customFormat="false" ht="15" hidden="false" customHeight="false" outlineLevel="0" collapsed="false">
      <c r="A52" s="76" t="s">
        <v>199</v>
      </c>
      <c r="B52" s="76" t="s">
        <v>242</v>
      </c>
      <c r="C52" s="77" t="n">
        <v>2025</v>
      </c>
      <c r="D52" s="77" t="n">
        <v>4</v>
      </c>
      <c r="E52" s="78" t="n">
        <v>46022</v>
      </c>
      <c r="F52" s="76" t="s">
        <v>236</v>
      </c>
      <c r="G52" s="76" t="s">
        <v>237</v>
      </c>
      <c r="H52" s="76" t="s">
        <v>238</v>
      </c>
      <c r="I52" s="79" t="n">
        <v>213386</v>
      </c>
      <c r="J52" s="79" t="n">
        <v>103427</v>
      </c>
      <c r="K52" s="80" t="n">
        <v>1.95</v>
      </c>
      <c r="L52" s="79" t="n">
        <v>10863</v>
      </c>
      <c r="M52" s="79" t="n">
        <v>411065</v>
      </c>
      <c r="N52" s="80"/>
      <c r="O52" s="80" t="n">
        <v>230.820007324219</v>
      </c>
      <c r="P52" s="47" t="n">
        <v>3</v>
      </c>
      <c r="Q52" s="66" t="s">
        <v>313</v>
      </c>
    </row>
    <row r="53" customFormat="false" ht="15" hidden="false" customHeight="false" outlineLevel="0" collapsed="false">
      <c r="A53" s="76" t="s">
        <v>199</v>
      </c>
      <c r="B53" s="76" t="s">
        <v>244</v>
      </c>
      <c r="C53" s="77" t="n">
        <v>2025</v>
      </c>
      <c r="D53" s="77" t="n">
        <v>3</v>
      </c>
      <c r="E53" s="78" t="n">
        <v>45930</v>
      </c>
      <c r="F53" s="76" t="s">
        <v>236</v>
      </c>
      <c r="G53" s="76" t="s">
        <v>237</v>
      </c>
      <c r="H53" s="76" t="s">
        <v>238</v>
      </c>
      <c r="I53" s="79" t="n">
        <v>180169</v>
      </c>
      <c r="J53" s="79" t="n">
        <v>91499</v>
      </c>
      <c r="K53" s="80" t="n">
        <v>1.95</v>
      </c>
      <c r="L53" s="79" t="n">
        <v>10845</v>
      </c>
      <c r="M53" s="79" t="n">
        <v>369631</v>
      </c>
      <c r="N53" s="80"/>
      <c r="O53" s="80" t="n">
        <v>219.570007324219</v>
      </c>
      <c r="P53" s="47" t="n">
        <v>4</v>
      </c>
      <c r="Q53" s="66" t="s">
        <v>314</v>
      </c>
    </row>
    <row r="54" customFormat="false" ht="15" hidden="false" customHeight="false" outlineLevel="0" collapsed="false">
      <c r="A54" s="76" t="s">
        <v>199</v>
      </c>
      <c r="B54" s="76" t="s">
        <v>246</v>
      </c>
      <c r="C54" s="77" t="n">
        <v>2025</v>
      </c>
      <c r="D54" s="77" t="n">
        <v>2</v>
      </c>
      <c r="E54" s="78" t="n">
        <v>45838</v>
      </c>
      <c r="F54" s="76" t="s">
        <v>236</v>
      </c>
      <c r="G54" s="76" t="s">
        <v>237</v>
      </c>
      <c r="H54" s="76" t="s">
        <v>238</v>
      </c>
      <c r="I54" s="79" t="n">
        <v>167702</v>
      </c>
      <c r="J54" s="79" t="n">
        <v>86893</v>
      </c>
      <c r="K54" s="80" t="n">
        <v>1.68</v>
      </c>
      <c r="L54" s="79" t="n">
        <v>10806</v>
      </c>
      <c r="M54" s="79" t="n">
        <v>333775</v>
      </c>
      <c r="N54" s="80"/>
      <c r="O54" s="80" t="n">
        <v>219.389999389648</v>
      </c>
      <c r="P54" s="47" t="n">
        <v>5</v>
      </c>
      <c r="Q54" s="66" t="s">
        <v>315</v>
      </c>
    </row>
    <row r="55" customFormat="false" ht="15" hidden="false" customHeight="false" outlineLevel="0" collapsed="false">
      <c r="A55" s="76" t="s">
        <v>199</v>
      </c>
      <c r="B55" s="76" t="s">
        <v>248</v>
      </c>
      <c r="C55" s="77" t="n">
        <v>2025</v>
      </c>
      <c r="D55" s="77" t="n">
        <v>1</v>
      </c>
      <c r="E55" s="78" t="n">
        <v>45747</v>
      </c>
      <c r="F55" s="76" t="s">
        <v>236</v>
      </c>
      <c r="G55" s="76" t="s">
        <v>237</v>
      </c>
      <c r="H55" s="76" t="s">
        <v>238</v>
      </c>
      <c r="I55" s="79" t="n">
        <v>155667</v>
      </c>
      <c r="J55" s="79" t="n">
        <v>78691</v>
      </c>
      <c r="K55" s="80" t="n">
        <v>1.59</v>
      </c>
      <c r="L55" s="79" t="n">
        <v>10751.75</v>
      </c>
      <c r="M55" s="79" t="n">
        <v>305867</v>
      </c>
      <c r="N55" s="80"/>
      <c r="O55" s="80" t="n">
        <v>190.259994506836</v>
      </c>
      <c r="P55" s="47" t="n">
        <v>6</v>
      </c>
      <c r="Q55" s="66" t="s">
        <v>316</v>
      </c>
    </row>
    <row r="56" customFormat="false" ht="15" hidden="false" customHeight="false" outlineLevel="0" collapsed="false">
      <c r="A56" s="76" t="s">
        <v>199</v>
      </c>
      <c r="B56" s="76" t="s">
        <v>250</v>
      </c>
      <c r="C56" s="77" t="n">
        <v>2024</v>
      </c>
      <c r="D56" s="77" t="n">
        <v>4</v>
      </c>
      <c r="E56" s="78" t="n">
        <v>45657</v>
      </c>
      <c r="F56" s="76" t="s">
        <v>236</v>
      </c>
      <c r="G56" s="76" t="s">
        <v>237</v>
      </c>
      <c r="H56" s="76" t="s">
        <v>238</v>
      </c>
      <c r="I56" s="79" t="n">
        <v>187792</v>
      </c>
      <c r="J56" s="79" t="n">
        <v>88899</v>
      </c>
      <c r="K56" s="80" t="n">
        <v>1.86</v>
      </c>
      <c r="L56" s="79" t="n">
        <v>10721</v>
      </c>
      <c r="M56" s="79" t="n">
        <v>285970</v>
      </c>
      <c r="N56" s="80"/>
      <c r="O56" s="80" t="n">
        <v>219.389999389648</v>
      </c>
      <c r="P56" s="47" t="n">
        <v>7</v>
      </c>
      <c r="Q56" s="66" t="s">
        <v>317</v>
      </c>
    </row>
    <row r="57" customFormat="false" ht="15" hidden="false" customHeight="false" outlineLevel="0" collapsed="false">
      <c r="A57" s="76" t="s">
        <v>199</v>
      </c>
      <c r="B57" s="76" t="s">
        <v>252</v>
      </c>
      <c r="C57" s="77" t="n">
        <v>2024</v>
      </c>
      <c r="D57" s="77" t="n">
        <v>3</v>
      </c>
      <c r="E57" s="78" t="n">
        <v>45565</v>
      </c>
      <c r="F57" s="76" t="s">
        <v>236</v>
      </c>
      <c r="G57" s="76" t="s">
        <v>237</v>
      </c>
      <c r="H57" s="76" t="s">
        <v>238</v>
      </c>
      <c r="I57" s="79" t="n">
        <v>158877</v>
      </c>
      <c r="J57" s="79" t="n">
        <v>77900</v>
      </c>
      <c r="K57" s="80" t="n">
        <v>1.43</v>
      </c>
      <c r="L57" s="79" t="n">
        <v>10681.75</v>
      </c>
      <c r="M57" s="79" t="n">
        <v>259151</v>
      </c>
      <c r="N57" s="80"/>
      <c r="O57" s="80" t="n">
        <v>186.330001831055</v>
      </c>
      <c r="P57" s="47" t="n">
        <v>8</v>
      </c>
      <c r="Q57" s="66" t="s">
        <v>318</v>
      </c>
    </row>
    <row r="58" customFormat="false" ht="15" hidden="false" customHeight="false" outlineLevel="0" collapsed="false">
      <c r="A58" s="76" t="s">
        <v>199</v>
      </c>
      <c r="B58" s="76" t="s">
        <v>254</v>
      </c>
      <c r="C58" s="77" t="n">
        <v>2024</v>
      </c>
      <c r="D58" s="77" t="n">
        <v>2</v>
      </c>
      <c r="E58" s="78" t="n">
        <v>45473</v>
      </c>
      <c r="F58" s="76" t="s">
        <v>236</v>
      </c>
      <c r="G58" s="76" t="s">
        <v>237</v>
      </c>
      <c r="H58" s="76" t="s">
        <v>238</v>
      </c>
      <c r="I58" s="79" t="n">
        <v>147977</v>
      </c>
      <c r="J58" s="79" t="n">
        <v>74192</v>
      </c>
      <c r="K58" s="80" t="n">
        <v>1.26</v>
      </c>
      <c r="L58" s="79" t="n">
        <v>10637.5</v>
      </c>
      <c r="M58" s="79" t="n">
        <v>236447</v>
      </c>
      <c r="N58" s="80"/>
      <c r="O58" s="80" t="n">
        <v>193.25</v>
      </c>
      <c r="P58" s="47" t="n">
        <v>9</v>
      </c>
      <c r="Q58" s="66" t="s">
        <v>319</v>
      </c>
    </row>
    <row r="59" customFormat="false" ht="15" hidden="false" customHeight="false" outlineLevel="0" collapsed="false">
      <c r="A59" s="76" t="s">
        <v>199</v>
      </c>
      <c r="B59" s="76" t="s">
        <v>256</v>
      </c>
      <c r="C59" s="77" t="n">
        <v>2024</v>
      </c>
      <c r="D59" s="77" t="n">
        <v>1</v>
      </c>
      <c r="E59" s="78" t="n">
        <v>45382</v>
      </c>
      <c r="F59" s="76" t="s">
        <v>236</v>
      </c>
      <c r="G59" s="76" t="s">
        <v>237</v>
      </c>
      <c r="H59" s="76" t="s">
        <v>238</v>
      </c>
      <c r="I59" s="79" t="n">
        <v>143313</v>
      </c>
      <c r="J59" s="79" t="n">
        <v>70680</v>
      </c>
      <c r="K59" s="80" t="n">
        <v>0.98</v>
      </c>
      <c r="L59" s="79" t="n">
        <v>10572.75</v>
      </c>
      <c r="M59" s="79" t="n">
        <v>216661</v>
      </c>
      <c r="N59" s="80"/>
      <c r="O59" s="80" t="n">
        <v>180.380004882813</v>
      </c>
      <c r="P59" s="47" t="n">
        <v>10</v>
      </c>
      <c r="Q59" s="66" t="s">
        <v>320</v>
      </c>
    </row>
    <row r="60" customFormat="false" ht="15" hidden="false" customHeight="false" outlineLevel="0" collapsed="false">
      <c r="A60" s="76" t="s">
        <v>199</v>
      </c>
      <c r="B60" s="76" t="s">
        <v>258</v>
      </c>
      <c r="C60" s="77" t="n">
        <v>2023</v>
      </c>
      <c r="D60" s="77" t="n">
        <v>4</v>
      </c>
      <c r="E60" s="78" t="n">
        <v>45291</v>
      </c>
      <c r="F60" s="76" t="s">
        <v>236</v>
      </c>
      <c r="G60" s="76" t="s">
        <v>237</v>
      </c>
      <c r="H60" s="76" t="s">
        <v>238</v>
      </c>
      <c r="I60" s="79" t="n">
        <v>169961</v>
      </c>
      <c r="J60" s="79" t="n">
        <v>77408</v>
      </c>
      <c r="K60" s="80" t="n">
        <v>1</v>
      </c>
      <c r="L60" s="79" t="n">
        <v>10492</v>
      </c>
      <c r="M60" s="79" t="n">
        <v>201875</v>
      </c>
      <c r="N60" s="80"/>
      <c r="O60" s="80" t="n">
        <v>151.940002441406</v>
      </c>
      <c r="P60" s="47" t="n">
        <v>11</v>
      </c>
      <c r="Q60" s="66" t="s">
        <v>321</v>
      </c>
    </row>
    <row r="61" customFormat="false" ht="15" hidden="false" customHeight="false" outlineLevel="0" collapsed="false">
      <c r="A61" s="76" t="s">
        <v>199</v>
      </c>
      <c r="B61" s="76" t="s">
        <v>260</v>
      </c>
      <c r="C61" s="77" t="n">
        <v>2023</v>
      </c>
      <c r="D61" s="77" t="n">
        <v>3</v>
      </c>
      <c r="E61" s="78" t="n">
        <v>45199</v>
      </c>
      <c r="F61" s="76" t="s">
        <v>236</v>
      </c>
      <c r="G61" s="76" t="s">
        <v>237</v>
      </c>
      <c r="H61" s="76" t="s">
        <v>238</v>
      </c>
      <c r="I61" s="79" t="n">
        <v>143083</v>
      </c>
      <c r="J61" s="79" t="n">
        <v>68061</v>
      </c>
      <c r="K61" s="80" t="n">
        <v>0.94</v>
      </c>
      <c r="L61" s="79" t="n">
        <v>10394.5</v>
      </c>
      <c r="M61" s="79" t="n">
        <v>182973</v>
      </c>
      <c r="N61" s="80"/>
      <c r="O61" s="80" t="n">
        <v>127.120002746582</v>
      </c>
      <c r="P61" s="47" t="n">
        <v>12</v>
      </c>
      <c r="Q61" s="66" t="s">
        <v>322</v>
      </c>
    </row>
    <row r="62" customFormat="false" ht="15" hidden="false" customHeight="false" outlineLevel="0" collapsed="false">
      <c r="A62" s="76" t="s">
        <v>199</v>
      </c>
      <c r="B62" s="76" t="s">
        <v>262</v>
      </c>
      <c r="C62" s="77" t="n">
        <v>2023</v>
      </c>
      <c r="D62" s="77" t="n">
        <v>2</v>
      </c>
      <c r="E62" s="78" t="n">
        <v>45107</v>
      </c>
      <c r="F62" s="76" t="s">
        <v>236</v>
      </c>
      <c r="G62" s="76" t="s">
        <v>237</v>
      </c>
      <c r="H62" s="76" t="s">
        <v>238</v>
      </c>
      <c r="I62" s="79" t="n">
        <v>134383</v>
      </c>
      <c r="J62" s="79" t="n">
        <v>65010</v>
      </c>
      <c r="K62" s="80" t="n">
        <v>0.65</v>
      </c>
      <c r="L62" s="79" t="n">
        <v>10449</v>
      </c>
      <c r="M62" s="79" t="n">
        <v>168602</v>
      </c>
      <c r="N62" s="80"/>
      <c r="O62" s="80" t="n">
        <v>130.360000610352</v>
      </c>
      <c r="P62" s="47" t="n">
        <v>13</v>
      </c>
      <c r="Q62" s="66" t="s">
        <v>323</v>
      </c>
    </row>
    <row r="63" customFormat="false" ht="15" hidden="false" customHeight="false" outlineLevel="0" collapsed="false">
      <c r="A63" s="76" t="s">
        <v>199</v>
      </c>
      <c r="B63" s="76" t="s">
        <v>264</v>
      </c>
      <c r="C63" s="77" t="n">
        <v>2023</v>
      </c>
      <c r="D63" s="77" t="n">
        <v>1</v>
      </c>
      <c r="E63" s="78" t="n">
        <v>45016</v>
      </c>
      <c r="F63" s="76" t="s">
        <v>236</v>
      </c>
      <c r="G63" s="76" t="s">
        <v>237</v>
      </c>
      <c r="H63" s="76" t="s">
        <v>238</v>
      </c>
      <c r="I63" s="79" t="n">
        <v>127358</v>
      </c>
      <c r="J63" s="79" t="n">
        <v>59567</v>
      </c>
      <c r="K63" s="80" t="n">
        <v>0.31</v>
      </c>
      <c r="L63" s="79" t="n">
        <v>10347</v>
      </c>
      <c r="M63" s="79" t="n">
        <v>154526</v>
      </c>
      <c r="N63" s="80"/>
      <c r="O63" s="80" t="n">
        <v>103.290000915527</v>
      </c>
      <c r="P63" s="47" t="n">
        <v>14</v>
      </c>
      <c r="Q63" s="66" t="s">
        <v>324</v>
      </c>
    </row>
    <row r="64" customFormat="false" ht="15" hidden="false" customHeight="false" outlineLevel="0" collapsed="false">
      <c r="A64" s="76" t="s">
        <v>199</v>
      </c>
      <c r="B64" s="76" t="s">
        <v>266</v>
      </c>
      <c r="C64" s="77" t="n">
        <v>2022</v>
      </c>
      <c r="D64" s="77" t="n">
        <v>4</v>
      </c>
      <c r="E64" s="78" t="n">
        <v>44926</v>
      </c>
      <c r="F64" s="76" t="s">
        <v>236</v>
      </c>
      <c r="G64" s="76" t="s">
        <v>237</v>
      </c>
      <c r="H64" s="76" t="s">
        <v>238</v>
      </c>
      <c r="I64" s="79" t="n">
        <v>149204</v>
      </c>
      <c r="J64" s="79" t="n">
        <v>63564</v>
      </c>
      <c r="K64" s="80" t="n">
        <v>0.03</v>
      </c>
      <c r="L64" s="79"/>
      <c r="M64" s="79" t="n">
        <v>146043</v>
      </c>
      <c r="N64" s="80"/>
      <c r="O64" s="80" t="n">
        <v>84</v>
      </c>
      <c r="P64" s="47" t="n">
        <v>15</v>
      </c>
      <c r="Q64" s="66" t="s">
        <v>325</v>
      </c>
    </row>
    <row r="65" customFormat="false" ht="15" hidden="false" customHeight="false" outlineLevel="0" collapsed="false">
      <c r="A65" s="76" t="s">
        <v>199</v>
      </c>
      <c r="B65" s="76" t="s">
        <v>268</v>
      </c>
      <c r="C65" s="77" t="n">
        <v>2022</v>
      </c>
      <c r="D65" s="77" t="n">
        <v>3</v>
      </c>
      <c r="E65" s="78" t="n">
        <v>44834</v>
      </c>
      <c r="F65" s="76" t="s">
        <v>236</v>
      </c>
      <c r="G65" s="76" t="s">
        <v>237</v>
      </c>
      <c r="H65" s="76" t="s">
        <v>238</v>
      </c>
      <c r="I65" s="79" t="n">
        <v>127101</v>
      </c>
      <c r="J65" s="79" t="n">
        <v>56833</v>
      </c>
      <c r="K65" s="80" t="n">
        <v>0.28</v>
      </c>
      <c r="L65" s="79" t="n">
        <v>10331</v>
      </c>
      <c r="M65" s="79" t="n">
        <v>137489</v>
      </c>
      <c r="N65" s="80"/>
      <c r="O65" s="80" t="n">
        <v>113</v>
      </c>
      <c r="P65" s="47" t="n">
        <v>16</v>
      </c>
      <c r="Q65" s="66" t="s">
        <v>326</v>
      </c>
    </row>
    <row r="66" customFormat="false" ht="15" hidden="false" customHeight="false" outlineLevel="0" collapsed="false">
      <c r="A66" s="76" t="s">
        <v>199</v>
      </c>
      <c r="B66" s="76" t="s">
        <v>270</v>
      </c>
      <c r="C66" s="77" t="n">
        <v>2022</v>
      </c>
      <c r="D66" s="77" t="n">
        <v>2</v>
      </c>
      <c r="E66" s="78" t="n">
        <v>44742</v>
      </c>
      <c r="F66" s="76" t="s">
        <v>236</v>
      </c>
      <c r="G66" s="76" t="s">
        <v>237</v>
      </c>
      <c r="H66" s="76" t="s">
        <v>238</v>
      </c>
      <c r="I66" s="79" t="n">
        <v>121234</v>
      </c>
      <c r="J66" s="79" t="n">
        <v>54810</v>
      </c>
      <c r="K66" s="80" t="n">
        <v>-0.2</v>
      </c>
      <c r="L66" s="79" t="n">
        <v>10175</v>
      </c>
      <c r="M66" s="79" t="n">
        <v>131402</v>
      </c>
      <c r="N66" s="80"/>
      <c r="O66" s="80" t="n">
        <v>106.209999084473</v>
      </c>
      <c r="P66" s="47" t="n">
        <v>17</v>
      </c>
      <c r="Q66" s="66" t="s">
        <v>327</v>
      </c>
    </row>
    <row r="67" customFormat="false" ht="15" hidden="false" customHeight="false" outlineLevel="0" collapsed="false">
      <c r="A67" s="76" t="s">
        <v>199</v>
      </c>
      <c r="B67" s="76" t="s">
        <v>272</v>
      </c>
      <c r="C67" s="77" t="n">
        <v>2022</v>
      </c>
      <c r="D67" s="77" t="n">
        <v>1</v>
      </c>
      <c r="E67" s="78" t="n">
        <v>44651</v>
      </c>
      <c r="F67" s="76" t="s">
        <v>236</v>
      </c>
      <c r="G67" s="76" t="s">
        <v>237</v>
      </c>
      <c r="H67" s="76" t="s">
        <v>238</v>
      </c>
      <c r="I67" s="79" t="n">
        <v>116444</v>
      </c>
      <c r="J67" s="79" t="n">
        <v>49945</v>
      </c>
      <c r="K67" s="80" t="n">
        <v>-0.38</v>
      </c>
      <c r="L67" s="79" t="n">
        <v>10171</v>
      </c>
      <c r="M67" s="79" t="n">
        <v>134001</v>
      </c>
      <c r="N67" s="80"/>
      <c r="O67" s="80" t="n">
        <v>162.997497558594</v>
      </c>
      <c r="P67" s="47" t="n">
        <v>18</v>
      </c>
      <c r="Q67" s="66" t="s">
        <v>328</v>
      </c>
    </row>
    <row r="68" customFormat="false" ht="15" hidden="false" customHeight="false" outlineLevel="0" collapsed="false">
      <c r="A68" s="76" t="s">
        <v>199</v>
      </c>
      <c r="B68" s="76" t="s">
        <v>274</v>
      </c>
      <c r="C68" s="77" t="n">
        <v>2021</v>
      </c>
      <c r="D68" s="77" t="n">
        <v>4</v>
      </c>
      <c r="E68" s="78" t="n">
        <v>44561</v>
      </c>
      <c r="F68" s="76" t="s">
        <v>236</v>
      </c>
      <c r="G68" s="76" t="s">
        <v>237</v>
      </c>
      <c r="H68" s="76" t="s">
        <v>238</v>
      </c>
      <c r="I68" s="79" t="n">
        <v>137412</v>
      </c>
      <c r="J68" s="79" t="n">
        <v>54577</v>
      </c>
      <c r="K68" s="80" t="n">
        <v>1.39</v>
      </c>
      <c r="L68" s="79"/>
      <c r="M68" s="79" t="n">
        <v>138245</v>
      </c>
      <c r="N68" s="80"/>
      <c r="O68" s="80" t="n">
        <v>166.716995239258</v>
      </c>
      <c r="P68" s="47" t="n">
        <v>19</v>
      </c>
      <c r="Q68" s="66" t="s">
        <v>329</v>
      </c>
    </row>
    <row r="69" customFormat="false" ht="15" hidden="false" customHeight="false" outlineLevel="0" collapsed="false">
      <c r="A69" s="76" t="s">
        <v>199</v>
      </c>
      <c r="B69" s="76" t="s">
        <v>276</v>
      </c>
      <c r="C69" s="77" t="n">
        <v>2021</v>
      </c>
      <c r="D69" s="77" t="n">
        <v>3</v>
      </c>
      <c r="E69" s="78" t="n">
        <v>44469</v>
      </c>
      <c r="F69" s="76" t="s">
        <v>236</v>
      </c>
      <c r="G69" s="76" t="s">
        <v>237</v>
      </c>
      <c r="H69" s="76" t="s">
        <v>238</v>
      </c>
      <c r="I69" s="79" t="n">
        <v>110812</v>
      </c>
      <c r="J69" s="79" t="n">
        <v>47882</v>
      </c>
      <c r="K69" s="80" t="n">
        <v>0.31</v>
      </c>
      <c r="L69" s="79" t="n">
        <v>10309</v>
      </c>
      <c r="M69" s="79" t="n">
        <v>120564</v>
      </c>
      <c r="N69" s="80"/>
      <c r="O69" s="80" t="n">
        <v>164.251998901367</v>
      </c>
      <c r="P69" s="47" t="n">
        <v>20</v>
      </c>
      <c r="Q69" s="66" t="s">
        <v>330</v>
      </c>
    </row>
    <row r="70" customFormat="false" ht="15" hidden="false" customHeight="false" outlineLevel="0" collapsed="false">
      <c r="A70" s="76" t="s">
        <v>199</v>
      </c>
      <c r="B70" s="76" t="s">
        <v>278</v>
      </c>
      <c r="C70" s="77" t="n">
        <v>2021</v>
      </c>
      <c r="D70" s="77" t="n">
        <v>2</v>
      </c>
      <c r="E70" s="78" t="n">
        <v>44377</v>
      </c>
      <c r="F70" s="76" t="s">
        <v>236</v>
      </c>
      <c r="G70" s="76" t="s">
        <v>237</v>
      </c>
      <c r="H70" s="76" t="s">
        <v>238</v>
      </c>
      <c r="I70" s="79" t="n">
        <v>113080</v>
      </c>
      <c r="J70" s="79" t="n">
        <v>48904</v>
      </c>
      <c r="K70" s="80" t="n">
        <v>0.76</v>
      </c>
      <c r="L70" s="79" t="n">
        <v>10286</v>
      </c>
      <c r="M70" s="79" t="n">
        <v>114803</v>
      </c>
      <c r="N70" s="80"/>
      <c r="O70" s="80" t="n">
        <v>172.007995605469</v>
      </c>
      <c r="P70" s="47" t="n">
        <v>21</v>
      </c>
      <c r="Q70" s="66" t="s">
        <v>331</v>
      </c>
    </row>
    <row r="71" customFormat="false" ht="15" hidden="false" customHeight="false" outlineLevel="0" collapsed="false">
      <c r="A71" s="76" t="s">
        <v>199</v>
      </c>
      <c r="B71" s="76" t="s">
        <v>280</v>
      </c>
      <c r="C71" s="77" t="n">
        <v>2021</v>
      </c>
      <c r="D71" s="77" t="n">
        <v>1</v>
      </c>
      <c r="E71" s="78" t="n">
        <v>44286</v>
      </c>
      <c r="F71" s="76" t="s">
        <v>236</v>
      </c>
      <c r="G71" s="76" t="s">
        <v>237</v>
      </c>
      <c r="H71" s="76" t="s">
        <v>238</v>
      </c>
      <c r="I71" s="79" t="n">
        <v>108518</v>
      </c>
      <c r="J71" s="79" t="n">
        <v>46115</v>
      </c>
      <c r="K71" s="80" t="n">
        <v>0.79</v>
      </c>
      <c r="L71" s="79" t="n">
        <v>513</v>
      </c>
      <c r="M71" s="79" t="n">
        <v>103320</v>
      </c>
      <c r="N71" s="80"/>
      <c r="O71" s="80" t="n">
        <v>154.703994750977</v>
      </c>
      <c r="P71" s="47" t="n">
        <v>22</v>
      </c>
      <c r="Q71" s="66" t="s">
        <v>332</v>
      </c>
    </row>
    <row r="72" customFormat="false" ht="15" hidden="false" customHeight="false" outlineLevel="0" collapsed="false">
      <c r="A72" s="76" t="s">
        <v>199</v>
      </c>
      <c r="B72" s="76" t="s">
        <v>282</v>
      </c>
      <c r="C72" s="77" t="n">
        <v>2020</v>
      </c>
      <c r="D72" s="77" t="n">
        <v>4</v>
      </c>
      <c r="E72" s="78" t="n">
        <v>44196</v>
      </c>
      <c r="F72" s="76" t="s">
        <v>236</v>
      </c>
      <c r="G72" s="76" t="s">
        <v>237</v>
      </c>
      <c r="H72" s="76" t="s">
        <v>238</v>
      </c>
      <c r="I72" s="79" t="n">
        <v>125555</v>
      </c>
      <c r="J72" s="79" t="n">
        <v>46271</v>
      </c>
      <c r="K72" s="80" t="n">
        <v>0.7</v>
      </c>
      <c r="L72" s="79" t="n">
        <v>513</v>
      </c>
      <c r="M72" s="79" t="n">
        <v>93404</v>
      </c>
      <c r="N72" s="80"/>
      <c r="O72" s="80" t="n">
        <v>162.846496582031</v>
      </c>
      <c r="P72" s="47" t="n">
        <v>23</v>
      </c>
      <c r="Q72" s="66" t="s">
        <v>333</v>
      </c>
    </row>
    <row r="73" customFormat="false" ht="15" hidden="false" customHeight="false" outlineLevel="0" collapsed="false">
      <c r="A73" s="76" t="s">
        <v>199</v>
      </c>
      <c r="B73" s="76" t="s">
        <v>284</v>
      </c>
      <c r="C73" s="77" t="n">
        <v>2020</v>
      </c>
      <c r="D73" s="77" t="n">
        <v>3</v>
      </c>
      <c r="E73" s="78" t="n">
        <v>44104</v>
      </c>
      <c r="F73" s="76" t="s">
        <v>236</v>
      </c>
      <c r="G73" s="76" t="s">
        <v>237</v>
      </c>
      <c r="H73" s="76" t="s">
        <v>238</v>
      </c>
      <c r="I73" s="79" t="n">
        <v>96145</v>
      </c>
      <c r="J73" s="79" t="n">
        <v>39039</v>
      </c>
      <c r="K73" s="80" t="n">
        <v>0.62</v>
      </c>
      <c r="L73" s="79" t="n">
        <v>512</v>
      </c>
      <c r="M73" s="79" t="n">
        <v>82775</v>
      </c>
      <c r="N73" s="80"/>
      <c r="O73" s="80" t="n">
        <v>157.436492919922</v>
      </c>
      <c r="P73" s="47" t="n">
        <v>24</v>
      </c>
      <c r="Q73" s="66" t="s">
        <v>334</v>
      </c>
    </row>
    <row r="74" customFormat="false" ht="15" hidden="false" customHeight="false" outlineLevel="0" collapsed="false">
      <c r="A74" s="76" t="s">
        <v>214</v>
      </c>
      <c r="B74" s="76" t="s">
        <v>286</v>
      </c>
      <c r="C74" s="77" t="n">
        <v>2026</v>
      </c>
      <c r="D74" s="77" t="n">
        <v>3</v>
      </c>
      <c r="E74" s="78" t="n">
        <v>46234</v>
      </c>
      <c r="F74" s="76" t="s">
        <v>236</v>
      </c>
      <c r="G74" s="76" t="s">
        <v>237</v>
      </c>
      <c r="H74" s="76" t="s">
        <v>238</v>
      </c>
      <c r="I74" s="79" t="n">
        <v>29591</v>
      </c>
      <c r="J74" s="79" t="n">
        <v>20456</v>
      </c>
      <c r="K74" s="80"/>
      <c r="L74" s="79" t="n">
        <v>4887</v>
      </c>
      <c r="M74" s="79" t="n">
        <v>99690</v>
      </c>
      <c r="N74" s="80" t="n">
        <v>0.65</v>
      </c>
      <c r="O74" s="80" t="n">
        <v>389.279998779297</v>
      </c>
      <c r="P74" s="47" t="n">
        <v>1</v>
      </c>
      <c r="Q74" s="66" t="s">
        <v>335</v>
      </c>
    </row>
    <row r="75" customFormat="false" ht="15" hidden="false" customHeight="false" outlineLevel="0" collapsed="false">
      <c r="A75" s="76" t="s">
        <v>214</v>
      </c>
      <c r="B75" s="76" t="s">
        <v>235</v>
      </c>
      <c r="C75" s="77" t="n">
        <v>2026</v>
      </c>
      <c r="D75" s="77" t="n">
        <v>2</v>
      </c>
      <c r="E75" s="78" t="n">
        <v>46142</v>
      </c>
      <c r="F75" s="76" t="s">
        <v>236</v>
      </c>
      <c r="G75" s="76" t="s">
        <v>237</v>
      </c>
      <c r="H75" s="76" t="s">
        <v>238</v>
      </c>
      <c r="I75" s="79" t="n">
        <v>22187</v>
      </c>
      <c r="J75" s="79" t="n">
        <v>15415</v>
      </c>
      <c r="K75" s="80" t="n">
        <v>2.44</v>
      </c>
      <c r="L75" s="79" t="n">
        <v>4876</v>
      </c>
      <c r="M75" s="79" t="n">
        <v>87691</v>
      </c>
      <c r="N75" s="80" t="n">
        <v>0.65</v>
      </c>
      <c r="O75" s="80" t="n">
        <v>417.429992675781</v>
      </c>
      <c r="P75" s="47" t="n">
        <v>2</v>
      </c>
      <c r="Q75" s="66" t="s">
        <v>336</v>
      </c>
    </row>
    <row r="76" customFormat="false" ht="15" hidden="false" customHeight="false" outlineLevel="0" collapsed="false">
      <c r="A76" s="76" t="s">
        <v>214</v>
      </c>
      <c r="B76" s="76" t="s">
        <v>240</v>
      </c>
      <c r="C76" s="77" t="n">
        <v>2026</v>
      </c>
      <c r="D76" s="77" t="n">
        <v>1</v>
      </c>
      <c r="E76" s="78" t="n">
        <v>46053</v>
      </c>
      <c r="F76" s="76" t="s">
        <v>236</v>
      </c>
      <c r="G76" s="76" t="s">
        <v>237</v>
      </c>
      <c r="H76" s="76" t="s">
        <v>238</v>
      </c>
      <c r="I76" s="79" t="n">
        <v>19311</v>
      </c>
      <c r="J76" s="79" t="n">
        <v>13157</v>
      </c>
      <c r="K76" s="80" t="n">
        <v>2.05</v>
      </c>
      <c r="L76" s="79" t="n">
        <v>4888</v>
      </c>
      <c r="M76" s="79" t="n">
        <v>79872</v>
      </c>
      <c r="N76" s="80" t="n">
        <v>0.65</v>
      </c>
      <c r="O76" s="80" t="n">
        <v>331.299987792969</v>
      </c>
      <c r="P76" s="47" t="n">
        <v>3</v>
      </c>
      <c r="Q76" s="66" t="s">
        <v>337</v>
      </c>
    </row>
    <row r="77" customFormat="false" ht="15" hidden="false" customHeight="false" outlineLevel="0" collapsed="false">
      <c r="A77" s="76" t="s">
        <v>214</v>
      </c>
      <c r="B77" s="76" t="s">
        <v>242</v>
      </c>
      <c r="C77" s="77" t="n">
        <v>2025</v>
      </c>
      <c r="D77" s="77" t="n">
        <v>4</v>
      </c>
      <c r="E77" s="78" t="n">
        <v>45961</v>
      </c>
      <c r="F77" s="76" t="s">
        <v>236</v>
      </c>
      <c r="G77" s="76" t="s">
        <v>237</v>
      </c>
      <c r="H77" s="76" t="s">
        <v>238</v>
      </c>
      <c r="I77" s="79" t="n">
        <v>18015</v>
      </c>
      <c r="J77" s="79" t="n">
        <v>12249</v>
      </c>
      <c r="K77" s="80" t="n">
        <v>1.95</v>
      </c>
      <c r="L77" s="79" t="n">
        <v>4889</v>
      </c>
      <c r="M77" s="79" t="n">
        <v>81292</v>
      </c>
      <c r="N77" s="80" t="n">
        <v>0.59</v>
      </c>
      <c r="O77" s="80" t="n">
        <v>369.630004882813</v>
      </c>
      <c r="P77" s="47" t="n">
        <v>4</v>
      </c>
      <c r="Q77" s="66" t="s">
        <v>338</v>
      </c>
    </row>
    <row r="78" customFormat="false" ht="15" hidden="false" customHeight="false" outlineLevel="0" collapsed="false">
      <c r="A78" s="76" t="s">
        <v>214</v>
      </c>
      <c r="B78" s="76" t="s">
        <v>244</v>
      </c>
      <c r="C78" s="77" t="n">
        <v>2025</v>
      </c>
      <c r="D78" s="77" t="n">
        <v>3</v>
      </c>
      <c r="E78" s="78" t="n">
        <v>45869</v>
      </c>
      <c r="F78" s="76" t="s">
        <v>236</v>
      </c>
      <c r="G78" s="76" t="s">
        <v>237</v>
      </c>
      <c r="H78" s="76" t="s">
        <v>238</v>
      </c>
      <c r="I78" s="79" t="n">
        <v>15952</v>
      </c>
      <c r="J78" s="79" t="n">
        <v>10703</v>
      </c>
      <c r="K78" s="80" t="n">
        <v>1.69</v>
      </c>
      <c r="L78" s="79" t="n">
        <v>4860</v>
      </c>
      <c r="M78" s="79" t="n">
        <v>73277</v>
      </c>
      <c r="N78" s="80" t="n">
        <v>0.59</v>
      </c>
      <c r="O78" s="80" t="n">
        <v>293.700012207031</v>
      </c>
      <c r="P78" s="47" t="n">
        <v>5</v>
      </c>
      <c r="Q78" s="66" t="s">
        <v>339</v>
      </c>
    </row>
    <row r="79" customFormat="false" ht="15" hidden="false" customHeight="false" outlineLevel="0" collapsed="false">
      <c r="A79" s="76" t="s">
        <v>214</v>
      </c>
      <c r="B79" s="76" t="s">
        <v>246</v>
      </c>
      <c r="C79" s="77" t="n">
        <v>2025</v>
      </c>
      <c r="D79" s="77" t="n">
        <v>2</v>
      </c>
      <c r="E79" s="78" t="n">
        <v>45777</v>
      </c>
      <c r="F79" s="76" t="s">
        <v>236</v>
      </c>
      <c r="G79" s="76" t="s">
        <v>237</v>
      </c>
      <c r="H79" s="76" t="s">
        <v>238</v>
      </c>
      <c r="I79" s="79" t="n">
        <v>15004</v>
      </c>
      <c r="J79" s="79" t="n">
        <v>10197</v>
      </c>
      <c r="K79" s="80" t="n">
        <v>1.58</v>
      </c>
      <c r="L79" s="79" t="n">
        <v>4828.5</v>
      </c>
      <c r="M79" s="79" t="n">
        <v>69586</v>
      </c>
      <c r="N79" s="80" t="n">
        <v>0.59</v>
      </c>
      <c r="O79" s="80" t="n">
        <v>192.470001220703</v>
      </c>
      <c r="P79" s="47" t="n">
        <v>6</v>
      </c>
      <c r="Q79" s="66" t="s">
        <v>340</v>
      </c>
    </row>
    <row r="80" customFormat="false" ht="15" hidden="false" customHeight="false" outlineLevel="0" collapsed="false">
      <c r="A80" s="76" t="s">
        <v>214</v>
      </c>
      <c r="B80" s="76" t="s">
        <v>248</v>
      </c>
      <c r="C80" s="77" t="n">
        <v>2025</v>
      </c>
      <c r="D80" s="77" t="n">
        <v>1</v>
      </c>
      <c r="E80" s="78" t="n">
        <v>45688</v>
      </c>
      <c r="F80" s="76" t="s">
        <v>236</v>
      </c>
      <c r="G80" s="76" t="s">
        <v>237</v>
      </c>
      <c r="H80" s="76" t="s">
        <v>238</v>
      </c>
      <c r="I80" s="79" t="n">
        <v>14916</v>
      </c>
      <c r="J80" s="79" t="n">
        <v>10145</v>
      </c>
      <c r="K80" s="80" t="n">
        <v>1.6</v>
      </c>
      <c r="L80" s="79" t="n">
        <v>4820.5</v>
      </c>
      <c r="M80" s="79" t="n">
        <v>69789</v>
      </c>
      <c r="N80" s="80" t="n">
        <v>0.59</v>
      </c>
      <c r="O80" s="80" t="n">
        <v>221.270004272461</v>
      </c>
      <c r="P80" s="47" t="n">
        <v>7</v>
      </c>
      <c r="Q80" s="66" t="s">
        <v>341</v>
      </c>
    </row>
    <row r="81" customFormat="false" ht="15" hidden="false" customHeight="false" outlineLevel="0" collapsed="false">
      <c r="A81" s="76" t="s">
        <v>214</v>
      </c>
      <c r="B81" s="76" t="s">
        <v>250</v>
      </c>
      <c r="C81" s="77" t="n">
        <v>2024</v>
      </c>
      <c r="D81" s="77" t="n">
        <v>4</v>
      </c>
      <c r="E81" s="78" t="n">
        <v>45596</v>
      </c>
      <c r="F81" s="76" t="s">
        <v>236</v>
      </c>
      <c r="G81" s="76" t="s">
        <v>237</v>
      </c>
      <c r="H81" s="76" t="s">
        <v>238</v>
      </c>
      <c r="I81" s="79" t="n">
        <v>14054</v>
      </c>
      <c r="J81" s="79" t="n">
        <v>9002</v>
      </c>
      <c r="K81" s="80" t="n">
        <v>1.42</v>
      </c>
      <c r="L81" s="79"/>
      <c r="M81" s="79" t="n">
        <v>67678</v>
      </c>
      <c r="N81" s="80" t="n">
        <v>0.53</v>
      </c>
      <c r="O81" s="80" t="n">
        <v>169.770004272461</v>
      </c>
      <c r="P81" s="47" t="n">
        <v>8</v>
      </c>
      <c r="Q81" s="66" t="s">
        <v>342</v>
      </c>
    </row>
    <row r="82" customFormat="false" ht="15" hidden="false" customHeight="false" outlineLevel="0" collapsed="false">
      <c r="A82" s="76" t="s">
        <v>214</v>
      </c>
      <c r="B82" s="76" t="s">
        <v>252</v>
      </c>
      <c r="C82" s="77" t="n">
        <v>2024</v>
      </c>
      <c r="D82" s="77" t="n">
        <v>3</v>
      </c>
      <c r="E82" s="78" t="n">
        <v>45504</v>
      </c>
      <c r="F82" s="76" t="s">
        <v>236</v>
      </c>
      <c r="G82" s="76" t="s">
        <v>237</v>
      </c>
      <c r="H82" s="76" t="s">
        <v>238</v>
      </c>
      <c r="I82" s="79" t="n">
        <v>13072</v>
      </c>
      <c r="J82" s="79" t="n">
        <v>8356</v>
      </c>
      <c r="K82" s="80" t="n">
        <v>1.24</v>
      </c>
      <c r="L82" s="79" t="n">
        <v>4636</v>
      </c>
      <c r="M82" s="79" t="n">
        <v>65651</v>
      </c>
      <c r="N82" s="80" t="n">
        <v>0.525</v>
      </c>
      <c r="O82" s="80" t="n">
        <v>160.679992675781</v>
      </c>
      <c r="P82" s="47" t="n">
        <v>9</v>
      </c>
      <c r="Q82" s="66" t="s">
        <v>343</v>
      </c>
    </row>
    <row r="83" customFormat="false" ht="15" hidden="false" customHeight="false" outlineLevel="0" collapsed="false">
      <c r="A83" s="76" t="s">
        <v>214</v>
      </c>
      <c r="B83" s="76" t="s">
        <v>254</v>
      </c>
      <c r="C83" s="77" t="n">
        <v>2024</v>
      </c>
      <c r="D83" s="77" t="n">
        <v>2</v>
      </c>
      <c r="E83" s="78" t="n">
        <v>45412</v>
      </c>
      <c r="F83" s="76" t="s">
        <v>236</v>
      </c>
      <c r="G83" s="76" t="s">
        <v>237</v>
      </c>
      <c r="H83" s="76" t="s">
        <v>238</v>
      </c>
      <c r="I83" s="79" t="n">
        <v>12487</v>
      </c>
      <c r="J83" s="79" t="n">
        <v>7776</v>
      </c>
      <c r="K83" s="80" t="n">
        <v>1.1</v>
      </c>
      <c r="L83" s="79" t="n">
        <v>4495</v>
      </c>
      <c r="M83" s="79" t="n">
        <v>69961</v>
      </c>
      <c r="N83" s="80" t="n">
        <v>0.525</v>
      </c>
      <c r="O83" s="80" t="n">
        <v>130.026992797852</v>
      </c>
      <c r="P83" s="47" t="n">
        <v>10</v>
      </c>
      <c r="Q83" s="66" t="s">
        <v>344</v>
      </c>
    </row>
    <row r="84" customFormat="false" ht="15" hidden="false" customHeight="false" outlineLevel="0" collapsed="false">
      <c r="A84" s="76" t="s">
        <v>214</v>
      </c>
      <c r="B84" s="76" t="s">
        <v>256</v>
      </c>
      <c r="C84" s="77" t="n">
        <v>2024</v>
      </c>
      <c r="D84" s="77" t="n">
        <v>1</v>
      </c>
      <c r="E84" s="78" t="n">
        <v>45322</v>
      </c>
      <c r="F84" s="76" t="s">
        <v>236</v>
      </c>
      <c r="G84" s="76" t="s">
        <v>237</v>
      </c>
      <c r="H84" s="76" t="s">
        <v>238</v>
      </c>
      <c r="I84" s="79" t="n">
        <v>11961</v>
      </c>
      <c r="J84" s="79" t="n">
        <v>7375</v>
      </c>
      <c r="K84" s="80" t="n">
        <v>1.1</v>
      </c>
      <c r="L84" s="79" t="n">
        <v>436.5</v>
      </c>
      <c r="M84" s="79" t="n">
        <v>70284</v>
      </c>
      <c r="N84" s="80" t="n">
        <v>0.525</v>
      </c>
      <c r="O84" s="80" t="n">
        <v>118</v>
      </c>
      <c r="P84" s="47" t="n">
        <v>11</v>
      </c>
      <c r="Q84" s="66" t="s">
        <v>345</v>
      </c>
    </row>
    <row r="85" customFormat="false" ht="15" hidden="false" customHeight="false" outlineLevel="0" collapsed="false">
      <c r="A85" s="76" t="s">
        <v>214</v>
      </c>
      <c r="B85" s="76" t="s">
        <v>258</v>
      </c>
      <c r="C85" s="77" t="n">
        <v>2023</v>
      </c>
      <c r="D85" s="77" t="n">
        <v>4</v>
      </c>
      <c r="E85" s="78" t="n">
        <v>45230</v>
      </c>
      <c r="F85" s="76" t="s">
        <v>236</v>
      </c>
      <c r="G85" s="76" t="s">
        <v>237</v>
      </c>
      <c r="H85" s="76" t="s">
        <v>238</v>
      </c>
      <c r="I85" s="79" t="n">
        <v>9295</v>
      </c>
      <c r="J85" s="79" t="n">
        <v>6407</v>
      </c>
      <c r="K85" s="80" t="n">
        <v>1.11</v>
      </c>
      <c r="L85" s="79" t="n">
        <v>427</v>
      </c>
      <c r="M85" s="79" t="n">
        <v>23988</v>
      </c>
      <c r="N85" s="80" t="n">
        <v>0.46</v>
      </c>
      <c r="O85" s="80" t="n">
        <v>84.1370010375977</v>
      </c>
      <c r="P85" s="47" t="n">
        <v>12</v>
      </c>
      <c r="Q85" s="66" t="s">
        <v>346</v>
      </c>
    </row>
    <row r="86" customFormat="false" ht="15" hidden="false" customHeight="false" outlineLevel="0" collapsed="false">
      <c r="A86" s="76" t="s">
        <v>214</v>
      </c>
      <c r="B86" s="76" t="s">
        <v>260</v>
      </c>
      <c r="C86" s="77" t="n">
        <v>2023</v>
      </c>
      <c r="D86" s="77" t="n">
        <v>3</v>
      </c>
      <c r="E86" s="78" t="n">
        <v>45138</v>
      </c>
      <c r="F86" s="76" t="s">
        <v>236</v>
      </c>
      <c r="G86" s="76" t="s">
        <v>237</v>
      </c>
      <c r="H86" s="76" t="s">
        <v>238</v>
      </c>
      <c r="I86" s="79" t="n">
        <v>8876</v>
      </c>
      <c r="J86" s="79" t="n">
        <v>6164</v>
      </c>
      <c r="K86" s="80" t="n">
        <v>1.05</v>
      </c>
      <c r="L86" s="79" t="n">
        <v>4269</v>
      </c>
      <c r="M86" s="79" t="n">
        <v>22079</v>
      </c>
      <c r="N86" s="80" t="n">
        <v>0.46</v>
      </c>
      <c r="O86" s="80" t="n">
        <v>89.8649978637695</v>
      </c>
      <c r="P86" s="47" t="n">
        <v>13</v>
      </c>
      <c r="Q86" s="66" t="s">
        <v>347</v>
      </c>
    </row>
    <row r="87" customFormat="false" ht="15" hidden="false" customHeight="false" outlineLevel="0" collapsed="false">
      <c r="A87" s="76" t="s">
        <v>214</v>
      </c>
      <c r="B87" s="76" t="s">
        <v>262</v>
      </c>
      <c r="C87" s="77" t="n">
        <v>2023</v>
      </c>
      <c r="D87" s="77" t="n">
        <v>2</v>
      </c>
      <c r="E87" s="78" t="n">
        <v>45046</v>
      </c>
      <c r="F87" s="76" t="s">
        <v>236</v>
      </c>
      <c r="G87" s="76" t="s">
        <v>237</v>
      </c>
      <c r="H87" s="76" t="s">
        <v>238</v>
      </c>
      <c r="I87" s="79" t="n">
        <v>8733</v>
      </c>
      <c r="J87" s="79" t="n">
        <v>6115</v>
      </c>
      <c r="K87" s="80" t="n">
        <v>1.03</v>
      </c>
      <c r="L87" s="79" t="n">
        <v>427</v>
      </c>
      <c r="M87" s="79" t="n">
        <v>22007</v>
      </c>
      <c r="N87" s="80" t="n">
        <v>0.46</v>
      </c>
      <c r="O87" s="80" t="n">
        <v>62.6500015258789</v>
      </c>
      <c r="P87" s="47" t="n">
        <v>14</v>
      </c>
      <c r="Q87" s="66" t="s">
        <v>348</v>
      </c>
    </row>
    <row r="88" customFormat="false" ht="15" hidden="false" customHeight="false" outlineLevel="0" collapsed="false">
      <c r="A88" s="76" t="s">
        <v>214</v>
      </c>
      <c r="B88" s="76" t="s">
        <v>264</v>
      </c>
      <c r="C88" s="77" t="n">
        <v>2023</v>
      </c>
      <c r="D88" s="77" t="n">
        <v>1</v>
      </c>
      <c r="E88" s="78" t="n">
        <v>44957</v>
      </c>
      <c r="F88" s="76" t="s">
        <v>236</v>
      </c>
      <c r="G88" s="76" t="s">
        <v>237</v>
      </c>
      <c r="H88" s="76" t="s">
        <v>238</v>
      </c>
      <c r="I88" s="79" t="n">
        <v>8915</v>
      </c>
      <c r="J88" s="79" t="n">
        <v>6004</v>
      </c>
      <c r="K88" s="80" t="n">
        <v>1.03</v>
      </c>
      <c r="L88" s="79" t="n">
        <v>429</v>
      </c>
      <c r="M88" s="79" t="n">
        <v>23310</v>
      </c>
      <c r="N88" s="80" t="n">
        <v>0.46</v>
      </c>
      <c r="O88" s="80" t="n">
        <v>58.5009994506836</v>
      </c>
      <c r="P88" s="47" t="n">
        <v>15</v>
      </c>
      <c r="Q88" s="66" t="s">
        <v>349</v>
      </c>
    </row>
    <row r="89" customFormat="false" ht="15" hidden="false" customHeight="false" outlineLevel="0" collapsed="false">
      <c r="A89" s="76" t="s">
        <v>214</v>
      </c>
      <c r="B89" s="76" t="s">
        <v>266</v>
      </c>
      <c r="C89" s="77" t="n">
        <v>2022</v>
      </c>
      <c r="D89" s="77" t="n">
        <v>4</v>
      </c>
      <c r="E89" s="78" t="n">
        <v>44865</v>
      </c>
      <c r="F89" s="76" t="s">
        <v>236</v>
      </c>
      <c r="G89" s="76" t="s">
        <v>237</v>
      </c>
      <c r="H89" s="76" t="s">
        <v>238</v>
      </c>
      <c r="I89" s="79" t="n">
        <v>8930</v>
      </c>
      <c r="J89" s="79" t="n">
        <v>5926</v>
      </c>
      <c r="K89" s="80" t="n">
        <v>1.05</v>
      </c>
      <c r="L89" s="79"/>
      <c r="M89" s="79" t="n">
        <v>22709</v>
      </c>
      <c r="N89" s="80" t="n">
        <v>0.41</v>
      </c>
      <c r="O89" s="80" t="n">
        <v>47.0120010375977</v>
      </c>
      <c r="P89" s="47" t="n">
        <v>16</v>
      </c>
      <c r="Q89" s="66" t="s">
        <v>350</v>
      </c>
    </row>
    <row r="90" customFormat="false" ht="15" hidden="false" customHeight="false" outlineLevel="0" collapsed="false">
      <c r="A90" s="76" t="s">
        <v>214</v>
      </c>
      <c r="B90" s="76" t="s">
        <v>268</v>
      </c>
      <c r="C90" s="77" t="n">
        <v>2022</v>
      </c>
      <c r="D90" s="77" t="n">
        <v>3</v>
      </c>
      <c r="E90" s="78" t="n">
        <v>44773</v>
      </c>
      <c r="F90" s="76" t="s">
        <v>236</v>
      </c>
      <c r="G90" s="76" t="s">
        <v>237</v>
      </c>
      <c r="H90" s="76" t="s">
        <v>238</v>
      </c>
      <c r="I90" s="79" t="n">
        <v>8464</v>
      </c>
      <c r="J90" s="79" t="n">
        <v>5681</v>
      </c>
      <c r="K90" s="80" t="n">
        <v>0.97</v>
      </c>
      <c r="L90" s="79" t="n">
        <v>430</v>
      </c>
      <c r="M90" s="79" t="n">
        <v>20903</v>
      </c>
      <c r="N90" s="80" t="n">
        <v>0.41</v>
      </c>
      <c r="O90" s="80" t="n">
        <v>53.5480003356934</v>
      </c>
      <c r="P90" s="47" t="n">
        <v>17</v>
      </c>
      <c r="Q90" s="66" t="s">
        <v>351</v>
      </c>
    </row>
    <row r="91" customFormat="false" ht="15" hidden="false" customHeight="false" outlineLevel="0" collapsed="false">
      <c r="A91" s="76" t="s">
        <v>214</v>
      </c>
      <c r="B91" s="76" t="s">
        <v>270</v>
      </c>
      <c r="C91" s="77" t="n">
        <v>2022</v>
      </c>
      <c r="D91" s="77" t="n">
        <v>2</v>
      </c>
      <c r="E91" s="78" t="n">
        <v>44681</v>
      </c>
      <c r="F91" s="76" t="s">
        <v>236</v>
      </c>
      <c r="G91" s="76" t="s">
        <v>237</v>
      </c>
      <c r="H91" s="76" t="s">
        <v>238</v>
      </c>
      <c r="I91" s="79" t="n">
        <v>8103</v>
      </c>
      <c r="J91" s="79" t="n">
        <v>5439</v>
      </c>
      <c r="K91" s="80" t="n">
        <v>0.91</v>
      </c>
      <c r="L91" s="79" t="n">
        <v>424</v>
      </c>
      <c r="M91" s="79" t="n">
        <v>20990</v>
      </c>
      <c r="N91" s="80" t="n">
        <v>0.41</v>
      </c>
      <c r="O91" s="80" t="n">
        <v>55.4389991760254</v>
      </c>
      <c r="P91" s="47" t="n">
        <v>18</v>
      </c>
      <c r="Q91" s="66" t="s">
        <v>352</v>
      </c>
    </row>
    <row r="92" customFormat="false" ht="15" hidden="false" customHeight="false" outlineLevel="0" collapsed="false">
      <c r="A92" s="76" t="s">
        <v>214</v>
      </c>
      <c r="B92" s="76" t="s">
        <v>272</v>
      </c>
      <c r="C92" s="77" t="n">
        <v>2022</v>
      </c>
      <c r="D92" s="77" t="n">
        <v>1</v>
      </c>
      <c r="E92" s="78" t="n">
        <v>44592</v>
      </c>
      <c r="F92" s="76" t="s">
        <v>236</v>
      </c>
      <c r="G92" s="76" t="s">
        <v>237</v>
      </c>
      <c r="H92" s="76" t="s">
        <v>238</v>
      </c>
      <c r="I92" s="79" t="n">
        <v>7706</v>
      </c>
      <c r="J92" s="79" t="n">
        <v>5049</v>
      </c>
      <c r="K92" s="80" t="n">
        <v>0.84</v>
      </c>
      <c r="L92" s="79" t="n">
        <v>429</v>
      </c>
      <c r="M92" s="79" t="n">
        <v>22994</v>
      </c>
      <c r="N92" s="80" t="n">
        <v>0.41</v>
      </c>
      <c r="O92" s="80" t="n">
        <v>58.5880012512207</v>
      </c>
      <c r="P92" s="47" t="n">
        <v>19</v>
      </c>
      <c r="Q92" s="66" t="s">
        <v>353</v>
      </c>
    </row>
    <row r="93" customFormat="false" ht="15" hidden="false" customHeight="false" outlineLevel="0" collapsed="false">
      <c r="A93" s="76" t="s">
        <v>214</v>
      </c>
      <c r="B93" s="76" t="s">
        <v>274</v>
      </c>
      <c r="C93" s="77" t="n">
        <v>2021</v>
      </c>
      <c r="D93" s="77" t="n">
        <v>4</v>
      </c>
      <c r="E93" s="78" t="n">
        <v>44500</v>
      </c>
      <c r="F93" s="76" t="s">
        <v>236</v>
      </c>
      <c r="G93" s="76" t="s">
        <v>237</v>
      </c>
      <c r="H93" s="76" t="s">
        <v>238</v>
      </c>
      <c r="I93" s="79" t="n">
        <v>7407</v>
      </c>
      <c r="J93" s="79" t="n">
        <v>4638</v>
      </c>
      <c r="K93" s="80" t="n">
        <v>0.78</v>
      </c>
      <c r="L93" s="79"/>
      <c r="M93" s="79" t="n">
        <v>24989</v>
      </c>
      <c r="N93" s="80" t="n">
        <v>0.36</v>
      </c>
      <c r="O93" s="80" t="n">
        <v>53.1669998168945</v>
      </c>
      <c r="P93" s="47" t="n">
        <v>20</v>
      </c>
      <c r="Q93" s="66" t="s">
        <v>354</v>
      </c>
    </row>
    <row r="94" customFormat="false" ht="15" hidden="false" customHeight="false" outlineLevel="0" collapsed="false">
      <c r="A94" s="76" t="s">
        <v>214</v>
      </c>
      <c r="B94" s="76" t="s">
        <v>276</v>
      </c>
      <c r="C94" s="77" t="n">
        <v>2021</v>
      </c>
      <c r="D94" s="77" t="n">
        <v>3</v>
      </c>
      <c r="E94" s="78" t="n">
        <v>44408</v>
      </c>
      <c r="F94" s="76" t="s">
        <v>236</v>
      </c>
      <c r="G94" s="76" t="s">
        <v>237</v>
      </c>
      <c r="H94" s="76" t="s">
        <v>238</v>
      </c>
      <c r="I94" s="79" t="n">
        <v>6778</v>
      </c>
      <c r="J94" s="79" t="n">
        <v>4197</v>
      </c>
      <c r="K94" s="80" t="n">
        <v>0.7</v>
      </c>
      <c r="L94" s="79" t="n">
        <v>429</v>
      </c>
      <c r="M94" s="79" t="n">
        <v>24367</v>
      </c>
      <c r="N94" s="80" t="n">
        <v>0.36</v>
      </c>
      <c r="O94" s="80" t="n">
        <v>48.5400009155273</v>
      </c>
      <c r="P94" s="47" t="n">
        <v>21</v>
      </c>
      <c r="Q94" s="66" t="s">
        <v>355</v>
      </c>
    </row>
    <row r="95" customFormat="false" ht="15" hidden="false" customHeight="false" outlineLevel="0" collapsed="false">
      <c r="A95" s="76" t="s">
        <v>214</v>
      </c>
      <c r="B95" s="76" t="s">
        <v>278</v>
      </c>
      <c r="C95" s="77" t="n">
        <v>2021</v>
      </c>
      <c r="D95" s="77" t="n">
        <v>2</v>
      </c>
      <c r="E95" s="78" t="n">
        <v>44316</v>
      </c>
      <c r="F95" s="76" t="s">
        <v>236</v>
      </c>
      <c r="G95" s="76" t="s">
        <v>237</v>
      </c>
      <c r="H95" s="76" t="s">
        <v>238</v>
      </c>
      <c r="I95" s="79" t="n">
        <v>6610</v>
      </c>
      <c r="J95" s="79" t="n">
        <v>4057</v>
      </c>
      <c r="K95" s="80" t="n">
        <v>0.66</v>
      </c>
      <c r="L95" s="79" t="n">
        <v>429</v>
      </c>
      <c r="M95" s="79" t="n">
        <v>23966</v>
      </c>
      <c r="N95" s="80" t="n">
        <v>0.36</v>
      </c>
      <c r="O95" s="80" t="n">
        <v>45.6199989318848</v>
      </c>
      <c r="P95" s="47" t="n">
        <v>22</v>
      </c>
      <c r="Q95" s="66" t="s">
        <v>356</v>
      </c>
    </row>
    <row r="96" customFormat="false" ht="15" hidden="false" customHeight="false" outlineLevel="0" collapsed="false">
      <c r="A96" s="76" t="s">
        <v>214</v>
      </c>
      <c r="B96" s="76" t="s">
        <v>280</v>
      </c>
      <c r="C96" s="77" t="n">
        <v>2021</v>
      </c>
      <c r="D96" s="77" t="n">
        <v>1</v>
      </c>
      <c r="E96" s="78" t="n">
        <v>44227</v>
      </c>
      <c r="F96" s="76" t="s">
        <v>236</v>
      </c>
      <c r="G96" s="76" t="s">
        <v>237</v>
      </c>
      <c r="H96" s="76" t="s">
        <v>238</v>
      </c>
      <c r="I96" s="79" t="n">
        <v>6655</v>
      </c>
      <c r="J96" s="79" t="n">
        <v>3952</v>
      </c>
      <c r="K96" s="80" t="n">
        <v>0.66</v>
      </c>
      <c r="L96" s="79" t="n">
        <v>428</v>
      </c>
      <c r="M96" s="79" t="n">
        <v>23999</v>
      </c>
      <c r="N96" s="80" t="n">
        <v>0.36</v>
      </c>
      <c r="O96" s="80" t="n">
        <v>45.0499992370606</v>
      </c>
      <c r="P96" s="47" t="n">
        <v>23</v>
      </c>
      <c r="Q96" s="66" t="s">
        <v>357</v>
      </c>
    </row>
    <row r="97" customFormat="false" ht="15" hidden="false" customHeight="false" outlineLevel="0" collapsed="false">
      <c r="A97" s="76" t="s">
        <v>214</v>
      </c>
      <c r="B97" s="76" t="s">
        <v>282</v>
      </c>
      <c r="C97" s="77" t="n">
        <v>2020</v>
      </c>
      <c r="D97" s="77" t="n">
        <v>4</v>
      </c>
      <c r="E97" s="78" t="n">
        <v>44135</v>
      </c>
      <c r="F97" s="76" t="s">
        <v>236</v>
      </c>
      <c r="G97" s="76" t="s">
        <v>237</v>
      </c>
      <c r="H97" s="76" t="s">
        <v>238</v>
      </c>
      <c r="I97" s="79" t="n">
        <v>6467</v>
      </c>
      <c r="J97" s="79" t="n">
        <v>3747</v>
      </c>
      <c r="K97" s="80" t="n">
        <v>0.64</v>
      </c>
      <c r="L97" s="79"/>
      <c r="M97" s="79" t="n">
        <v>23901</v>
      </c>
      <c r="N97" s="80"/>
      <c r="O97" s="80" t="n">
        <v>34.9630012512207</v>
      </c>
      <c r="P97" s="47" t="n">
        <v>24</v>
      </c>
      <c r="Q97" s="66" t="s">
        <v>358</v>
      </c>
    </row>
    <row r="98" customFormat="false" ht="15" hidden="false" customHeight="false" outlineLevel="0" collapsed="false">
      <c r="A98" s="76" t="s">
        <v>196</v>
      </c>
      <c r="B98" s="76" t="s">
        <v>235</v>
      </c>
      <c r="C98" s="77" t="n">
        <v>2026</v>
      </c>
      <c r="D98" s="77" t="n">
        <v>2</v>
      </c>
      <c r="E98" s="78" t="n">
        <v>46203</v>
      </c>
      <c r="F98" s="76" t="s">
        <v>236</v>
      </c>
      <c r="G98" s="76" t="s">
        <v>237</v>
      </c>
      <c r="H98" s="76" t="s">
        <v>238</v>
      </c>
      <c r="I98" s="79" t="n">
        <v>7504</v>
      </c>
      <c r="J98" s="79" t="n">
        <v>1228</v>
      </c>
      <c r="K98" s="80" t="n">
        <v>2.55</v>
      </c>
      <c r="L98" s="79" t="n">
        <v>360</v>
      </c>
      <c r="M98" s="79" t="n">
        <v>31977</v>
      </c>
      <c r="N98" s="80" t="n">
        <v>0.427</v>
      </c>
      <c r="O98" s="80" t="n">
        <v>248.369995117188</v>
      </c>
      <c r="P98" s="47" t="n">
        <v>1</v>
      </c>
      <c r="Q98" s="66" t="s">
        <v>359</v>
      </c>
    </row>
    <row r="99" customFormat="false" ht="15" hidden="false" customHeight="false" outlineLevel="0" collapsed="false">
      <c r="A99" s="76" t="s">
        <v>196</v>
      </c>
      <c r="B99" s="76" t="s">
        <v>240</v>
      </c>
      <c r="C99" s="77" t="n">
        <v>2026</v>
      </c>
      <c r="D99" s="77" t="n">
        <v>1</v>
      </c>
      <c r="E99" s="78" t="n">
        <v>46112</v>
      </c>
      <c r="F99" s="76" t="s">
        <v>236</v>
      </c>
      <c r="G99" s="76" t="s">
        <v>237</v>
      </c>
      <c r="H99" s="76" t="s">
        <v>238</v>
      </c>
      <c r="I99" s="79" t="n">
        <v>11122</v>
      </c>
      <c r="J99" s="79" t="n">
        <v>2990</v>
      </c>
      <c r="K99" s="80" t="n">
        <v>2.74</v>
      </c>
      <c r="L99" s="79" t="n">
        <v>354</v>
      </c>
      <c r="M99" s="79" t="n">
        <v>33483</v>
      </c>
      <c r="N99" s="80" t="n">
        <v>0.427</v>
      </c>
      <c r="O99" s="80" t="n">
        <v>279.25</v>
      </c>
      <c r="P99" s="47" t="n">
        <v>2</v>
      </c>
      <c r="Q99" s="66" t="s">
        <v>360</v>
      </c>
    </row>
    <row r="100" customFormat="false" ht="15" hidden="false" customHeight="false" outlineLevel="0" collapsed="false">
      <c r="A100" s="76" t="s">
        <v>196</v>
      </c>
      <c r="B100" s="76" t="s">
        <v>242</v>
      </c>
      <c r="C100" s="77" t="n">
        <v>2025</v>
      </c>
      <c r="D100" s="77" t="n">
        <v>4</v>
      </c>
      <c r="E100" s="78" t="n">
        <v>46022</v>
      </c>
      <c r="F100" s="76" t="s">
        <v>236</v>
      </c>
      <c r="G100" s="76" t="s">
        <v>237</v>
      </c>
      <c r="H100" s="76" t="s">
        <v>238</v>
      </c>
      <c r="I100" s="79" t="n">
        <v>6074</v>
      </c>
      <c r="J100" s="79" t="n">
        <v>990</v>
      </c>
      <c r="K100" s="80" t="n">
        <v>2.3</v>
      </c>
      <c r="L100" s="79" t="n">
        <v>313</v>
      </c>
      <c r="M100" s="79" t="n">
        <v>14517</v>
      </c>
      <c r="N100" s="80" t="n">
        <v>0.388</v>
      </c>
      <c r="O100" s="80" t="n">
        <v>353.269989013672</v>
      </c>
      <c r="P100" s="47" t="n">
        <v>3</v>
      </c>
      <c r="Q100" s="66" t="s">
        <v>361</v>
      </c>
    </row>
    <row r="101" customFormat="false" ht="15" hidden="false" customHeight="false" outlineLevel="0" collapsed="false">
      <c r="A101" s="76" t="s">
        <v>196</v>
      </c>
      <c r="B101" s="76" t="s">
        <v>244</v>
      </c>
      <c r="C101" s="77" t="n">
        <v>2025</v>
      </c>
      <c r="D101" s="77" t="n">
        <v>3</v>
      </c>
      <c r="E101" s="78" t="n">
        <v>45930</v>
      </c>
      <c r="F101" s="76" t="s">
        <v>236</v>
      </c>
      <c r="G101" s="76" t="s">
        <v>237</v>
      </c>
      <c r="H101" s="76" t="s">
        <v>238</v>
      </c>
      <c r="I101" s="79" t="n">
        <v>6570</v>
      </c>
      <c r="J101" s="79" t="n">
        <v>1492</v>
      </c>
      <c r="K101" s="80" t="n">
        <v>3.04</v>
      </c>
      <c r="L101" s="79" t="n">
        <v>313</v>
      </c>
      <c r="M101" s="79" t="n">
        <v>14350</v>
      </c>
      <c r="N101" s="80" t="n">
        <v>0.388</v>
      </c>
      <c r="O101" s="80" t="n">
        <v>329.070007324219</v>
      </c>
      <c r="P101" s="47" t="n">
        <v>4</v>
      </c>
      <c r="Q101" s="66" t="s">
        <v>362</v>
      </c>
    </row>
    <row r="102" customFormat="false" ht="15" hidden="false" customHeight="false" outlineLevel="0" collapsed="false">
      <c r="A102" s="76" t="s">
        <v>196</v>
      </c>
      <c r="B102" s="76" t="s">
        <v>246</v>
      </c>
      <c r="C102" s="77" t="n">
        <v>2025</v>
      </c>
      <c r="D102" s="77" t="n">
        <v>2</v>
      </c>
      <c r="E102" s="78" t="n">
        <v>45838</v>
      </c>
      <c r="F102" s="76" t="s">
        <v>236</v>
      </c>
      <c r="G102" s="76" t="s">
        <v>237</v>
      </c>
      <c r="H102" s="76" t="s">
        <v>238</v>
      </c>
      <c r="I102" s="79" t="n">
        <v>6101</v>
      </c>
      <c r="J102" s="79" t="n">
        <v>1352</v>
      </c>
      <c r="K102" s="80" t="n">
        <v>1.91</v>
      </c>
      <c r="L102" s="79" t="n">
        <v>314</v>
      </c>
      <c r="M102" s="79" t="n">
        <v>13446</v>
      </c>
      <c r="N102" s="80" t="n">
        <v>0.388</v>
      </c>
      <c r="O102" s="80" t="n">
        <v>322.760009765625</v>
      </c>
      <c r="P102" s="47" t="n">
        <v>5</v>
      </c>
      <c r="Q102" s="66" t="s">
        <v>363</v>
      </c>
    </row>
    <row r="103" customFormat="false" ht="15" hidden="false" customHeight="false" outlineLevel="0" collapsed="false">
      <c r="A103" s="76" t="s">
        <v>196</v>
      </c>
      <c r="B103" s="76" t="s">
        <v>248</v>
      </c>
      <c r="C103" s="77" t="n">
        <v>2025</v>
      </c>
      <c r="D103" s="77" t="n">
        <v>1</v>
      </c>
      <c r="E103" s="78" t="n">
        <v>45747</v>
      </c>
      <c r="F103" s="76" t="s">
        <v>236</v>
      </c>
      <c r="G103" s="76" t="s">
        <v>237</v>
      </c>
      <c r="H103" s="76" t="s">
        <v>238</v>
      </c>
      <c r="I103" s="79" t="n">
        <v>6788</v>
      </c>
      <c r="J103" s="79" t="n">
        <v>859</v>
      </c>
      <c r="K103" s="80" t="n">
        <v>2.14</v>
      </c>
      <c r="L103" s="79" t="n">
        <v>314</v>
      </c>
      <c r="M103" s="79" t="n">
        <v>12956</v>
      </c>
      <c r="N103" s="80" t="n">
        <v>0.388</v>
      </c>
      <c r="O103" s="80" t="n">
        <v>201.630004882813</v>
      </c>
      <c r="P103" s="47" t="n">
        <v>6</v>
      </c>
      <c r="Q103" s="66" t="s">
        <v>364</v>
      </c>
    </row>
    <row r="104" customFormat="false" ht="15" hidden="false" customHeight="false" outlineLevel="0" collapsed="false">
      <c r="A104" s="76" t="s">
        <v>196</v>
      </c>
      <c r="B104" s="76" t="s">
        <v>250</v>
      </c>
      <c r="C104" s="77" t="n">
        <v>2024</v>
      </c>
      <c r="D104" s="77" t="n">
        <v>4</v>
      </c>
      <c r="E104" s="78" t="n">
        <v>45657</v>
      </c>
      <c r="F104" s="76" t="s">
        <v>236</v>
      </c>
      <c r="G104" s="76" t="s">
        <v>237</v>
      </c>
      <c r="H104" s="76" t="s">
        <v>238</v>
      </c>
      <c r="I104" s="79" t="n">
        <v>5382</v>
      </c>
      <c r="J104" s="79" t="n">
        <v>1286</v>
      </c>
      <c r="K104" s="80" t="n">
        <v>2.44</v>
      </c>
      <c r="L104" s="79" t="n">
        <v>315</v>
      </c>
      <c r="M104" s="79" t="n">
        <v>13166</v>
      </c>
      <c r="N104" s="80" t="n">
        <v>0.353</v>
      </c>
      <c r="O104" s="80" t="n">
        <v>223.710006713867</v>
      </c>
      <c r="P104" s="47" t="n">
        <v>7</v>
      </c>
      <c r="Q104" s="66" t="s">
        <v>365</v>
      </c>
    </row>
    <row r="105" customFormat="false" ht="15" hidden="false" customHeight="false" outlineLevel="0" collapsed="false">
      <c r="A105" s="76" t="s">
        <v>196</v>
      </c>
      <c r="B105" s="76" t="s">
        <v>252</v>
      </c>
      <c r="C105" s="77" t="n">
        <v>2024</v>
      </c>
      <c r="D105" s="77" t="n">
        <v>3</v>
      </c>
      <c r="E105" s="78" t="n">
        <v>45565</v>
      </c>
      <c r="F105" s="76" t="s">
        <v>236</v>
      </c>
      <c r="G105" s="76" t="s">
        <v>237</v>
      </c>
      <c r="H105" s="76" t="s">
        <v>238</v>
      </c>
      <c r="I105" s="79" t="n">
        <v>6550</v>
      </c>
      <c r="J105" s="79" t="n">
        <v>1896</v>
      </c>
      <c r="K105" s="80" t="n">
        <v>2.74</v>
      </c>
      <c r="L105" s="79" t="n">
        <v>317.25</v>
      </c>
      <c r="M105" s="79" t="n">
        <v>12570</v>
      </c>
      <c r="N105" s="80" t="n">
        <v>0.353</v>
      </c>
      <c r="O105" s="80" t="n">
        <v>260.019989013672</v>
      </c>
      <c r="P105" s="47" t="n">
        <v>8</v>
      </c>
      <c r="Q105" s="66" t="s">
        <v>366</v>
      </c>
    </row>
    <row r="106" customFormat="false" ht="15" hidden="false" customHeight="false" outlineLevel="0" collapsed="false">
      <c r="A106" s="76" t="s">
        <v>196</v>
      </c>
      <c r="B106" s="76" t="s">
        <v>254</v>
      </c>
      <c r="C106" s="77" t="n">
        <v>2024</v>
      </c>
      <c r="D106" s="77" t="n">
        <v>2</v>
      </c>
      <c r="E106" s="78" t="n">
        <v>45473</v>
      </c>
      <c r="F106" s="76" t="s">
        <v>236</v>
      </c>
      <c r="G106" s="76" t="s">
        <v>237</v>
      </c>
      <c r="H106" s="76" t="s">
        <v>238</v>
      </c>
      <c r="I106" s="79" t="n">
        <v>5475</v>
      </c>
      <c r="J106" s="79" t="n">
        <v>1543</v>
      </c>
      <c r="K106" s="80" t="n">
        <v>1.68</v>
      </c>
      <c r="L106" s="79" t="n">
        <v>319</v>
      </c>
      <c r="M106" s="79" t="n">
        <v>11425</v>
      </c>
      <c r="N106" s="80" t="n">
        <v>0.353</v>
      </c>
      <c r="O106" s="80" t="n">
        <v>200.270004272461</v>
      </c>
      <c r="P106" s="47" t="n">
        <v>9</v>
      </c>
      <c r="Q106" s="66" t="s">
        <v>367</v>
      </c>
    </row>
    <row r="107" customFormat="false" ht="15" hidden="false" customHeight="false" outlineLevel="0" collapsed="false">
      <c r="A107" s="76" t="s">
        <v>196</v>
      </c>
      <c r="B107" s="76" t="s">
        <v>256</v>
      </c>
      <c r="C107" s="77" t="n">
        <v>2024</v>
      </c>
      <c r="D107" s="77" t="n">
        <v>1</v>
      </c>
      <c r="E107" s="78" t="n">
        <v>45382</v>
      </c>
      <c r="F107" s="76" t="s">
        <v>236</v>
      </c>
      <c r="G107" s="76" t="s">
        <v>237</v>
      </c>
      <c r="H107" s="76" t="s">
        <v>238</v>
      </c>
      <c r="I107" s="79" t="n">
        <v>6161</v>
      </c>
      <c r="J107" s="79" t="n">
        <v>1258</v>
      </c>
      <c r="K107" s="80" t="n">
        <v>1.82</v>
      </c>
      <c r="L107" s="79" t="n">
        <v>321.5</v>
      </c>
      <c r="M107" s="79" t="n">
        <v>11199</v>
      </c>
      <c r="N107" s="80" t="n">
        <v>0.353</v>
      </c>
      <c r="O107" s="80" t="n">
        <v>184.850006103516</v>
      </c>
      <c r="P107" s="47" t="n">
        <v>10</v>
      </c>
      <c r="Q107" s="66" t="s">
        <v>368</v>
      </c>
    </row>
    <row r="108" customFormat="false" ht="15" hidden="false" customHeight="false" outlineLevel="0" collapsed="false">
      <c r="A108" s="76" t="s">
        <v>196</v>
      </c>
      <c r="B108" s="76" t="s">
        <v>258</v>
      </c>
      <c r="C108" s="77" t="n">
        <v>2023</v>
      </c>
      <c r="D108" s="77" t="n">
        <v>4</v>
      </c>
      <c r="E108" s="78" t="n">
        <v>45291</v>
      </c>
      <c r="F108" s="76" t="s">
        <v>236</v>
      </c>
      <c r="G108" s="76" t="s">
        <v>237</v>
      </c>
      <c r="H108" s="76" t="s">
        <v>238</v>
      </c>
      <c r="I108" s="79" t="n">
        <v>5796</v>
      </c>
      <c r="J108" s="79" t="n">
        <v>267</v>
      </c>
      <c r="K108" s="80" t="n">
        <v>-0.11</v>
      </c>
      <c r="L108" s="79" t="n">
        <v>324</v>
      </c>
      <c r="M108" s="79" t="n">
        <v>10925</v>
      </c>
      <c r="N108" s="80" t="n">
        <v>0.282</v>
      </c>
      <c r="O108" s="80" t="n">
        <v>116.889999389648</v>
      </c>
      <c r="P108" s="47" t="n">
        <v>11</v>
      </c>
      <c r="Q108" s="66" t="s">
        <v>369</v>
      </c>
    </row>
    <row r="109" customFormat="false" ht="15" hidden="false" customHeight="false" outlineLevel="0" collapsed="false">
      <c r="A109" s="76" t="s">
        <v>196</v>
      </c>
      <c r="B109" s="76" t="s">
        <v>260</v>
      </c>
      <c r="C109" s="77" t="n">
        <v>2023</v>
      </c>
      <c r="D109" s="77" t="n">
        <v>3</v>
      </c>
      <c r="E109" s="78" t="n">
        <v>45199</v>
      </c>
      <c r="F109" s="76" t="s">
        <v>236</v>
      </c>
      <c r="G109" s="76" t="s">
        <v>237</v>
      </c>
      <c r="H109" s="76" t="s">
        <v>238</v>
      </c>
      <c r="I109" s="79" t="n">
        <v>6111</v>
      </c>
      <c r="J109" s="79" t="n">
        <v>1485</v>
      </c>
      <c r="K109" s="80" t="n">
        <v>1.99</v>
      </c>
      <c r="L109" s="79" t="n">
        <v>326.75</v>
      </c>
      <c r="M109" s="79" t="n">
        <v>11666</v>
      </c>
      <c r="N109" s="80" t="n">
        <v>0.282</v>
      </c>
      <c r="O109" s="80" t="n">
        <v>109.080001831055</v>
      </c>
      <c r="P109" s="47" t="n">
        <v>12</v>
      </c>
      <c r="Q109" s="66" t="s">
        <v>370</v>
      </c>
    </row>
    <row r="110" customFormat="false" ht="15" hidden="false" customHeight="false" outlineLevel="0" collapsed="false">
      <c r="A110" s="76" t="s">
        <v>196</v>
      </c>
      <c r="B110" s="76" t="s">
        <v>262</v>
      </c>
      <c r="C110" s="77" t="n">
        <v>2023</v>
      </c>
      <c r="D110" s="77" t="n">
        <v>2</v>
      </c>
      <c r="E110" s="78" t="n">
        <v>45107</v>
      </c>
      <c r="F110" s="76" t="s">
        <v>236</v>
      </c>
      <c r="G110" s="76" t="s">
        <v>237</v>
      </c>
      <c r="H110" s="76" t="s">
        <v>238</v>
      </c>
      <c r="I110" s="79" t="n">
        <v>5446</v>
      </c>
      <c r="J110" s="79" t="n">
        <v>1118</v>
      </c>
      <c r="K110" s="80" t="n">
        <v>1.45</v>
      </c>
      <c r="L110" s="79" t="n">
        <v>325</v>
      </c>
      <c r="M110" s="79" t="n">
        <v>11256</v>
      </c>
      <c r="N110" s="80" t="n">
        <v>0.282</v>
      </c>
      <c r="O110" s="80" t="n">
        <v>91.5500030517578</v>
      </c>
      <c r="P110" s="47" t="n">
        <v>13</v>
      </c>
      <c r="Q110" s="66" t="s">
        <v>371</v>
      </c>
    </row>
    <row r="111" customFormat="false" ht="15" hidden="false" customHeight="false" outlineLevel="0" collapsed="false">
      <c r="A111" s="76" t="s">
        <v>196</v>
      </c>
      <c r="B111" s="76" t="s">
        <v>264</v>
      </c>
      <c r="C111" s="77" t="n">
        <v>2023</v>
      </c>
      <c r="D111" s="77" t="n">
        <v>1</v>
      </c>
      <c r="E111" s="78" t="n">
        <v>45016</v>
      </c>
      <c r="F111" s="76" t="s">
        <v>236</v>
      </c>
      <c r="G111" s="76" t="s">
        <v>237</v>
      </c>
      <c r="H111" s="76" t="s">
        <v>238</v>
      </c>
      <c r="I111" s="79" t="n">
        <v>7565</v>
      </c>
      <c r="J111" s="79" t="n">
        <v>427</v>
      </c>
      <c r="K111" s="80" t="n">
        <v>0.39</v>
      </c>
      <c r="L111" s="79" t="n">
        <v>328</v>
      </c>
      <c r="M111" s="79" t="n">
        <v>10728</v>
      </c>
      <c r="N111" s="80" t="n">
        <v>0.282</v>
      </c>
      <c r="O111" s="80" t="n">
        <v>78.5</v>
      </c>
      <c r="P111" s="47" t="n">
        <v>14</v>
      </c>
      <c r="Q111" s="66" t="s">
        <v>372</v>
      </c>
    </row>
    <row r="112" customFormat="false" ht="15" hidden="false" customHeight="false" outlineLevel="0" collapsed="false">
      <c r="A112" s="76" t="s">
        <v>196</v>
      </c>
      <c r="B112" s="76" t="s">
        <v>266</v>
      </c>
      <c r="C112" s="77" t="n">
        <v>2022</v>
      </c>
      <c r="D112" s="77" t="n">
        <v>4</v>
      </c>
      <c r="E112" s="78" t="n">
        <v>44926</v>
      </c>
      <c r="F112" s="76" t="s">
        <v>236</v>
      </c>
      <c r="G112" s="76" t="s">
        <v>237</v>
      </c>
      <c r="H112" s="76" t="s">
        <v>238</v>
      </c>
      <c r="I112" s="79" t="n">
        <v>7333</v>
      </c>
      <c r="J112" s="79" t="n">
        <v>291</v>
      </c>
      <c r="K112" s="80" t="n">
        <v>0.17</v>
      </c>
      <c r="L112" s="79"/>
      <c r="M112" s="79" t="n">
        <v>11018</v>
      </c>
      <c r="N112" s="80" t="n">
        <v>0.141</v>
      </c>
      <c r="O112" s="80" t="n">
        <v>86.2099990844727</v>
      </c>
      <c r="P112" s="47" t="n">
        <v>15</v>
      </c>
      <c r="Q112" s="66" t="s">
        <v>373</v>
      </c>
    </row>
    <row r="113" customFormat="false" ht="15" hidden="false" customHeight="false" outlineLevel="0" collapsed="false">
      <c r="A113" s="76" t="s">
        <v>196</v>
      </c>
      <c r="B113" s="76" t="s">
        <v>268</v>
      </c>
      <c r="C113" s="77" t="n">
        <v>2022</v>
      </c>
      <c r="D113" s="77" t="n">
        <v>3</v>
      </c>
      <c r="E113" s="78" t="n">
        <v>44834</v>
      </c>
      <c r="F113" s="76" t="s">
        <v>236</v>
      </c>
      <c r="G113" s="76" t="s">
        <v>237</v>
      </c>
      <c r="H113" s="76" t="s">
        <v>238</v>
      </c>
      <c r="I113" s="79" t="n">
        <v>6051</v>
      </c>
      <c r="J113" s="79" t="n">
        <v>347</v>
      </c>
      <c r="K113" s="80" t="n">
        <v>0.54</v>
      </c>
      <c r="L113" s="79" t="n">
        <v>328</v>
      </c>
      <c r="M113" s="79" t="n">
        <v>10803</v>
      </c>
      <c r="N113" s="80" t="n">
        <v>0.141</v>
      </c>
      <c r="O113" s="80" t="n">
        <v>83.1900024414063</v>
      </c>
      <c r="P113" s="47" t="n">
        <v>16</v>
      </c>
      <c r="Q113" s="66" t="s">
        <v>374</v>
      </c>
    </row>
    <row r="114" customFormat="false" ht="15" hidden="false" customHeight="false" outlineLevel="0" collapsed="false">
      <c r="A114" s="76" t="s">
        <v>196</v>
      </c>
      <c r="B114" s="76" t="s">
        <v>270</v>
      </c>
      <c r="C114" s="77" t="n">
        <v>2022</v>
      </c>
      <c r="D114" s="77" t="n">
        <v>2</v>
      </c>
      <c r="E114" s="78" t="n">
        <v>44742</v>
      </c>
      <c r="F114" s="76" t="s">
        <v>236</v>
      </c>
      <c r="G114" s="76" t="s">
        <v>237</v>
      </c>
      <c r="H114" s="76" t="s">
        <v>238</v>
      </c>
      <c r="I114" s="79" t="n">
        <v>5465</v>
      </c>
      <c r="J114" s="79" t="n">
        <v>715</v>
      </c>
      <c r="K114" s="80" t="n">
        <v>1.66</v>
      </c>
      <c r="L114" s="79" t="n">
        <v>328</v>
      </c>
      <c r="M114" s="79" t="n">
        <v>11000</v>
      </c>
      <c r="N114" s="80" t="n">
        <v>0.141</v>
      </c>
      <c r="O114" s="80" t="n">
        <v>57.2599983215332</v>
      </c>
      <c r="P114" s="47" t="n">
        <v>17</v>
      </c>
      <c r="Q114" s="66" t="s">
        <v>375</v>
      </c>
    </row>
    <row r="115" customFormat="false" ht="15" hidden="false" customHeight="false" outlineLevel="0" collapsed="false">
      <c r="A115" s="76" t="s">
        <v>196</v>
      </c>
      <c r="B115" s="76" t="s">
        <v>272</v>
      </c>
      <c r="C115" s="77" t="n">
        <v>2022</v>
      </c>
      <c r="D115" s="77" t="n">
        <v>1</v>
      </c>
      <c r="E115" s="78" t="n">
        <v>44651</v>
      </c>
      <c r="F115" s="76" t="s">
        <v>236</v>
      </c>
      <c r="G115" s="76" t="s">
        <v>237</v>
      </c>
      <c r="H115" s="76" t="s">
        <v>238</v>
      </c>
      <c r="I115" s="79" t="n">
        <v>5591</v>
      </c>
      <c r="J115" s="79" t="n">
        <v>836</v>
      </c>
      <c r="K115" s="80" t="n">
        <v>1.81</v>
      </c>
      <c r="L115" s="79" t="n">
        <v>328</v>
      </c>
      <c r="M115" s="79" t="n">
        <v>11105</v>
      </c>
      <c r="N115" s="80" t="n">
        <v>0.141</v>
      </c>
      <c r="O115" s="80" t="n">
        <v>56.25</v>
      </c>
      <c r="P115" s="47" t="n">
        <v>18</v>
      </c>
      <c r="Q115" s="66" t="s">
        <v>376</v>
      </c>
    </row>
    <row r="116" customFormat="false" ht="15" hidden="false" customHeight="false" outlineLevel="0" collapsed="false">
      <c r="A116" s="76" t="s">
        <v>196</v>
      </c>
      <c r="B116" s="76" t="s">
        <v>274</v>
      </c>
      <c r="C116" s="77" t="n">
        <v>2021</v>
      </c>
      <c r="D116" s="77" t="n">
        <v>4</v>
      </c>
      <c r="E116" s="78" t="n">
        <v>44561</v>
      </c>
      <c r="F116" s="76" t="s">
        <v>236</v>
      </c>
      <c r="G116" s="76" t="s">
        <v>237</v>
      </c>
      <c r="H116" s="76" t="s">
        <v>238</v>
      </c>
      <c r="I116" s="79" t="n">
        <v>5532</v>
      </c>
      <c r="J116" s="79" t="n">
        <v>-271</v>
      </c>
      <c r="K116" s="80" t="n">
        <v>0.13</v>
      </c>
      <c r="L116" s="79"/>
      <c r="M116" s="79" t="n">
        <v>11219</v>
      </c>
      <c r="N116" s="80" t="n">
        <v>0</v>
      </c>
      <c r="O116" s="80"/>
      <c r="P116" s="47" t="n">
        <v>19</v>
      </c>
      <c r="Q116" s="66" t="s">
        <v>377</v>
      </c>
    </row>
    <row r="117" customFormat="false" ht="15" hidden="false" customHeight="false" outlineLevel="0" collapsed="false">
      <c r="A117" s="76" t="s">
        <v>196</v>
      </c>
      <c r="B117" s="76" t="s">
        <v>276</v>
      </c>
      <c r="C117" s="77" t="n">
        <v>2021</v>
      </c>
      <c r="D117" s="77" t="n">
        <v>3</v>
      </c>
      <c r="E117" s="78" t="n">
        <v>44469</v>
      </c>
      <c r="F117" s="76" t="s">
        <v>236</v>
      </c>
      <c r="G117" s="76" t="s">
        <v>237</v>
      </c>
      <c r="H117" s="76" t="s">
        <v>238</v>
      </c>
      <c r="I117" s="79" t="n">
        <v>4406</v>
      </c>
      <c r="J117" s="79" t="n">
        <v>1897</v>
      </c>
      <c r="K117" s="80" t="n">
        <v>0.06</v>
      </c>
      <c r="L117" s="79" t="n">
        <v>0</v>
      </c>
      <c r="M117" s="79" t="n">
        <v>11634</v>
      </c>
      <c r="N117" s="80" t="n">
        <v>0</v>
      </c>
      <c r="O117" s="80"/>
      <c r="P117" s="47" t="n">
        <v>20</v>
      </c>
      <c r="Q117" s="66" t="s">
        <v>378</v>
      </c>
    </row>
    <row r="118" customFormat="false" ht="15" hidden="false" customHeight="false" outlineLevel="0" collapsed="false">
      <c r="A118" s="76" t="s">
        <v>196</v>
      </c>
      <c r="B118" s="76" t="s">
        <v>278</v>
      </c>
      <c r="C118" s="77" t="n">
        <v>2021</v>
      </c>
      <c r="D118" s="77" t="n">
        <v>2</v>
      </c>
      <c r="E118" s="78" t="n">
        <v>44377</v>
      </c>
      <c r="F118" s="76" t="s">
        <v>236</v>
      </c>
      <c r="G118" s="76" t="s">
        <v>237</v>
      </c>
      <c r="H118" s="76" t="s">
        <v>238</v>
      </c>
      <c r="I118" s="79" t="n">
        <v>4153</v>
      </c>
      <c r="J118" s="79" t="n">
        <v>745</v>
      </c>
      <c r="K118" s="80"/>
      <c r="L118" s="79" t="n">
        <v>0</v>
      </c>
      <c r="M118" s="79" t="n">
        <v>10632</v>
      </c>
      <c r="N118" s="80" t="n">
        <v>0</v>
      </c>
      <c r="O118" s="80"/>
      <c r="P118" s="47" t="n">
        <v>21</v>
      </c>
      <c r="Q118" s="66" t="s">
        <v>379</v>
      </c>
    </row>
    <row r="119" customFormat="false" ht="15" hidden="false" customHeight="false" outlineLevel="0" collapsed="false">
      <c r="A119" s="76" t="s">
        <v>196</v>
      </c>
      <c r="B119" s="76" t="s">
        <v>280</v>
      </c>
      <c r="C119" s="77" t="n">
        <v>2021</v>
      </c>
      <c r="D119" s="77" t="n">
        <v>1</v>
      </c>
      <c r="E119" s="78" t="n">
        <v>44286</v>
      </c>
      <c r="F119" s="76" t="s">
        <v>236</v>
      </c>
      <c r="G119" s="76" t="s">
        <v>237</v>
      </c>
      <c r="H119" s="76" t="s">
        <v>238</v>
      </c>
      <c r="I119" s="79" t="n">
        <v>5559</v>
      </c>
      <c r="J119" s="79" t="n">
        <v>-52</v>
      </c>
      <c r="K119" s="80"/>
      <c r="L119" s="79" t="n">
        <v>0</v>
      </c>
      <c r="M119" s="79" t="n">
        <v>11149</v>
      </c>
      <c r="N119" s="80" t="n">
        <v>0</v>
      </c>
      <c r="O119" s="80"/>
      <c r="P119" s="47" t="n">
        <v>22</v>
      </c>
      <c r="Q119" s="66" t="s">
        <v>380</v>
      </c>
    </row>
    <row r="120" customFormat="false" ht="15" hidden="false" customHeight="false" outlineLevel="0" collapsed="false">
      <c r="A120" s="76" t="s">
        <v>196</v>
      </c>
      <c r="B120" s="76" t="s">
        <v>282</v>
      </c>
      <c r="C120" s="77" t="n">
        <v>2020</v>
      </c>
      <c r="D120" s="77" t="n">
        <v>4</v>
      </c>
      <c r="E120" s="78" t="n">
        <v>44196</v>
      </c>
      <c r="F120" s="76" t="s">
        <v>236</v>
      </c>
      <c r="G120" s="76" t="s">
        <v>237</v>
      </c>
      <c r="H120" s="76" t="s">
        <v>238</v>
      </c>
      <c r="I120" s="79" t="n">
        <v>4331</v>
      </c>
      <c r="J120" s="79" t="n">
        <v>346</v>
      </c>
      <c r="K120" s="80"/>
      <c r="L120" s="79"/>
      <c r="M120" s="79" t="n">
        <v>12399</v>
      </c>
      <c r="N120" s="80" t="n">
        <v>0</v>
      </c>
      <c r="O120" s="80"/>
      <c r="P120" s="47" t="n">
        <v>23</v>
      </c>
      <c r="Q120" s="66" t="s">
        <v>381</v>
      </c>
    </row>
    <row r="121" customFormat="false" ht="15" hidden="false" customHeight="false" outlineLevel="0" collapsed="false">
      <c r="A121" s="76" t="s">
        <v>196</v>
      </c>
      <c r="B121" s="76" t="s">
        <v>284</v>
      </c>
      <c r="C121" s="77" t="n">
        <v>2020</v>
      </c>
      <c r="D121" s="77" t="n">
        <v>3</v>
      </c>
      <c r="E121" s="78" t="n">
        <v>44104</v>
      </c>
      <c r="F121" s="76" t="s">
        <v>236</v>
      </c>
      <c r="G121" s="76" t="s">
        <v>237</v>
      </c>
      <c r="H121" s="76" t="s">
        <v>238</v>
      </c>
      <c r="I121" s="79" t="n">
        <v>4659</v>
      </c>
      <c r="J121" s="79" t="n">
        <v>1395</v>
      </c>
      <c r="K121" s="80"/>
      <c r="L121" s="79"/>
      <c r="M121" s="79" t="n">
        <v>12711</v>
      </c>
      <c r="N121" s="80"/>
      <c r="O121" s="80"/>
      <c r="P121" s="47" t="n">
        <v>24</v>
      </c>
      <c r="Q121" s="66" t="s">
        <v>382</v>
      </c>
    </row>
    <row r="122" customFormat="false" ht="15" hidden="false" customHeight="false" outlineLevel="0" collapsed="false">
      <c r="A122" s="76" t="s">
        <v>191</v>
      </c>
      <c r="B122" s="76" t="s">
        <v>383</v>
      </c>
      <c r="C122" s="77" t="n">
        <v>2027</v>
      </c>
      <c r="D122" s="77" t="n">
        <v>2</v>
      </c>
      <c r="E122" s="78" t="n">
        <v>46234</v>
      </c>
      <c r="F122" s="76" t="s">
        <v>236</v>
      </c>
      <c r="G122" s="76" t="s">
        <v>237</v>
      </c>
      <c r="H122" s="76" t="s">
        <v>238</v>
      </c>
      <c r="I122" s="79" t="n">
        <v>5396.145</v>
      </c>
      <c r="J122" s="79" t="n">
        <v>4057.363</v>
      </c>
      <c r="K122" s="80" t="n">
        <v>0.31</v>
      </c>
      <c r="L122" s="79" t="n">
        <v>1022.9555</v>
      </c>
      <c r="M122" s="79" t="n">
        <v>5101.724</v>
      </c>
      <c r="N122" s="80"/>
      <c r="O122" s="80" t="n">
        <v>190.860000610352</v>
      </c>
      <c r="P122" s="47" t="n">
        <v>1</v>
      </c>
      <c r="Q122" s="66" t="s">
        <v>384</v>
      </c>
    </row>
    <row r="123" customFormat="false" ht="15" hidden="false" customHeight="false" outlineLevel="0" collapsed="false">
      <c r="A123" s="76" t="s">
        <v>191</v>
      </c>
      <c r="B123" s="76" t="s">
        <v>385</v>
      </c>
      <c r="C123" s="77" t="n">
        <v>2027</v>
      </c>
      <c r="D123" s="77" t="n">
        <v>1</v>
      </c>
      <c r="E123" s="78" t="n">
        <v>46142</v>
      </c>
      <c r="F123" s="76" t="s">
        <v>236</v>
      </c>
      <c r="G123" s="76" t="s">
        <v>237</v>
      </c>
      <c r="H123" s="76" t="s">
        <v>238</v>
      </c>
      <c r="I123" s="79" t="n">
        <v>1385.629</v>
      </c>
      <c r="J123" s="79" t="n">
        <v>1043.352</v>
      </c>
      <c r="K123" s="80" t="n">
        <v>0.28</v>
      </c>
      <c r="L123" s="79" t="n">
        <v>1031.524</v>
      </c>
      <c r="M123" s="79" t="n">
        <v>4633.877</v>
      </c>
      <c r="N123" s="80"/>
      <c r="O123" s="80" t="n">
        <v>111.4375</v>
      </c>
      <c r="P123" s="47" t="n">
        <v>2</v>
      </c>
      <c r="Q123" s="66" t="s">
        <v>386</v>
      </c>
    </row>
    <row r="124" customFormat="false" ht="15" hidden="false" customHeight="false" outlineLevel="0" collapsed="false">
      <c r="A124" s="76" t="s">
        <v>191</v>
      </c>
      <c r="B124" s="76" t="s">
        <v>387</v>
      </c>
      <c r="C124" s="77" t="n">
        <v>2026</v>
      </c>
      <c r="D124" s="77" t="n">
        <v>4</v>
      </c>
      <c r="E124" s="78" t="n">
        <v>46053</v>
      </c>
      <c r="F124" s="76" t="s">
        <v>236</v>
      </c>
      <c r="G124" s="76" t="s">
        <v>237</v>
      </c>
      <c r="H124" s="76" t="s">
        <v>238</v>
      </c>
      <c r="I124" s="79" t="n">
        <v>1305.375</v>
      </c>
      <c r="J124" s="79" t="n">
        <v>993.677</v>
      </c>
      <c r="K124" s="80" t="n">
        <v>0.28</v>
      </c>
      <c r="L124" s="79" t="n">
        <v>1032.532</v>
      </c>
      <c r="M124" s="79" t="n">
        <v>4428.39</v>
      </c>
      <c r="N124" s="80"/>
      <c r="O124" s="80" t="n">
        <v>110.351249694824</v>
      </c>
      <c r="P124" s="47" t="n">
        <v>3</v>
      </c>
      <c r="Q124" s="66" t="s">
        <v>388</v>
      </c>
    </row>
    <row r="125" customFormat="false" ht="15" hidden="false" customHeight="false" outlineLevel="0" collapsed="false">
      <c r="A125" s="76" t="s">
        <v>191</v>
      </c>
      <c r="B125" s="76" t="s">
        <v>286</v>
      </c>
      <c r="C125" s="77" t="n">
        <v>2026</v>
      </c>
      <c r="D125" s="77" t="n">
        <v>3</v>
      </c>
      <c r="E125" s="78" t="n">
        <v>45961</v>
      </c>
      <c r="F125" s="76" t="s">
        <v>236</v>
      </c>
      <c r="G125" s="76" t="s">
        <v>237</v>
      </c>
      <c r="H125" s="76" t="s">
        <v>238</v>
      </c>
      <c r="I125" s="79" t="n">
        <v>1234.244</v>
      </c>
      <c r="J125" s="79" t="n">
        <v>926.439</v>
      </c>
      <c r="K125" s="80" t="n">
        <v>0.24</v>
      </c>
      <c r="L125" s="79" t="n">
        <v>1005.304</v>
      </c>
      <c r="M125" s="79" t="n">
        <v>4016.497</v>
      </c>
      <c r="N125" s="80"/>
      <c r="O125" s="80" t="n">
        <v>135.752502441406</v>
      </c>
      <c r="P125" s="47" t="n">
        <v>4</v>
      </c>
      <c r="Q125" s="66" t="s">
        <v>389</v>
      </c>
    </row>
    <row r="126" customFormat="false" ht="15" hidden="false" customHeight="false" outlineLevel="0" collapsed="false">
      <c r="A126" s="76" t="s">
        <v>191</v>
      </c>
      <c r="B126" s="76" t="s">
        <v>235</v>
      </c>
      <c r="C126" s="77" t="n">
        <v>2026</v>
      </c>
      <c r="D126" s="77" t="n">
        <v>2</v>
      </c>
      <c r="E126" s="78" t="n">
        <v>45869</v>
      </c>
      <c r="F126" s="76" t="s">
        <v>236</v>
      </c>
      <c r="G126" s="76" t="s">
        <v>237</v>
      </c>
      <c r="H126" s="76" t="s">
        <v>238</v>
      </c>
      <c r="I126" s="79" t="n">
        <v>1168.952</v>
      </c>
      <c r="J126" s="79" t="n">
        <v>858.669</v>
      </c>
      <c r="K126" s="80" t="n">
        <v>0.23</v>
      </c>
      <c r="L126" s="79" t="n">
        <v>999.636</v>
      </c>
      <c r="M126" s="79" t="n">
        <v>3756.68</v>
      </c>
      <c r="N126" s="80"/>
      <c r="O126" s="80" t="n">
        <v>113.642501831055</v>
      </c>
      <c r="P126" s="47" t="n">
        <v>5</v>
      </c>
      <c r="Q126" s="66" t="s">
        <v>390</v>
      </c>
    </row>
    <row r="127" customFormat="false" ht="15" hidden="false" customHeight="false" outlineLevel="0" collapsed="false">
      <c r="A127" s="76" t="s">
        <v>191</v>
      </c>
      <c r="B127" s="76" t="s">
        <v>240</v>
      </c>
      <c r="C127" s="77" t="n">
        <v>2026</v>
      </c>
      <c r="D127" s="77" t="n">
        <v>1</v>
      </c>
      <c r="E127" s="78" t="n">
        <v>45777</v>
      </c>
      <c r="F127" s="76" t="s">
        <v>236</v>
      </c>
      <c r="G127" s="76" t="s">
        <v>237</v>
      </c>
      <c r="H127" s="76" t="s">
        <v>238</v>
      </c>
      <c r="I127" s="79" t="n">
        <v>1103.434</v>
      </c>
      <c r="J127" s="79" t="n">
        <v>815.559</v>
      </c>
      <c r="K127" s="80" t="n">
        <v>0.18</v>
      </c>
      <c r="L127" s="79" t="n">
        <v>993.728</v>
      </c>
      <c r="M127" s="79" t="n">
        <v>3450.877</v>
      </c>
      <c r="N127" s="80"/>
      <c r="O127" s="80" t="n">
        <v>107.217498779297</v>
      </c>
      <c r="P127" s="47" t="n">
        <v>6</v>
      </c>
      <c r="Q127" s="66" t="s">
        <v>391</v>
      </c>
    </row>
    <row r="128" customFormat="false" ht="15" hidden="false" customHeight="false" outlineLevel="0" collapsed="false">
      <c r="A128" s="76" t="s">
        <v>191</v>
      </c>
      <c r="B128" s="76" t="s">
        <v>242</v>
      </c>
      <c r="C128" s="77" t="n">
        <v>2025</v>
      </c>
      <c r="D128" s="77" t="n">
        <v>4</v>
      </c>
      <c r="E128" s="78" t="n">
        <v>45688</v>
      </c>
      <c r="F128" s="76" t="s">
        <v>236</v>
      </c>
      <c r="G128" s="76" t="s">
        <v>237</v>
      </c>
      <c r="H128" s="76" t="s">
        <v>238</v>
      </c>
      <c r="I128" s="79" t="n">
        <v>1058.538</v>
      </c>
      <c r="J128" s="79" t="n">
        <v>784.548</v>
      </c>
      <c r="K128" s="80" t="n">
        <v>0.26</v>
      </c>
      <c r="L128" s="79"/>
      <c r="M128" s="79" t="n">
        <v>3279.494</v>
      </c>
      <c r="N128" s="80"/>
      <c r="O128" s="80" t="n">
        <v>99.5175018310547</v>
      </c>
      <c r="P128" s="47" t="n">
        <v>7</v>
      </c>
      <c r="Q128" s="66" t="s">
        <v>392</v>
      </c>
    </row>
    <row r="129" customFormat="false" ht="15" hidden="false" customHeight="false" outlineLevel="0" collapsed="false">
      <c r="A129" s="76" t="s">
        <v>191</v>
      </c>
      <c r="B129" s="76" t="s">
        <v>244</v>
      </c>
      <c r="C129" s="77" t="n">
        <v>2025</v>
      </c>
      <c r="D129" s="77" t="n">
        <v>3</v>
      </c>
      <c r="E129" s="78" t="n">
        <v>45596</v>
      </c>
      <c r="F129" s="76" t="s">
        <v>236</v>
      </c>
      <c r="G129" s="76" t="s">
        <v>237</v>
      </c>
      <c r="H129" s="76" t="s">
        <v>238</v>
      </c>
      <c r="I129" s="79" t="n">
        <v>1010.178</v>
      </c>
      <c r="J129" s="79" t="n">
        <v>755.091</v>
      </c>
      <c r="K129" s="80" t="n">
        <v>0.23</v>
      </c>
      <c r="L129" s="79"/>
      <c r="M129" s="79" t="n">
        <v>3057.933</v>
      </c>
      <c r="N129" s="80"/>
      <c r="O129" s="80" t="n">
        <v>74.2174987792969</v>
      </c>
      <c r="P129" s="47" t="n">
        <v>8</v>
      </c>
      <c r="Q129" s="66" t="s">
        <v>393</v>
      </c>
    </row>
    <row r="130" customFormat="false" ht="15" hidden="false" customHeight="false" outlineLevel="0" collapsed="false">
      <c r="A130" s="76" t="s">
        <v>191</v>
      </c>
      <c r="B130" s="76" t="s">
        <v>246</v>
      </c>
      <c r="C130" s="77" t="n">
        <v>2025</v>
      </c>
      <c r="D130" s="77" t="n">
        <v>2</v>
      </c>
      <c r="E130" s="78" t="n">
        <v>45504</v>
      </c>
      <c r="F130" s="76" t="s">
        <v>236</v>
      </c>
      <c r="G130" s="76" t="s">
        <v>237</v>
      </c>
      <c r="H130" s="76" t="s">
        <v>238</v>
      </c>
      <c r="I130" s="79" t="n">
        <v>963.872</v>
      </c>
      <c r="J130" s="79" t="n">
        <v>726.471</v>
      </c>
      <c r="K130" s="80" t="n">
        <v>0.26</v>
      </c>
      <c r="L130" s="79" t="n">
        <v>993.222</v>
      </c>
      <c r="M130" s="79" t="n">
        <v>2852.915</v>
      </c>
      <c r="N130" s="80"/>
      <c r="O130" s="80" t="n">
        <v>57.9900016784668</v>
      </c>
      <c r="P130" s="47" t="n">
        <v>9</v>
      </c>
      <c r="Q130" s="66" t="s">
        <v>394</v>
      </c>
    </row>
    <row r="131" customFormat="false" ht="15" hidden="false" customHeight="false" outlineLevel="0" collapsed="false">
      <c r="A131" s="76" t="s">
        <v>191</v>
      </c>
      <c r="B131" s="76" t="s">
        <v>248</v>
      </c>
      <c r="C131" s="77" t="n">
        <v>2025</v>
      </c>
      <c r="D131" s="77" t="n">
        <v>1</v>
      </c>
      <c r="E131" s="78" t="n">
        <v>45412</v>
      </c>
      <c r="F131" s="76" t="s">
        <v>236</v>
      </c>
      <c r="G131" s="76" t="s">
        <v>237</v>
      </c>
      <c r="H131" s="76" t="s">
        <v>238</v>
      </c>
      <c r="I131" s="79" t="n">
        <v>921.036</v>
      </c>
      <c r="J131" s="79" t="n">
        <v>696.033</v>
      </c>
      <c r="K131" s="80" t="n">
        <v>0.23</v>
      </c>
      <c r="L131" s="79" t="n">
        <v>984.106</v>
      </c>
      <c r="M131" s="79" t="n">
        <v>2535.54</v>
      </c>
      <c r="N131" s="80"/>
      <c r="O131" s="80" t="n">
        <v>73.1350021362305</v>
      </c>
      <c r="P131" s="47" t="n">
        <v>10</v>
      </c>
      <c r="Q131" s="66" t="s">
        <v>395</v>
      </c>
    </row>
    <row r="132" customFormat="false" ht="15" hidden="false" customHeight="false" outlineLevel="0" collapsed="false">
      <c r="A132" s="76" t="s">
        <v>191</v>
      </c>
      <c r="B132" s="76" t="s">
        <v>250</v>
      </c>
      <c r="C132" s="77" t="n">
        <v>2024</v>
      </c>
      <c r="D132" s="77" t="n">
        <v>4</v>
      </c>
      <c r="E132" s="78" t="n">
        <v>45322</v>
      </c>
      <c r="F132" s="76" t="s">
        <v>236</v>
      </c>
      <c r="G132" s="76" t="s">
        <v>237</v>
      </c>
      <c r="H132" s="76" t="s">
        <v>238</v>
      </c>
      <c r="I132" s="79" t="n">
        <v>845.335</v>
      </c>
      <c r="J132" s="79" t="n">
        <v>636.763</v>
      </c>
      <c r="K132" s="80" t="n">
        <v>0.24</v>
      </c>
      <c r="L132" s="79" t="n">
        <v>243.635</v>
      </c>
      <c r="M132" s="79" t="n">
        <v>2303.95</v>
      </c>
      <c r="N132" s="80"/>
      <c r="O132" s="80" t="n">
        <v>73.125</v>
      </c>
      <c r="P132" s="47" t="n">
        <v>11</v>
      </c>
      <c r="Q132" s="66" t="s">
        <v>396</v>
      </c>
    </row>
    <row r="133" customFormat="false" ht="15" hidden="false" customHeight="false" outlineLevel="0" collapsed="false">
      <c r="A133" s="76" t="s">
        <v>191</v>
      </c>
      <c r="B133" s="76" t="s">
        <v>252</v>
      </c>
      <c r="C133" s="77" t="n">
        <v>2024</v>
      </c>
      <c r="D133" s="77" t="n">
        <v>3</v>
      </c>
      <c r="E133" s="78" t="n">
        <v>45230</v>
      </c>
      <c r="F133" s="76" t="s">
        <v>236</v>
      </c>
      <c r="G133" s="76" t="s">
        <v>237</v>
      </c>
      <c r="H133" s="76" t="s">
        <v>238</v>
      </c>
      <c r="I133" s="79" t="n">
        <v>786.014</v>
      </c>
      <c r="J133" s="79" t="n">
        <v>591.01</v>
      </c>
      <c r="K133" s="80" t="n">
        <v>0.21</v>
      </c>
      <c r="L133" s="79" t="n">
        <v>240.4095</v>
      </c>
      <c r="M133" s="79" t="n">
        <v>2028.95</v>
      </c>
      <c r="N133" s="80"/>
      <c r="O133" s="80" t="n">
        <v>44.1925010681152</v>
      </c>
      <c r="P133" s="47" t="n">
        <v>12</v>
      </c>
      <c r="Q133" s="66" t="s">
        <v>397</v>
      </c>
    </row>
    <row r="134" customFormat="false" ht="15" hidden="false" customHeight="false" outlineLevel="0" collapsed="false">
      <c r="A134" s="76" t="s">
        <v>191</v>
      </c>
      <c r="B134" s="76" t="s">
        <v>254</v>
      </c>
      <c r="C134" s="77" t="n">
        <v>2024</v>
      </c>
      <c r="D134" s="77" t="n">
        <v>2</v>
      </c>
      <c r="E134" s="78" t="n">
        <v>45138</v>
      </c>
      <c r="F134" s="76" t="s">
        <v>236</v>
      </c>
      <c r="G134" s="76" t="s">
        <v>237</v>
      </c>
      <c r="H134" s="76" t="s">
        <v>238</v>
      </c>
      <c r="I134" s="79" t="n">
        <v>731.626</v>
      </c>
      <c r="J134" s="79" t="n">
        <v>548.709</v>
      </c>
      <c r="K134" s="80" t="n">
        <v>0.19</v>
      </c>
      <c r="L134" s="79"/>
      <c r="M134" s="79" t="n">
        <v>1838.207</v>
      </c>
      <c r="N134" s="80"/>
      <c r="O134" s="80" t="n">
        <v>40.4150009155273</v>
      </c>
      <c r="P134" s="47" t="n">
        <v>13</v>
      </c>
      <c r="Q134" s="66" t="s">
        <v>398</v>
      </c>
    </row>
    <row r="135" customFormat="false" ht="15" hidden="false" customHeight="false" outlineLevel="0" collapsed="false">
      <c r="A135" s="76" t="s">
        <v>191</v>
      </c>
      <c r="B135" s="76" t="s">
        <v>256</v>
      </c>
      <c r="C135" s="77" t="n">
        <v>2024</v>
      </c>
      <c r="D135" s="77" t="n">
        <v>1</v>
      </c>
      <c r="E135" s="78" t="n">
        <v>45046</v>
      </c>
      <c r="F135" s="76" t="s">
        <v>236</v>
      </c>
      <c r="G135" s="76" t="s">
        <v>237</v>
      </c>
      <c r="H135" s="76" t="s">
        <v>238</v>
      </c>
      <c r="I135" s="79" t="n">
        <v>692.58</v>
      </c>
      <c r="J135" s="79" t="n">
        <v>523.35</v>
      </c>
      <c r="K135" s="80" t="n">
        <v>0.14</v>
      </c>
      <c r="L135" s="79"/>
      <c r="M135" s="79" t="n">
        <v>1605.301</v>
      </c>
      <c r="N135" s="80"/>
      <c r="O135" s="80" t="n">
        <v>30.0125007629395</v>
      </c>
      <c r="P135" s="47" t="n">
        <v>14</v>
      </c>
      <c r="Q135" s="66" t="s">
        <v>399</v>
      </c>
    </row>
    <row r="136" customFormat="false" ht="15" hidden="false" customHeight="false" outlineLevel="0" collapsed="false">
      <c r="A136" s="76" t="s">
        <v>191</v>
      </c>
      <c r="B136" s="76" t="s">
        <v>258</v>
      </c>
      <c r="C136" s="77" t="n">
        <v>2023</v>
      </c>
      <c r="D136" s="77" t="n">
        <v>4</v>
      </c>
      <c r="E136" s="78" t="n">
        <v>44957</v>
      </c>
      <c r="F136" s="76" t="s">
        <v>236</v>
      </c>
      <c r="G136" s="76" t="s">
        <v>237</v>
      </c>
      <c r="H136" s="76" t="s">
        <v>238</v>
      </c>
      <c r="I136" s="79" t="n">
        <v>637.367</v>
      </c>
      <c r="J136" s="79" t="n">
        <v>461.763</v>
      </c>
      <c r="K136" s="80" t="n">
        <v>0.12</v>
      </c>
      <c r="L136" s="79"/>
      <c r="M136" s="79" t="n">
        <v>1463.641</v>
      </c>
      <c r="N136" s="80"/>
      <c r="O136" s="80" t="n">
        <v>26.4750003814697</v>
      </c>
      <c r="P136" s="47" t="n">
        <v>15</v>
      </c>
      <c r="Q136" s="66" t="s">
        <v>400</v>
      </c>
    </row>
    <row r="137" customFormat="false" ht="15" hidden="false" customHeight="false" outlineLevel="0" collapsed="false">
      <c r="A137" s="76" t="s">
        <v>191</v>
      </c>
      <c r="B137" s="76" t="s">
        <v>260</v>
      </c>
      <c r="C137" s="77" t="n">
        <v>2023</v>
      </c>
      <c r="D137" s="77" t="n">
        <v>3</v>
      </c>
      <c r="E137" s="78" t="n">
        <v>44865</v>
      </c>
      <c r="F137" s="76" t="s">
        <v>236</v>
      </c>
      <c r="G137" s="76" t="s">
        <v>237</v>
      </c>
      <c r="H137" s="76" t="s">
        <v>238</v>
      </c>
      <c r="I137" s="79" t="n">
        <v>580.882</v>
      </c>
      <c r="J137" s="79" t="n">
        <v>422.654</v>
      </c>
      <c r="K137" s="80" t="n">
        <v>0.1</v>
      </c>
      <c r="L137" s="79"/>
      <c r="M137" s="79" t="n">
        <v>1314.289</v>
      </c>
      <c r="N137" s="80"/>
      <c r="O137" s="80" t="n">
        <v>40.2999992370606</v>
      </c>
      <c r="P137" s="47" t="n">
        <v>16</v>
      </c>
      <c r="Q137" s="66" t="s">
        <v>401</v>
      </c>
    </row>
    <row r="138" customFormat="false" ht="15" hidden="false" customHeight="false" outlineLevel="0" collapsed="false">
      <c r="A138" s="76" t="s">
        <v>191</v>
      </c>
      <c r="B138" s="76" t="s">
        <v>262</v>
      </c>
      <c r="C138" s="77" t="n">
        <v>2023</v>
      </c>
      <c r="D138" s="77" t="n">
        <v>2</v>
      </c>
      <c r="E138" s="78" t="n">
        <v>44773</v>
      </c>
      <c r="F138" s="76" t="s">
        <v>236</v>
      </c>
      <c r="G138" s="76" t="s">
        <v>237</v>
      </c>
      <c r="H138" s="76" t="s">
        <v>238</v>
      </c>
      <c r="I138" s="79" t="n">
        <v>535.153</v>
      </c>
      <c r="J138" s="79" t="n">
        <v>394.586</v>
      </c>
      <c r="K138" s="80" t="n">
        <v>0.09</v>
      </c>
      <c r="L138" s="79"/>
      <c r="M138" s="79" t="n">
        <v>1225.419</v>
      </c>
      <c r="N138" s="80"/>
      <c r="O138" s="80" t="n">
        <v>45.9000015258789</v>
      </c>
      <c r="P138" s="47" t="n">
        <v>17</v>
      </c>
      <c r="Q138" s="66" t="s">
        <v>402</v>
      </c>
    </row>
    <row r="139" customFormat="false" ht="15" hidden="false" customHeight="false" outlineLevel="0" collapsed="false">
      <c r="A139" s="76" t="s">
        <v>191</v>
      </c>
      <c r="B139" s="76" t="s">
        <v>264</v>
      </c>
      <c r="C139" s="77" t="n">
        <v>2023</v>
      </c>
      <c r="D139" s="77" t="n">
        <v>1</v>
      </c>
      <c r="E139" s="78" t="n">
        <v>44681</v>
      </c>
      <c r="F139" s="76" t="s">
        <v>236</v>
      </c>
      <c r="G139" s="76" t="s">
        <v>237</v>
      </c>
      <c r="H139" s="76" t="s">
        <v>238</v>
      </c>
      <c r="I139" s="79" t="n">
        <v>487.834</v>
      </c>
      <c r="J139" s="79" t="n">
        <v>361.002</v>
      </c>
      <c r="K139" s="80" t="n">
        <v>0.08</v>
      </c>
      <c r="L139" s="79"/>
      <c r="M139" s="79" t="n">
        <v>1102.541</v>
      </c>
      <c r="N139" s="80"/>
      <c r="O139" s="80" t="n">
        <v>49.689998626709</v>
      </c>
      <c r="P139" s="47" t="n">
        <v>18</v>
      </c>
      <c r="Q139" s="66" t="s">
        <v>403</v>
      </c>
    </row>
    <row r="140" customFormat="false" ht="15" hidden="false" customHeight="false" outlineLevel="0" collapsed="false">
      <c r="A140" s="76" t="s">
        <v>191</v>
      </c>
      <c r="B140" s="76" t="s">
        <v>266</v>
      </c>
      <c r="C140" s="77" t="n">
        <v>2022</v>
      </c>
      <c r="D140" s="77" t="n">
        <v>4</v>
      </c>
      <c r="E140" s="78" t="n">
        <v>44592</v>
      </c>
      <c r="F140" s="76" t="s">
        <v>236</v>
      </c>
      <c r="G140" s="76" t="s">
        <v>237</v>
      </c>
      <c r="H140" s="76" t="s">
        <v>238</v>
      </c>
      <c r="I140" s="79" t="n">
        <v>431.01</v>
      </c>
      <c r="J140" s="79" t="n">
        <v>318.39</v>
      </c>
      <c r="K140" s="80" t="n">
        <v>0.08</v>
      </c>
      <c r="L140" s="79"/>
      <c r="M140" s="79" t="n">
        <v>1025.763999</v>
      </c>
      <c r="N140" s="80"/>
      <c r="O140" s="80" t="n">
        <v>45.1599998474121</v>
      </c>
      <c r="P140" s="47" t="n">
        <v>19</v>
      </c>
      <c r="Q140" s="66" t="s">
        <v>404</v>
      </c>
    </row>
    <row r="141" customFormat="false" ht="15" hidden="false" customHeight="false" outlineLevel="0" collapsed="false">
      <c r="A141" s="76" t="s">
        <v>191</v>
      </c>
      <c r="B141" s="76" t="s">
        <v>268</v>
      </c>
      <c r="C141" s="77" t="n">
        <v>2022</v>
      </c>
      <c r="D141" s="77" t="n">
        <v>3</v>
      </c>
      <c r="E141" s="78" t="n">
        <v>44500</v>
      </c>
      <c r="F141" s="76" t="s">
        <v>236</v>
      </c>
      <c r="G141" s="76" t="s">
        <v>237</v>
      </c>
      <c r="H141" s="76" t="s">
        <v>238</v>
      </c>
      <c r="I141" s="79" t="n">
        <v>380.051</v>
      </c>
      <c r="J141" s="79" t="n">
        <v>278.387</v>
      </c>
      <c r="K141" s="80" t="n">
        <v>0.04</v>
      </c>
      <c r="L141" s="79"/>
      <c r="M141" s="79" t="n">
        <v>948.182</v>
      </c>
      <c r="N141" s="80"/>
      <c r="O141" s="80" t="n">
        <v>70.4499969482422</v>
      </c>
      <c r="P141" s="47" t="n">
        <v>20</v>
      </c>
      <c r="Q141" s="66" t="s">
        <v>405</v>
      </c>
    </row>
    <row r="142" customFormat="false" ht="15" hidden="false" customHeight="false" outlineLevel="0" collapsed="false">
      <c r="A142" s="76" t="s">
        <v>191</v>
      </c>
      <c r="B142" s="76" t="s">
        <v>270</v>
      </c>
      <c r="C142" s="77" t="n">
        <v>2022</v>
      </c>
      <c r="D142" s="77" t="n">
        <v>2</v>
      </c>
      <c r="E142" s="78" t="n">
        <v>44408</v>
      </c>
      <c r="F142" s="76" t="s">
        <v>236</v>
      </c>
      <c r="G142" s="76" t="s">
        <v>237</v>
      </c>
      <c r="H142" s="76" t="s">
        <v>238</v>
      </c>
      <c r="I142" s="79" t="n">
        <v>337.69</v>
      </c>
      <c r="J142" s="79" t="n">
        <v>247.258</v>
      </c>
      <c r="K142" s="80" t="n">
        <v>0.03</v>
      </c>
      <c r="L142" s="79"/>
      <c r="M142" s="79" t="n">
        <v>904.268</v>
      </c>
      <c r="N142" s="80"/>
      <c r="O142" s="80" t="n">
        <v>63.4025001525879</v>
      </c>
      <c r="P142" s="47" t="n">
        <v>21</v>
      </c>
      <c r="Q142" s="66" t="s">
        <v>406</v>
      </c>
    </row>
    <row r="143" customFormat="false" ht="15" hidden="false" customHeight="false" outlineLevel="0" collapsed="false">
      <c r="A143" s="76" t="s">
        <v>191</v>
      </c>
      <c r="B143" s="76" t="s">
        <v>272</v>
      </c>
      <c r="C143" s="77" t="n">
        <v>2022</v>
      </c>
      <c r="D143" s="77" t="n">
        <v>1</v>
      </c>
      <c r="E143" s="78" t="n">
        <v>44316</v>
      </c>
      <c r="F143" s="76" t="s">
        <v>236</v>
      </c>
      <c r="G143" s="76" t="s">
        <v>237</v>
      </c>
      <c r="H143" s="76" t="s">
        <v>238</v>
      </c>
      <c r="I143" s="79" t="n">
        <v>302.843</v>
      </c>
      <c r="J143" s="79" t="n">
        <v>224.338</v>
      </c>
      <c r="K143" s="80" t="n">
        <v>0.03</v>
      </c>
      <c r="L143" s="79"/>
      <c r="M143" s="79" t="n">
        <v>849.264</v>
      </c>
      <c r="N143" s="80"/>
      <c r="O143" s="80" t="n">
        <v>52.127498626709</v>
      </c>
      <c r="P143" s="47" t="n">
        <v>22</v>
      </c>
      <c r="Q143" s="66" t="s">
        <v>407</v>
      </c>
    </row>
    <row r="144" customFormat="false" ht="15" hidden="false" customHeight="false" outlineLevel="0" collapsed="false">
      <c r="A144" s="76" t="s">
        <v>191</v>
      </c>
      <c r="B144" s="76" t="s">
        <v>274</v>
      </c>
      <c r="C144" s="77" t="n">
        <v>2021</v>
      </c>
      <c r="D144" s="77" t="n">
        <v>4</v>
      </c>
      <c r="E144" s="78" t="n">
        <v>44227</v>
      </c>
      <c r="F144" s="76" t="s">
        <v>236</v>
      </c>
      <c r="G144" s="76" t="s">
        <v>237</v>
      </c>
      <c r="H144" s="76" t="s">
        <v>238</v>
      </c>
      <c r="I144" s="79" t="n">
        <v>264.929</v>
      </c>
      <c r="J144" s="79" t="n">
        <v>198.197</v>
      </c>
      <c r="K144" s="80" t="n">
        <v>0.03</v>
      </c>
      <c r="L144" s="79"/>
      <c r="M144" s="79" t="n">
        <v>870.574</v>
      </c>
      <c r="N144" s="80"/>
      <c r="O144" s="80" t="n">
        <v>53.9500007629395</v>
      </c>
      <c r="P144" s="47" t="n">
        <v>23</v>
      </c>
      <c r="Q144" s="66" t="s">
        <v>408</v>
      </c>
    </row>
    <row r="145" customFormat="false" ht="15" hidden="false" customHeight="false" outlineLevel="0" collapsed="false">
      <c r="A145" s="76" t="s">
        <v>191</v>
      </c>
      <c r="B145" s="76" t="s">
        <v>276</v>
      </c>
      <c r="C145" s="77" t="n">
        <v>2021</v>
      </c>
      <c r="D145" s="77" t="n">
        <v>3</v>
      </c>
      <c r="E145" s="78" t="n">
        <v>44135</v>
      </c>
      <c r="F145" s="76" t="s">
        <v>236</v>
      </c>
      <c r="G145" s="76" t="s">
        <v>237</v>
      </c>
      <c r="H145" s="76" t="s">
        <v>238</v>
      </c>
      <c r="I145" s="79" t="n">
        <v>232.46</v>
      </c>
      <c r="J145" s="79" t="n">
        <v>170.933</v>
      </c>
      <c r="K145" s="80" t="n">
        <v>0.02</v>
      </c>
      <c r="L145" s="79"/>
      <c r="M145" s="79" t="n">
        <v>813.485</v>
      </c>
      <c r="N145" s="80"/>
      <c r="O145" s="80" t="n">
        <v>30.9599990844727</v>
      </c>
      <c r="P145" s="47" t="n">
        <v>24</v>
      </c>
      <c r="Q145" s="66" t="s">
        <v>409</v>
      </c>
    </row>
    <row r="146" customFormat="false" ht="15" hidden="false" customHeight="false" outlineLevel="0" collapsed="false">
      <c r="A146" s="76" t="s">
        <v>187</v>
      </c>
      <c r="B146" s="76" t="s">
        <v>385</v>
      </c>
      <c r="C146" s="77" t="n">
        <v>2027</v>
      </c>
      <c r="D146" s="77" t="n">
        <v>1</v>
      </c>
      <c r="E146" s="78" t="n">
        <v>46142</v>
      </c>
      <c r="F146" s="76" t="s">
        <v>236</v>
      </c>
      <c r="G146" s="76" t="s">
        <v>237</v>
      </c>
      <c r="H146" s="76" t="s">
        <v>238</v>
      </c>
      <c r="I146" s="79" t="n">
        <v>43842</v>
      </c>
      <c r="J146" s="79" t="n">
        <v>7782</v>
      </c>
      <c r="K146" s="80" t="n">
        <v>4.86</v>
      </c>
      <c r="L146" s="79" t="n">
        <v>656</v>
      </c>
      <c r="M146" s="79" t="n">
        <v>-1404</v>
      </c>
      <c r="N146" s="80" t="n">
        <v>0.63</v>
      </c>
      <c r="O146" s="80" t="n">
        <v>208.949996948242</v>
      </c>
      <c r="P146" s="47" t="n">
        <v>1</v>
      </c>
      <c r="Q146" s="66" t="s">
        <v>410</v>
      </c>
    </row>
    <row r="147" customFormat="false" ht="15" hidden="false" customHeight="false" outlineLevel="0" collapsed="false">
      <c r="A147" s="76" t="s">
        <v>187</v>
      </c>
      <c r="B147" s="76" t="s">
        <v>387</v>
      </c>
      <c r="C147" s="77" t="n">
        <v>2026</v>
      </c>
      <c r="D147" s="77" t="n">
        <v>4</v>
      </c>
      <c r="E147" s="78" t="n">
        <v>46053</v>
      </c>
      <c r="F147" s="76" t="s">
        <v>236</v>
      </c>
      <c r="G147" s="76" t="s">
        <v>237</v>
      </c>
      <c r="H147" s="76" t="s">
        <v>238</v>
      </c>
      <c r="I147" s="79" t="n">
        <v>33379</v>
      </c>
      <c r="J147" s="79" t="n">
        <v>6730</v>
      </c>
      <c r="K147" s="80" t="n">
        <v>3.89</v>
      </c>
      <c r="L147" s="79" t="n">
        <v>670.326409</v>
      </c>
      <c r="M147" s="79" t="n">
        <v>-2470</v>
      </c>
      <c r="N147" s="80" t="n">
        <v>0.525</v>
      </c>
      <c r="O147" s="80" t="n">
        <v>114.440002441406</v>
      </c>
      <c r="P147" s="47" t="n">
        <v>2</v>
      </c>
      <c r="Q147" s="66" t="s">
        <v>411</v>
      </c>
    </row>
    <row r="148" customFormat="false" ht="15" hidden="false" customHeight="false" outlineLevel="0" collapsed="false">
      <c r="A148" s="76" t="s">
        <v>187</v>
      </c>
      <c r="B148" s="76" t="s">
        <v>286</v>
      </c>
      <c r="C148" s="77" t="n">
        <v>2026</v>
      </c>
      <c r="D148" s="77" t="n">
        <v>3</v>
      </c>
      <c r="E148" s="78" t="n">
        <v>45961</v>
      </c>
      <c r="F148" s="76" t="s">
        <v>236</v>
      </c>
      <c r="G148" s="76" t="s">
        <v>237</v>
      </c>
      <c r="H148" s="76" t="s">
        <v>238</v>
      </c>
      <c r="I148" s="79" t="n">
        <v>27005</v>
      </c>
      <c r="J148" s="79" t="n">
        <v>5593</v>
      </c>
      <c r="K148" s="80" t="n">
        <v>2.59</v>
      </c>
      <c r="L148" s="79" t="n">
        <v>678.947368</v>
      </c>
      <c r="M148" s="79" t="n">
        <v>-2620</v>
      </c>
      <c r="N148" s="80" t="n">
        <v>0.525</v>
      </c>
      <c r="O148" s="80" t="n">
        <v>162.009994506836</v>
      </c>
      <c r="P148" s="47" t="n">
        <v>3</v>
      </c>
      <c r="Q148" s="66" t="s">
        <v>412</v>
      </c>
    </row>
    <row r="149" customFormat="false" ht="15" hidden="false" customHeight="false" outlineLevel="0" collapsed="false">
      <c r="A149" s="76" t="s">
        <v>187</v>
      </c>
      <c r="B149" s="76" t="s">
        <v>235</v>
      </c>
      <c r="C149" s="77" t="n">
        <v>2026</v>
      </c>
      <c r="D149" s="77" t="n">
        <v>2</v>
      </c>
      <c r="E149" s="78" t="n">
        <v>45869</v>
      </c>
      <c r="F149" s="76" t="s">
        <v>236</v>
      </c>
      <c r="G149" s="76" t="s">
        <v>237</v>
      </c>
      <c r="H149" s="76" t="s">
        <v>238</v>
      </c>
      <c r="I149" s="79" t="n">
        <v>29776</v>
      </c>
      <c r="J149" s="79" t="n">
        <v>5447</v>
      </c>
      <c r="K149" s="80" t="n">
        <v>2.32</v>
      </c>
      <c r="L149" s="79" t="n">
        <v>684.705882</v>
      </c>
      <c r="M149" s="79" t="n">
        <v>-2766</v>
      </c>
      <c r="N149" s="80" t="n">
        <v>0.525</v>
      </c>
      <c r="O149" s="80" t="n">
        <v>132.690002441406</v>
      </c>
      <c r="P149" s="47" t="n">
        <v>4</v>
      </c>
      <c r="Q149" s="66" t="s">
        <v>413</v>
      </c>
    </row>
    <row r="150" customFormat="false" ht="15" hidden="false" customHeight="false" outlineLevel="0" collapsed="false">
      <c r="A150" s="76" t="s">
        <v>187</v>
      </c>
      <c r="B150" s="76" t="s">
        <v>240</v>
      </c>
      <c r="C150" s="77" t="n">
        <v>2026</v>
      </c>
      <c r="D150" s="77" t="n">
        <v>1</v>
      </c>
      <c r="E150" s="78" t="n">
        <v>45777</v>
      </c>
      <c r="F150" s="76" t="s">
        <v>236</v>
      </c>
      <c r="G150" s="76" t="s">
        <v>237</v>
      </c>
      <c r="H150" s="76" t="s">
        <v>238</v>
      </c>
      <c r="I150" s="79" t="n">
        <v>23378</v>
      </c>
      <c r="J150" s="79" t="n">
        <v>4937</v>
      </c>
      <c r="K150" s="80" t="n">
        <v>1.55</v>
      </c>
      <c r="L150" s="79" t="n">
        <v>704.379562</v>
      </c>
      <c r="M150" s="79" t="n">
        <v>-3024</v>
      </c>
      <c r="N150" s="80" t="n">
        <v>0.525</v>
      </c>
      <c r="O150" s="80" t="n">
        <v>91.7600021362305</v>
      </c>
      <c r="P150" s="47" t="n">
        <v>5</v>
      </c>
      <c r="Q150" s="66" t="s">
        <v>414</v>
      </c>
    </row>
    <row r="151" customFormat="false" ht="15" hidden="false" customHeight="false" outlineLevel="0" collapsed="false">
      <c r="A151" s="76" t="s">
        <v>187</v>
      </c>
      <c r="B151" s="76" t="s">
        <v>242</v>
      </c>
      <c r="C151" s="77" t="n">
        <v>2025</v>
      </c>
      <c r="D151" s="77" t="n">
        <v>4</v>
      </c>
      <c r="E151" s="78" t="n">
        <v>45688</v>
      </c>
      <c r="F151" s="76" t="s">
        <v>236</v>
      </c>
      <c r="G151" s="76" t="s">
        <v>237</v>
      </c>
      <c r="H151" s="76" t="s">
        <v>238</v>
      </c>
      <c r="I151" s="79" t="n">
        <v>23806</v>
      </c>
      <c r="J151" s="79" t="n">
        <v>5485</v>
      </c>
      <c r="K151" s="80" t="n">
        <v>2.68</v>
      </c>
      <c r="L151" s="79"/>
      <c r="M151" s="79" t="n">
        <v>-1482</v>
      </c>
      <c r="N151" s="80" t="n">
        <v>0.445</v>
      </c>
      <c r="O151" s="80" t="n">
        <v>103.599998474121</v>
      </c>
      <c r="P151" s="47" t="n">
        <v>6</v>
      </c>
      <c r="Q151" s="66" t="s">
        <v>415</v>
      </c>
    </row>
    <row r="152" customFormat="false" ht="15" hidden="false" customHeight="false" outlineLevel="0" collapsed="false">
      <c r="A152" s="76" t="s">
        <v>187</v>
      </c>
      <c r="B152" s="76" t="s">
        <v>244</v>
      </c>
      <c r="C152" s="77" t="n">
        <v>2025</v>
      </c>
      <c r="D152" s="77" t="n">
        <v>3</v>
      </c>
      <c r="E152" s="78" t="n">
        <v>45596</v>
      </c>
      <c r="F152" s="76" t="s">
        <v>236</v>
      </c>
      <c r="G152" s="76" t="s">
        <v>237</v>
      </c>
      <c r="H152" s="76" t="s">
        <v>238</v>
      </c>
      <c r="I152" s="79" t="n">
        <v>24366</v>
      </c>
      <c r="J152" s="79" t="n">
        <v>5307</v>
      </c>
      <c r="K152" s="80" t="n">
        <v>2.15</v>
      </c>
      <c r="L152" s="79" t="n">
        <v>724</v>
      </c>
      <c r="M152" s="79" t="n">
        <v>-2285</v>
      </c>
      <c r="N152" s="80" t="n">
        <v>0.445</v>
      </c>
      <c r="O152" s="80" t="n">
        <v>123.629997253418</v>
      </c>
      <c r="P152" s="47" t="n">
        <v>7</v>
      </c>
      <c r="Q152" s="66" t="s">
        <v>416</v>
      </c>
    </row>
    <row r="153" customFormat="false" ht="15" hidden="false" customHeight="false" outlineLevel="0" collapsed="false">
      <c r="A153" s="76" t="s">
        <v>187</v>
      </c>
      <c r="B153" s="76" t="s">
        <v>246</v>
      </c>
      <c r="C153" s="77" t="n">
        <v>2025</v>
      </c>
      <c r="D153" s="77" t="n">
        <v>2</v>
      </c>
      <c r="E153" s="78" t="n">
        <v>45504</v>
      </c>
      <c r="F153" s="76" t="s">
        <v>236</v>
      </c>
      <c r="G153" s="76" t="s">
        <v>237</v>
      </c>
      <c r="H153" s="76" t="s">
        <v>238</v>
      </c>
      <c r="I153" s="79" t="n">
        <v>25026</v>
      </c>
      <c r="J153" s="79" t="n">
        <v>5311</v>
      </c>
      <c r="K153" s="80" t="n">
        <v>1.89</v>
      </c>
      <c r="L153" s="79" t="n">
        <v>730</v>
      </c>
      <c r="M153" s="79" t="n">
        <v>-2894</v>
      </c>
      <c r="N153" s="80" t="n">
        <v>0.445</v>
      </c>
      <c r="O153" s="80" t="n">
        <v>113.680000305176</v>
      </c>
      <c r="P153" s="47" t="n">
        <v>8</v>
      </c>
      <c r="Q153" s="66" t="s">
        <v>417</v>
      </c>
    </row>
    <row r="154" customFormat="false" ht="15" hidden="false" customHeight="false" outlineLevel="0" collapsed="false">
      <c r="A154" s="76" t="s">
        <v>187</v>
      </c>
      <c r="B154" s="76" t="s">
        <v>248</v>
      </c>
      <c r="C154" s="77" t="n">
        <v>2025</v>
      </c>
      <c r="D154" s="77" t="n">
        <v>1</v>
      </c>
      <c r="E154" s="78" t="n">
        <v>45412</v>
      </c>
      <c r="F154" s="76" t="s">
        <v>236</v>
      </c>
      <c r="G154" s="76" t="s">
        <v>237</v>
      </c>
      <c r="H154" s="76" t="s">
        <v>238</v>
      </c>
      <c r="I154" s="79" t="n">
        <v>22244</v>
      </c>
      <c r="J154" s="79" t="n">
        <v>4851</v>
      </c>
      <c r="K154" s="80" t="n">
        <v>1.27</v>
      </c>
      <c r="L154" s="79" t="n">
        <v>733.5</v>
      </c>
      <c r="M154" s="79" t="n">
        <v>-2822</v>
      </c>
      <c r="N154" s="80" t="n">
        <v>0.445</v>
      </c>
      <c r="O154" s="80" t="n">
        <v>124.639999389648</v>
      </c>
      <c r="P154" s="47" t="n">
        <v>9</v>
      </c>
      <c r="Q154" s="66" t="s">
        <v>418</v>
      </c>
    </row>
    <row r="155" customFormat="false" ht="15" hidden="false" customHeight="false" outlineLevel="0" collapsed="false">
      <c r="A155" s="76" t="s">
        <v>187</v>
      </c>
      <c r="B155" s="76" t="s">
        <v>250</v>
      </c>
      <c r="C155" s="77" t="n">
        <v>2024</v>
      </c>
      <c r="D155" s="77" t="n">
        <v>4</v>
      </c>
      <c r="E155" s="78" t="n">
        <v>45322</v>
      </c>
      <c r="F155" s="76" t="s">
        <v>236</v>
      </c>
      <c r="G155" s="76" t="s">
        <v>237</v>
      </c>
      <c r="H155" s="76" t="s">
        <v>238</v>
      </c>
      <c r="I155" s="79" t="n">
        <v>88425</v>
      </c>
      <c r="J155" s="79" t="n">
        <v>20869</v>
      </c>
      <c r="K155" s="80" t="n">
        <v>2.2</v>
      </c>
      <c r="L155" s="79" t="n">
        <v>736</v>
      </c>
      <c r="M155" s="79" t="n">
        <v>-2227</v>
      </c>
      <c r="N155" s="80" t="n">
        <v>0.37</v>
      </c>
      <c r="O155" s="80" t="n">
        <v>82.879997253418</v>
      </c>
      <c r="P155" s="47" t="n">
        <v>10</v>
      </c>
      <c r="Q155" s="66" t="s">
        <v>419</v>
      </c>
    </row>
    <row r="156" customFormat="false" ht="15" hidden="false" customHeight="false" outlineLevel="0" collapsed="false">
      <c r="A156" s="76" t="s">
        <v>187</v>
      </c>
      <c r="B156" s="76" t="s">
        <v>252</v>
      </c>
      <c r="C156" s="77" t="n">
        <v>2024</v>
      </c>
      <c r="D156" s="77" t="n">
        <v>3</v>
      </c>
      <c r="E156" s="78" t="n">
        <v>45230</v>
      </c>
      <c r="F156" s="76" t="s">
        <v>236</v>
      </c>
      <c r="G156" s="76" t="s">
        <v>237</v>
      </c>
      <c r="H156" s="76" t="s">
        <v>238</v>
      </c>
      <c r="I156" s="79" t="n">
        <v>22251</v>
      </c>
      <c r="J156" s="79" t="n">
        <v>5148</v>
      </c>
      <c r="K156" s="80" t="n">
        <v>1.88</v>
      </c>
      <c r="L156" s="79" t="n">
        <v>737.25</v>
      </c>
      <c r="M156" s="79" t="n">
        <v>-2664</v>
      </c>
      <c r="N156" s="80" t="n">
        <v>0.37</v>
      </c>
      <c r="O156" s="80" t="n">
        <v>66.9100036621094</v>
      </c>
      <c r="P156" s="47" t="n">
        <v>11</v>
      </c>
      <c r="Q156" s="66" t="s">
        <v>420</v>
      </c>
    </row>
    <row r="157" customFormat="false" ht="15" hidden="false" customHeight="false" outlineLevel="0" collapsed="false">
      <c r="A157" s="76" t="s">
        <v>187</v>
      </c>
      <c r="B157" s="76" t="s">
        <v>254</v>
      </c>
      <c r="C157" s="77" t="n">
        <v>2024</v>
      </c>
      <c r="D157" s="77" t="n">
        <v>2</v>
      </c>
      <c r="E157" s="78" t="n">
        <v>45138</v>
      </c>
      <c r="F157" s="76" t="s">
        <v>236</v>
      </c>
      <c r="G157" s="76" t="s">
        <v>237</v>
      </c>
      <c r="H157" s="76" t="s">
        <v>238</v>
      </c>
      <c r="I157" s="79" t="n">
        <v>22934</v>
      </c>
      <c r="J157" s="79" t="n">
        <v>5387</v>
      </c>
      <c r="K157" s="80" t="n">
        <v>1.74</v>
      </c>
      <c r="L157" s="79" t="n">
        <v>738</v>
      </c>
      <c r="M157" s="79" t="n">
        <v>-2772</v>
      </c>
      <c r="N157" s="80" t="n">
        <v>0.37</v>
      </c>
      <c r="O157" s="80" t="n">
        <v>52.9199981689453</v>
      </c>
      <c r="P157" s="47" t="n">
        <v>12</v>
      </c>
      <c r="Q157" s="66" t="s">
        <v>421</v>
      </c>
    </row>
    <row r="158" customFormat="false" ht="15" hidden="false" customHeight="false" outlineLevel="0" collapsed="false">
      <c r="A158" s="76" t="s">
        <v>187</v>
      </c>
      <c r="B158" s="76" t="s">
        <v>256</v>
      </c>
      <c r="C158" s="77" t="n">
        <v>2024</v>
      </c>
      <c r="D158" s="77" t="n">
        <v>1</v>
      </c>
      <c r="E158" s="78" t="n">
        <v>45046</v>
      </c>
      <c r="F158" s="76" t="s">
        <v>236</v>
      </c>
      <c r="G158" s="76" t="s">
        <v>237</v>
      </c>
      <c r="H158" s="76" t="s">
        <v>238</v>
      </c>
      <c r="I158" s="79" t="n">
        <v>20922</v>
      </c>
      <c r="J158" s="79" t="n">
        <v>5018</v>
      </c>
      <c r="K158" s="80" t="n">
        <v>1.31</v>
      </c>
      <c r="L158" s="79" t="n">
        <v>737</v>
      </c>
      <c r="M158" s="79" t="n">
        <v>-3023</v>
      </c>
      <c r="N158" s="80" t="n">
        <v>0.37</v>
      </c>
      <c r="O158" s="80" t="n">
        <v>43.4900016784668</v>
      </c>
      <c r="P158" s="47" t="n">
        <v>13</v>
      </c>
      <c r="Q158" s="66" t="s">
        <v>422</v>
      </c>
    </row>
    <row r="159" customFormat="false" ht="15" hidden="false" customHeight="false" outlineLevel="0" collapsed="false">
      <c r="A159" s="76" t="s">
        <v>187</v>
      </c>
      <c r="B159" s="76" t="s">
        <v>258</v>
      </c>
      <c r="C159" s="77" t="n">
        <v>2023</v>
      </c>
      <c r="D159" s="77" t="n">
        <v>4</v>
      </c>
      <c r="E159" s="78" t="n">
        <v>44957</v>
      </c>
      <c r="F159" s="76" t="s">
        <v>236</v>
      </c>
      <c r="G159" s="76" t="s">
        <v>237</v>
      </c>
      <c r="H159" s="76" t="s">
        <v>238</v>
      </c>
      <c r="I159" s="79" t="n">
        <v>25039</v>
      </c>
      <c r="J159" s="79" t="n">
        <v>5756</v>
      </c>
      <c r="K159" s="80" t="n">
        <v>1.8</v>
      </c>
      <c r="L159" s="79"/>
      <c r="M159" s="79" t="n">
        <v>-3122</v>
      </c>
      <c r="N159" s="80" t="n">
        <v>0.33</v>
      </c>
      <c r="O159" s="80" t="n">
        <v>40.6199989318848</v>
      </c>
      <c r="P159" s="47" t="n">
        <v>14</v>
      </c>
      <c r="Q159" s="66" t="s">
        <v>423</v>
      </c>
    </row>
    <row r="160" customFormat="false" ht="15" hidden="false" customHeight="false" outlineLevel="0" collapsed="false">
      <c r="A160" s="76" t="s">
        <v>187</v>
      </c>
      <c r="B160" s="76" t="s">
        <v>260</v>
      </c>
      <c r="C160" s="77" t="n">
        <v>2023</v>
      </c>
      <c r="D160" s="77" t="n">
        <v>3</v>
      </c>
      <c r="E160" s="78" t="n">
        <v>44865</v>
      </c>
      <c r="F160" s="76" t="s">
        <v>236</v>
      </c>
      <c r="G160" s="76" t="s">
        <v>237</v>
      </c>
      <c r="H160" s="76" t="s">
        <v>238</v>
      </c>
      <c r="I160" s="79" t="n">
        <v>24721</v>
      </c>
      <c r="J160" s="79" t="n">
        <v>5707</v>
      </c>
      <c r="K160" s="80" t="n">
        <v>2.3</v>
      </c>
      <c r="L160" s="79" t="n">
        <v>743</v>
      </c>
      <c r="M160" s="79" t="n">
        <v>-2772</v>
      </c>
      <c r="N160" s="80" t="n">
        <v>0.33</v>
      </c>
      <c r="O160" s="80" t="n">
        <v>38.4000015258789</v>
      </c>
      <c r="P160" s="47" t="n">
        <v>15</v>
      </c>
      <c r="Q160" s="66" t="s">
        <v>424</v>
      </c>
    </row>
    <row r="161" customFormat="false" ht="15" hidden="false" customHeight="false" outlineLevel="0" collapsed="false">
      <c r="A161" s="76" t="s">
        <v>187</v>
      </c>
      <c r="B161" s="76" t="s">
        <v>262</v>
      </c>
      <c r="C161" s="77" t="n">
        <v>2023</v>
      </c>
      <c r="D161" s="77" t="n">
        <v>2</v>
      </c>
      <c r="E161" s="78" t="n">
        <v>44773</v>
      </c>
      <c r="F161" s="76" t="s">
        <v>236</v>
      </c>
      <c r="G161" s="76" t="s">
        <v>237</v>
      </c>
      <c r="H161" s="76" t="s">
        <v>238</v>
      </c>
      <c r="I161" s="79" t="n">
        <v>26425</v>
      </c>
      <c r="J161" s="79" t="n">
        <v>5439</v>
      </c>
      <c r="K161" s="80" t="n">
        <v>1.68</v>
      </c>
      <c r="L161" s="79" t="n">
        <v>755</v>
      </c>
      <c r="M161" s="79" t="n">
        <v>-2860</v>
      </c>
      <c r="N161" s="80" t="n">
        <v>0.33</v>
      </c>
      <c r="O161" s="80" t="n">
        <v>45.060001373291</v>
      </c>
      <c r="P161" s="47" t="n">
        <v>16</v>
      </c>
      <c r="Q161" s="66" t="s">
        <v>425</v>
      </c>
    </row>
    <row r="162" customFormat="false" ht="15" hidden="false" customHeight="false" outlineLevel="0" collapsed="false">
      <c r="A162" s="76" t="s">
        <v>187</v>
      </c>
      <c r="B162" s="76" t="s">
        <v>264</v>
      </c>
      <c r="C162" s="77" t="n">
        <v>2023</v>
      </c>
      <c r="D162" s="77" t="n">
        <v>1</v>
      </c>
      <c r="E162" s="78" t="n">
        <v>44681</v>
      </c>
      <c r="F162" s="76" t="s">
        <v>236</v>
      </c>
      <c r="G162" s="76" t="s">
        <v>237</v>
      </c>
      <c r="H162" s="76" t="s">
        <v>238</v>
      </c>
      <c r="I162" s="79" t="n">
        <v>26116</v>
      </c>
      <c r="J162" s="79" t="n">
        <v>5784</v>
      </c>
      <c r="K162" s="80" t="n">
        <v>1.84</v>
      </c>
      <c r="L162" s="79" t="n">
        <v>780</v>
      </c>
      <c r="M162" s="79" t="n">
        <v>-2462</v>
      </c>
      <c r="N162" s="80" t="n">
        <v>0.33</v>
      </c>
      <c r="O162" s="80" t="n">
        <v>47.0099983215332</v>
      </c>
      <c r="P162" s="47" t="n">
        <v>17</v>
      </c>
      <c r="Q162" s="66" t="s">
        <v>426</v>
      </c>
    </row>
    <row r="163" customFormat="false" ht="15" hidden="false" customHeight="false" outlineLevel="0" collapsed="false">
      <c r="A163" s="76" t="s">
        <v>187</v>
      </c>
      <c r="B163" s="76" t="s">
        <v>266</v>
      </c>
      <c r="C163" s="77" t="n">
        <v>2022</v>
      </c>
      <c r="D163" s="77" t="n">
        <v>4</v>
      </c>
      <c r="E163" s="78" t="n">
        <v>44592</v>
      </c>
      <c r="F163" s="76" t="s">
        <v>236</v>
      </c>
      <c r="G163" s="76" t="s">
        <v>237</v>
      </c>
      <c r="H163" s="76" t="s">
        <v>238</v>
      </c>
      <c r="I163" s="79" t="n">
        <v>22194</v>
      </c>
      <c r="J163" s="79" t="n">
        <v>-1811</v>
      </c>
      <c r="K163" s="80" t="n">
        <v>1.72</v>
      </c>
      <c r="L163" s="79"/>
      <c r="M163" s="79" t="n">
        <v>-1685</v>
      </c>
      <c r="N163" s="80" t="n">
        <v>0</v>
      </c>
      <c r="O163" s="80" t="n">
        <v>56.810001373291</v>
      </c>
      <c r="P163" s="47" t="n">
        <v>18</v>
      </c>
      <c r="Q163" s="66" t="s">
        <v>427</v>
      </c>
    </row>
    <row r="164" customFormat="false" ht="15" hidden="false" customHeight="false" outlineLevel="0" collapsed="false">
      <c r="A164" s="76" t="s">
        <v>187</v>
      </c>
      <c r="B164" s="76" t="s">
        <v>268</v>
      </c>
      <c r="C164" s="77" t="n">
        <v>2022</v>
      </c>
      <c r="D164" s="77" t="n">
        <v>3</v>
      </c>
      <c r="E164" s="78" t="n">
        <v>44500</v>
      </c>
      <c r="F164" s="76" t="s">
        <v>236</v>
      </c>
      <c r="G164" s="76" t="s">
        <v>237</v>
      </c>
      <c r="H164" s="76" t="s">
        <v>238</v>
      </c>
      <c r="I164" s="79" t="n">
        <v>26424</v>
      </c>
      <c r="J164" s="79" t="n">
        <v>5534</v>
      </c>
      <c r="K164" s="80" t="n">
        <v>2.37</v>
      </c>
      <c r="L164" s="79" t="n">
        <v>788</v>
      </c>
      <c r="M164" s="79" t="n">
        <v>8954</v>
      </c>
      <c r="N164" s="80" t="n">
        <v>0</v>
      </c>
      <c r="O164" s="80" t="n">
        <v>55.7475929260254</v>
      </c>
      <c r="P164" s="47" t="n">
        <v>19</v>
      </c>
      <c r="Q164" s="66" t="s">
        <v>428</v>
      </c>
    </row>
    <row r="165" customFormat="false" ht="15" hidden="false" customHeight="false" outlineLevel="0" collapsed="false">
      <c r="A165" s="76" t="s">
        <v>187</v>
      </c>
      <c r="B165" s="76" t="s">
        <v>270</v>
      </c>
      <c r="C165" s="77" t="n">
        <v>2022</v>
      </c>
      <c r="D165" s="77" t="n">
        <v>2</v>
      </c>
      <c r="E165" s="78" t="n">
        <v>44408</v>
      </c>
      <c r="F165" s="76" t="s">
        <v>236</v>
      </c>
      <c r="G165" s="76" t="s">
        <v>237</v>
      </c>
      <c r="H165" s="76" t="s">
        <v>238</v>
      </c>
      <c r="I165" s="79" t="n">
        <v>24191</v>
      </c>
      <c r="J165" s="79" t="n">
        <v>5475</v>
      </c>
      <c r="K165" s="80" t="n">
        <v>2.24</v>
      </c>
      <c r="L165" s="79" t="n">
        <v>786</v>
      </c>
      <c r="M165" s="79" t="n">
        <v>4825</v>
      </c>
      <c r="N165" s="80" t="n">
        <v>0</v>
      </c>
      <c r="O165" s="80" t="n">
        <v>48.9711112976074</v>
      </c>
      <c r="P165" s="47" t="n">
        <v>20</v>
      </c>
      <c r="Q165" s="66" t="s">
        <v>429</v>
      </c>
    </row>
    <row r="166" customFormat="false" ht="15" hidden="false" customHeight="false" outlineLevel="0" collapsed="false">
      <c r="A166" s="76" t="s">
        <v>187</v>
      </c>
      <c r="B166" s="76" t="s">
        <v>272</v>
      </c>
      <c r="C166" s="77" t="n">
        <v>2022</v>
      </c>
      <c r="D166" s="77" t="n">
        <v>1</v>
      </c>
      <c r="E166" s="78" t="n">
        <v>44316</v>
      </c>
      <c r="F166" s="76" t="s">
        <v>236</v>
      </c>
      <c r="G166" s="76" t="s">
        <v>237</v>
      </c>
      <c r="H166" s="76" t="s">
        <v>238</v>
      </c>
      <c r="I166" s="79" t="n">
        <v>22590</v>
      </c>
      <c r="J166" s="79" t="n">
        <v>5264</v>
      </c>
      <c r="K166" s="80" t="n">
        <v>2.13</v>
      </c>
      <c r="L166" s="79" t="n">
        <v>782</v>
      </c>
      <c r="M166" s="79" t="n">
        <v>4045</v>
      </c>
      <c r="N166" s="80" t="n">
        <v>0</v>
      </c>
      <c r="O166" s="80" t="n">
        <v>49.8378105163574</v>
      </c>
      <c r="P166" s="47" t="n">
        <v>21</v>
      </c>
      <c r="Q166" s="66" t="s">
        <v>430</v>
      </c>
    </row>
    <row r="167" customFormat="false" ht="15" hidden="false" customHeight="false" outlineLevel="0" collapsed="false">
      <c r="A167" s="76" t="s">
        <v>187</v>
      </c>
      <c r="B167" s="76" t="s">
        <v>274</v>
      </c>
      <c r="C167" s="77" t="n">
        <v>2021</v>
      </c>
      <c r="D167" s="77" t="n">
        <v>4</v>
      </c>
      <c r="E167" s="78" t="n">
        <v>44227</v>
      </c>
      <c r="F167" s="76" t="s">
        <v>236</v>
      </c>
      <c r="G167" s="76" t="s">
        <v>237</v>
      </c>
      <c r="H167" s="76" t="s">
        <v>238</v>
      </c>
      <c r="I167" s="79" t="n">
        <v>26112</v>
      </c>
      <c r="J167" s="79" t="n">
        <v>8147</v>
      </c>
      <c r="K167" s="80" t="n">
        <v>2.7</v>
      </c>
      <c r="L167" s="79"/>
      <c r="M167" s="79" t="n">
        <v>2951</v>
      </c>
      <c r="N167" s="80" t="n">
        <v>0</v>
      </c>
      <c r="O167" s="80" t="n">
        <v>36.9437408447266</v>
      </c>
      <c r="P167" s="47" t="n">
        <v>22</v>
      </c>
      <c r="Q167" s="66" t="s">
        <v>431</v>
      </c>
    </row>
    <row r="168" customFormat="false" ht="15" hidden="false" customHeight="false" outlineLevel="0" collapsed="false">
      <c r="A168" s="76" t="s">
        <v>187</v>
      </c>
      <c r="B168" s="76" t="s">
        <v>276</v>
      </c>
      <c r="C168" s="77" t="n">
        <v>2021</v>
      </c>
      <c r="D168" s="77" t="n">
        <v>3</v>
      </c>
      <c r="E168" s="78" t="n">
        <v>44135</v>
      </c>
      <c r="F168" s="76" t="s">
        <v>236</v>
      </c>
      <c r="G168" s="76" t="s">
        <v>237</v>
      </c>
      <c r="H168" s="76" t="s">
        <v>238</v>
      </c>
      <c r="I168" s="79" t="n">
        <v>23482</v>
      </c>
      <c r="J168" s="79" t="n">
        <v>7261</v>
      </c>
      <c r="K168" s="80" t="n">
        <v>2.03</v>
      </c>
      <c r="L168" s="79" t="n">
        <v>771</v>
      </c>
      <c r="M168" s="79" t="n">
        <v>1410</v>
      </c>
      <c r="N168" s="80" t="n">
        <v>0</v>
      </c>
      <c r="O168" s="80" t="n">
        <v>30.5423202514648</v>
      </c>
      <c r="P168" s="47" t="n">
        <v>23</v>
      </c>
      <c r="Q168" s="66" t="s">
        <v>432</v>
      </c>
    </row>
    <row r="169" customFormat="false" ht="15" hidden="false" customHeight="false" outlineLevel="0" collapsed="false">
      <c r="A169" s="76" t="s">
        <v>187</v>
      </c>
      <c r="B169" s="76" t="s">
        <v>278</v>
      </c>
      <c r="C169" s="77" t="n">
        <v>2021</v>
      </c>
      <c r="D169" s="77" t="n">
        <v>2</v>
      </c>
      <c r="E169" s="78" t="n">
        <v>44043</v>
      </c>
      <c r="F169" s="76" t="s">
        <v>236</v>
      </c>
      <c r="G169" s="76" t="s">
        <v>237</v>
      </c>
      <c r="H169" s="76" t="s">
        <v>238</v>
      </c>
      <c r="I169" s="79" t="n">
        <v>22733</v>
      </c>
      <c r="J169" s="79" t="n">
        <v>7156</v>
      </c>
      <c r="K169" s="80" t="n">
        <v>1.92</v>
      </c>
      <c r="L169" s="79" t="n">
        <v>761</v>
      </c>
      <c r="M169" s="79" t="n">
        <v>191</v>
      </c>
      <c r="N169" s="80"/>
      <c r="O169" s="80" t="n">
        <v>30.3243789672852</v>
      </c>
      <c r="P169" s="47" t="n">
        <v>24</v>
      </c>
      <c r="Q169" s="66" t="s">
        <v>433</v>
      </c>
    </row>
    <row r="170" customFormat="false" ht="15" hidden="false" customHeight="false" outlineLevel="0" collapsed="false">
      <c r="A170" s="76" t="s">
        <v>189</v>
      </c>
      <c r="B170" s="76" t="s">
        <v>235</v>
      </c>
      <c r="C170" s="77" t="n">
        <v>2026</v>
      </c>
      <c r="D170" s="77" t="n">
        <v>2</v>
      </c>
      <c r="E170" s="78" t="n">
        <v>46203</v>
      </c>
      <c r="F170" s="76" t="s">
        <v>236</v>
      </c>
      <c r="G170" s="76" t="s">
        <v>237</v>
      </c>
      <c r="H170" s="76" t="s">
        <v>238</v>
      </c>
      <c r="I170" s="79" t="n">
        <v>445.529</v>
      </c>
      <c r="J170" s="79" t="n">
        <v>147.566</v>
      </c>
      <c r="K170" s="80" t="n">
        <v>0.7</v>
      </c>
      <c r="L170" s="79" t="n">
        <v>46.446</v>
      </c>
      <c r="M170" s="79" t="n">
        <v>1952.301</v>
      </c>
      <c r="N170" s="80"/>
      <c r="O170" s="80" t="n">
        <v>109.440002441406</v>
      </c>
      <c r="P170" s="47" t="n">
        <v>1</v>
      </c>
      <c r="Q170" s="66" t="s">
        <v>434</v>
      </c>
    </row>
    <row r="171" customFormat="false" ht="15" hidden="false" customHeight="false" outlineLevel="0" collapsed="false">
      <c r="A171" s="76" t="s">
        <v>189</v>
      </c>
      <c r="B171" s="76" t="s">
        <v>240</v>
      </c>
      <c r="C171" s="77" t="n">
        <v>2026</v>
      </c>
      <c r="D171" s="77" t="n">
        <v>1</v>
      </c>
      <c r="E171" s="78" t="n">
        <v>46112</v>
      </c>
      <c r="F171" s="76" t="s">
        <v>236</v>
      </c>
      <c r="G171" s="76" t="s">
        <v>237</v>
      </c>
      <c r="H171" s="76" t="s">
        <v>238</v>
      </c>
      <c r="I171" s="79" t="n">
        <v>405.467</v>
      </c>
      <c r="J171" s="79" t="n">
        <v>128.792</v>
      </c>
      <c r="K171" s="80" t="n">
        <v>0.43</v>
      </c>
      <c r="L171" s="79" t="n">
        <v>46.138</v>
      </c>
      <c r="M171" s="79" t="n">
        <v>1889.406</v>
      </c>
      <c r="N171" s="80"/>
      <c r="O171" s="80" t="n">
        <v>68.2600021362305</v>
      </c>
      <c r="P171" s="47" t="n">
        <v>2</v>
      </c>
      <c r="Q171" s="66" t="s">
        <v>435</v>
      </c>
    </row>
    <row r="172" customFormat="false" ht="15" hidden="false" customHeight="false" outlineLevel="0" collapsed="false">
      <c r="A172" s="76" t="s">
        <v>189</v>
      </c>
      <c r="B172" s="76" t="s">
        <v>242</v>
      </c>
      <c r="C172" s="77" t="n">
        <v>2025</v>
      </c>
      <c r="D172" s="77" t="n">
        <v>4</v>
      </c>
      <c r="E172" s="78" t="n">
        <v>46022</v>
      </c>
      <c r="F172" s="76" t="s">
        <v>236</v>
      </c>
      <c r="G172" s="76" t="s">
        <v>237</v>
      </c>
      <c r="H172" s="76" t="s">
        <v>238</v>
      </c>
      <c r="I172" s="79" t="n">
        <v>391.578</v>
      </c>
      <c r="J172" s="79" t="n">
        <v>121.93</v>
      </c>
      <c r="K172" s="80" t="n">
        <v>0.34</v>
      </c>
      <c r="L172" s="79" t="n">
        <v>46.251</v>
      </c>
      <c r="M172" s="79" t="n">
        <v>1878.124</v>
      </c>
      <c r="N172" s="80"/>
      <c r="O172" s="80" t="n">
        <v>49.3400001525879</v>
      </c>
      <c r="P172" s="47" t="n">
        <v>3</v>
      </c>
      <c r="Q172" s="66" t="s">
        <v>436</v>
      </c>
    </row>
    <row r="173" customFormat="false" ht="15" hidden="false" customHeight="false" outlineLevel="0" collapsed="false">
      <c r="A173" s="76" t="s">
        <v>189</v>
      </c>
      <c r="B173" s="76" t="s">
        <v>244</v>
      </c>
      <c r="C173" s="77" t="n">
        <v>2025</v>
      </c>
      <c r="D173" s="77" t="n">
        <v>3</v>
      </c>
      <c r="E173" s="78" t="n">
        <v>45930</v>
      </c>
      <c r="F173" s="76" t="s">
        <v>236</v>
      </c>
      <c r="G173" s="76" t="s">
        <v>237</v>
      </c>
      <c r="H173" s="76" t="s">
        <v>238</v>
      </c>
      <c r="I173" s="79" t="n">
        <v>392.17</v>
      </c>
      <c r="J173" s="79" t="n">
        <v>120.488</v>
      </c>
      <c r="K173" s="80" t="n">
        <v>0.37</v>
      </c>
      <c r="L173" s="79" t="n">
        <v>46.437</v>
      </c>
      <c r="M173" s="79" t="n">
        <v>1889.154</v>
      </c>
      <c r="N173" s="80"/>
      <c r="O173" s="80" t="n">
        <v>53.2099990844727</v>
      </c>
      <c r="P173" s="47" t="n">
        <v>4</v>
      </c>
      <c r="Q173" s="66" t="s">
        <v>437</v>
      </c>
    </row>
    <row r="174" customFormat="false" ht="15" hidden="false" customHeight="false" outlineLevel="0" collapsed="false">
      <c r="A174" s="76" t="s">
        <v>189</v>
      </c>
      <c r="B174" s="76" t="s">
        <v>246</v>
      </c>
      <c r="C174" s="77" t="n">
        <v>2025</v>
      </c>
      <c r="D174" s="77" t="n">
        <v>2</v>
      </c>
      <c r="E174" s="78" t="n">
        <v>45838</v>
      </c>
      <c r="F174" s="76" t="s">
        <v>236</v>
      </c>
      <c r="G174" s="76" t="s">
        <v>237</v>
      </c>
      <c r="H174" s="76" t="s">
        <v>238</v>
      </c>
      <c r="I174" s="79" t="n">
        <v>366.212</v>
      </c>
      <c r="J174" s="79" t="n">
        <v>115.324</v>
      </c>
      <c r="K174" s="80" t="n">
        <v>0.32</v>
      </c>
      <c r="L174" s="79" t="n">
        <v>46.462</v>
      </c>
      <c r="M174" s="79" t="n">
        <v>1877.103</v>
      </c>
      <c r="N174" s="80"/>
      <c r="O174" s="80" t="n">
        <v>52.8899993896484</v>
      </c>
      <c r="P174" s="47" t="n">
        <v>5</v>
      </c>
      <c r="Q174" s="66" t="s">
        <v>438</v>
      </c>
    </row>
    <row r="175" customFormat="false" ht="15" hidden="false" customHeight="false" outlineLevel="0" collapsed="false">
      <c r="A175" s="76" t="s">
        <v>189</v>
      </c>
      <c r="B175" s="76" t="s">
        <v>248</v>
      </c>
      <c r="C175" s="77" t="n">
        <v>2025</v>
      </c>
      <c r="D175" s="77" t="n">
        <v>1</v>
      </c>
      <c r="E175" s="78" t="n">
        <v>45747</v>
      </c>
      <c r="F175" s="76" t="s">
        <v>236</v>
      </c>
      <c r="G175" s="76" t="s">
        <v>237</v>
      </c>
      <c r="H175" s="76" t="s">
        <v>238</v>
      </c>
      <c r="I175" s="79" t="n">
        <v>332.113</v>
      </c>
      <c r="J175" s="79" t="n">
        <v>104.694</v>
      </c>
      <c r="K175" s="80" t="n">
        <v>0.19</v>
      </c>
      <c r="L175" s="79" t="n">
        <v>46.42925</v>
      </c>
      <c r="M175" s="79" t="n">
        <v>1801.218</v>
      </c>
      <c r="N175" s="80"/>
      <c r="O175" s="80" t="n">
        <v>43.1699981689453</v>
      </c>
      <c r="P175" s="47" t="n">
        <v>6</v>
      </c>
      <c r="Q175" s="66" t="s">
        <v>439</v>
      </c>
    </row>
    <row r="176" customFormat="false" ht="15" hidden="false" customHeight="false" outlineLevel="0" collapsed="false">
      <c r="A176" s="76" t="s">
        <v>189</v>
      </c>
      <c r="B176" s="76" t="s">
        <v>250</v>
      </c>
      <c r="C176" s="77" t="n">
        <v>2024</v>
      </c>
      <c r="D176" s="77" t="n">
        <v>4</v>
      </c>
      <c r="E176" s="78" t="n">
        <v>45657</v>
      </c>
      <c r="F176" s="76" t="s">
        <v>236</v>
      </c>
      <c r="G176" s="76" t="s">
        <v>237</v>
      </c>
      <c r="H176" s="76" t="s">
        <v>238</v>
      </c>
      <c r="I176" s="79" t="n">
        <v>339.298</v>
      </c>
      <c r="J176" s="79" t="n">
        <v>110.884</v>
      </c>
      <c r="K176" s="80" t="n">
        <v>0.27</v>
      </c>
      <c r="L176" s="79" t="n">
        <v>46.408</v>
      </c>
      <c r="M176" s="79" t="n">
        <v>1795.301</v>
      </c>
      <c r="N176" s="80"/>
      <c r="O176" s="80" t="n">
        <v>61.6699981689453</v>
      </c>
      <c r="P176" s="47" t="n">
        <v>7</v>
      </c>
      <c r="Q176" s="66" t="s">
        <v>440</v>
      </c>
    </row>
    <row r="177" customFormat="false" ht="15" hidden="false" customHeight="false" outlineLevel="0" collapsed="false">
      <c r="A177" s="76" t="s">
        <v>189</v>
      </c>
      <c r="B177" s="76" t="s">
        <v>252</v>
      </c>
      <c r="C177" s="77" t="n">
        <v>2024</v>
      </c>
      <c r="D177" s="77" t="n">
        <v>3</v>
      </c>
      <c r="E177" s="78" t="n">
        <v>45565</v>
      </c>
      <c r="F177" s="76" t="s">
        <v>236</v>
      </c>
      <c r="G177" s="76" t="s">
        <v>237</v>
      </c>
      <c r="H177" s="76" t="s">
        <v>238</v>
      </c>
      <c r="I177" s="79" t="n">
        <v>350.079</v>
      </c>
      <c r="J177" s="79" t="n">
        <v>118.008</v>
      </c>
      <c r="K177" s="80" t="n">
        <v>0.43</v>
      </c>
      <c r="L177" s="79" t="n">
        <v>46.3725</v>
      </c>
      <c r="M177" s="79" t="n">
        <v>1811.584</v>
      </c>
      <c r="N177" s="80"/>
      <c r="O177" s="80" t="n">
        <v>64.0899963378906</v>
      </c>
      <c r="P177" s="47" t="n">
        <v>8</v>
      </c>
      <c r="Q177" s="66" t="s">
        <v>441</v>
      </c>
    </row>
    <row r="178" customFormat="false" ht="15" hidden="false" customHeight="false" outlineLevel="0" collapsed="false">
      <c r="A178" s="76" t="s">
        <v>189</v>
      </c>
      <c r="B178" s="76" t="s">
        <v>254</v>
      </c>
      <c r="C178" s="77" t="n">
        <v>2024</v>
      </c>
      <c r="D178" s="77" t="n">
        <v>2</v>
      </c>
      <c r="E178" s="78" t="n">
        <v>45473</v>
      </c>
      <c r="F178" s="76" t="s">
        <v>236</v>
      </c>
      <c r="G178" s="76" t="s">
        <v>237</v>
      </c>
      <c r="H178" s="76" t="s">
        <v>238</v>
      </c>
      <c r="I178" s="79" t="n">
        <v>319.771</v>
      </c>
      <c r="J178" s="79" t="n">
        <v>107.386</v>
      </c>
      <c r="K178" s="80" t="n">
        <v>0.33</v>
      </c>
      <c r="L178" s="79" t="n">
        <v>46.3395</v>
      </c>
      <c r="M178" s="79" t="n">
        <v>1774.355</v>
      </c>
      <c r="N178" s="80"/>
      <c r="O178" s="80" t="n">
        <v>71.9300003051758</v>
      </c>
      <c r="P178" s="47" t="n">
        <v>9</v>
      </c>
      <c r="Q178" s="66" t="s">
        <v>442</v>
      </c>
    </row>
    <row r="179" customFormat="false" ht="15" hidden="false" customHeight="false" outlineLevel="0" collapsed="false">
      <c r="A179" s="76" t="s">
        <v>189</v>
      </c>
      <c r="B179" s="76" t="s">
        <v>256</v>
      </c>
      <c r="C179" s="77" t="n">
        <v>2024</v>
      </c>
      <c r="D179" s="77" t="n">
        <v>1</v>
      </c>
      <c r="E179" s="78" t="n">
        <v>45382</v>
      </c>
      <c r="F179" s="76" t="s">
        <v>236</v>
      </c>
      <c r="G179" s="76" t="s">
        <v>237</v>
      </c>
      <c r="H179" s="76" t="s">
        <v>238</v>
      </c>
      <c r="I179" s="79" t="n">
        <v>301.972</v>
      </c>
      <c r="J179" s="79" t="n">
        <v>99.584</v>
      </c>
      <c r="K179" s="80" t="n">
        <v>0.28</v>
      </c>
      <c r="L179" s="79" t="n">
        <v>46.342</v>
      </c>
      <c r="M179" s="79" t="n">
        <v>1748.59</v>
      </c>
      <c r="N179" s="80"/>
      <c r="O179" s="80" t="n">
        <v>70.5</v>
      </c>
      <c r="P179" s="47" t="n">
        <v>10</v>
      </c>
      <c r="Q179" s="66" t="s">
        <v>443</v>
      </c>
    </row>
    <row r="180" customFormat="false" ht="15" hidden="false" customHeight="false" outlineLevel="0" collapsed="false">
      <c r="A180" s="76" t="s">
        <v>189</v>
      </c>
      <c r="B180" s="76" t="s">
        <v>258</v>
      </c>
      <c r="C180" s="77" t="n">
        <v>2023</v>
      </c>
      <c r="D180" s="77" t="n">
        <v>4</v>
      </c>
      <c r="E180" s="78" t="n">
        <v>45291</v>
      </c>
      <c r="F180" s="76" t="s">
        <v>236</v>
      </c>
      <c r="G180" s="76" t="s">
        <v>237</v>
      </c>
      <c r="H180" s="76" t="s">
        <v>238</v>
      </c>
      <c r="I180" s="79" t="n">
        <v>322.699</v>
      </c>
      <c r="J180" s="79" t="n">
        <v>112.476</v>
      </c>
      <c r="K180" s="80" t="n">
        <v>0.51</v>
      </c>
      <c r="L180" s="79" t="n">
        <v>46.311</v>
      </c>
      <c r="M180" s="79" t="n">
        <v>1740.741</v>
      </c>
      <c r="N180" s="80"/>
      <c r="O180" s="80" t="n">
        <v>80.5199966430664</v>
      </c>
      <c r="P180" s="47" t="n">
        <v>11</v>
      </c>
      <c r="Q180" s="66" t="s">
        <v>444</v>
      </c>
    </row>
    <row r="181" customFormat="false" ht="15" hidden="false" customHeight="false" outlineLevel="0" collapsed="false">
      <c r="A181" s="76" t="s">
        <v>189</v>
      </c>
      <c r="B181" s="76" t="s">
        <v>260</v>
      </c>
      <c r="C181" s="77" t="n">
        <v>2023</v>
      </c>
      <c r="D181" s="77" t="n">
        <v>3</v>
      </c>
      <c r="E181" s="78" t="n">
        <v>45199</v>
      </c>
      <c r="F181" s="76" t="s">
        <v>236</v>
      </c>
      <c r="G181" s="76" t="s">
        <v>237</v>
      </c>
      <c r="H181" s="76" t="s">
        <v>238</v>
      </c>
      <c r="I181" s="79" t="n">
        <v>404.647</v>
      </c>
      <c r="J181" s="79" t="n">
        <v>155.876</v>
      </c>
      <c r="K181" s="80" t="n">
        <v>1.13</v>
      </c>
      <c r="L181" s="79" t="n">
        <v>46.3045</v>
      </c>
      <c r="M181" s="79" t="n">
        <v>1689.662</v>
      </c>
      <c r="N181" s="80"/>
      <c r="O181" s="80" t="n">
        <v>78.8399963378906</v>
      </c>
      <c r="P181" s="47" t="n">
        <v>12</v>
      </c>
      <c r="Q181" s="66" t="s">
        <v>445</v>
      </c>
    </row>
    <row r="182" customFormat="false" ht="15" hidden="false" customHeight="false" outlineLevel="0" collapsed="false">
      <c r="A182" s="76" t="s">
        <v>189</v>
      </c>
      <c r="B182" s="76" t="s">
        <v>262</v>
      </c>
      <c r="C182" s="77" t="n">
        <v>2023</v>
      </c>
      <c r="D182" s="77" t="n">
        <v>2</v>
      </c>
      <c r="E182" s="78" t="n">
        <v>45107</v>
      </c>
      <c r="F182" s="76" t="s">
        <v>236</v>
      </c>
      <c r="G182" s="76" t="s">
        <v>237</v>
      </c>
      <c r="H182" s="76" t="s">
        <v>238</v>
      </c>
      <c r="I182" s="79" t="n">
        <v>467.152</v>
      </c>
      <c r="J182" s="79" t="n">
        <v>195.376</v>
      </c>
      <c r="K182" s="80" t="n">
        <v>1.59</v>
      </c>
      <c r="L182" s="79" t="n">
        <v>46.243</v>
      </c>
      <c r="M182" s="79" t="n">
        <v>1662.48</v>
      </c>
      <c r="N182" s="80"/>
      <c r="O182" s="80" t="n">
        <v>92.4899978637695</v>
      </c>
      <c r="P182" s="47" t="n">
        <v>13</v>
      </c>
      <c r="Q182" s="66" t="s">
        <v>446</v>
      </c>
    </row>
    <row r="183" customFormat="false" ht="15" hidden="false" customHeight="false" outlineLevel="0" collapsed="false">
      <c r="A183" s="76" t="s">
        <v>189</v>
      </c>
      <c r="B183" s="76" t="s">
        <v>264</v>
      </c>
      <c r="C183" s="77" t="n">
        <v>2023</v>
      </c>
      <c r="D183" s="77" t="n">
        <v>1</v>
      </c>
      <c r="E183" s="78" t="n">
        <v>45016</v>
      </c>
      <c r="F183" s="76" t="s">
        <v>236</v>
      </c>
      <c r="G183" s="76" t="s">
        <v>237</v>
      </c>
      <c r="H183" s="76" t="s">
        <v>238</v>
      </c>
      <c r="I183" s="79" t="n">
        <v>467.241</v>
      </c>
      <c r="J183" s="79" t="n">
        <v>194.454</v>
      </c>
      <c r="K183" s="80" t="n">
        <v>1.59</v>
      </c>
      <c r="L183" s="79" t="n">
        <v>46.161</v>
      </c>
      <c r="M183" s="79" t="n">
        <v>1595.465</v>
      </c>
      <c r="N183" s="80"/>
      <c r="O183" s="80" t="n">
        <v>92.7600021362305</v>
      </c>
      <c r="P183" s="47" t="n">
        <v>14</v>
      </c>
      <c r="Q183" s="66" t="s">
        <v>447</v>
      </c>
    </row>
    <row r="184" customFormat="false" ht="15" hidden="false" customHeight="false" outlineLevel="0" collapsed="false">
      <c r="A184" s="76" t="s">
        <v>189</v>
      </c>
      <c r="B184" s="76" t="s">
        <v>266</v>
      </c>
      <c r="C184" s="77" t="n">
        <v>2022</v>
      </c>
      <c r="D184" s="77" t="n">
        <v>4</v>
      </c>
      <c r="E184" s="78" t="n">
        <v>44926</v>
      </c>
      <c r="F184" s="76" t="s">
        <v>236</v>
      </c>
      <c r="G184" s="76" t="s">
        <v>237</v>
      </c>
      <c r="H184" s="76" t="s">
        <v>238</v>
      </c>
      <c r="I184" s="79" t="n">
        <v>496.212</v>
      </c>
      <c r="J184" s="79" t="n">
        <v>206.196</v>
      </c>
      <c r="K184" s="80" t="n">
        <v>1.73</v>
      </c>
      <c r="L184" s="79"/>
      <c r="M184" s="79" t="n">
        <v>1513.645</v>
      </c>
      <c r="N184" s="80"/>
      <c r="O184" s="80" t="n">
        <v>76.1399993896484</v>
      </c>
      <c r="P184" s="47" t="n">
        <v>15</v>
      </c>
      <c r="Q184" s="66" t="s">
        <v>448</v>
      </c>
    </row>
    <row r="185" customFormat="false" ht="15" hidden="false" customHeight="false" outlineLevel="0" collapsed="false">
      <c r="A185" s="76" t="s">
        <v>189</v>
      </c>
      <c r="B185" s="76" t="s">
        <v>268</v>
      </c>
      <c r="C185" s="77" t="n">
        <v>2022</v>
      </c>
      <c r="D185" s="77" t="n">
        <v>3</v>
      </c>
      <c r="E185" s="78" t="n">
        <v>44834</v>
      </c>
      <c r="F185" s="76" t="s">
        <v>236</v>
      </c>
      <c r="G185" s="76" t="s">
        <v>237</v>
      </c>
      <c r="H185" s="76" t="s">
        <v>238</v>
      </c>
      <c r="I185" s="79" t="n">
        <v>521.273</v>
      </c>
      <c r="J185" s="79" t="n">
        <v>217.818</v>
      </c>
      <c r="K185" s="80" t="n">
        <v>2</v>
      </c>
      <c r="L185" s="79" t="n">
        <v>46.014</v>
      </c>
      <c r="M185" s="79" t="n">
        <v>1395.922</v>
      </c>
      <c r="N185" s="80"/>
      <c r="O185" s="80" t="n">
        <v>64.9100036621094</v>
      </c>
      <c r="P185" s="47" t="n">
        <v>16</v>
      </c>
      <c r="Q185" s="66" t="s">
        <v>449</v>
      </c>
    </row>
    <row r="186" customFormat="false" ht="15" hidden="false" customHeight="false" outlineLevel="0" collapsed="false">
      <c r="A186" s="76" t="s">
        <v>189</v>
      </c>
      <c r="B186" s="76" t="s">
        <v>270</v>
      </c>
      <c r="C186" s="77" t="n">
        <v>2022</v>
      </c>
      <c r="D186" s="77" t="n">
        <v>2</v>
      </c>
      <c r="E186" s="78" t="n">
        <v>44742</v>
      </c>
      <c r="F186" s="76" t="s">
        <v>236</v>
      </c>
      <c r="G186" s="76" t="s">
        <v>237</v>
      </c>
      <c r="H186" s="76" t="s">
        <v>238</v>
      </c>
      <c r="I186" s="79" t="n">
        <v>500.972</v>
      </c>
      <c r="J186" s="79" t="n">
        <v>206.526</v>
      </c>
      <c r="K186" s="80" t="n">
        <v>1.9</v>
      </c>
      <c r="L186" s="79" t="n">
        <v>45.841</v>
      </c>
      <c r="M186" s="79" t="n">
        <v>1353.319</v>
      </c>
      <c r="N186" s="80"/>
      <c r="O186" s="80" t="n">
        <v>64.5699996948242</v>
      </c>
      <c r="P186" s="47" t="n">
        <v>17</v>
      </c>
      <c r="Q186" s="66" t="s">
        <v>450</v>
      </c>
    </row>
    <row r="187" customFormat="false" ht="15" hidden="false" customHeight="false" outlineLevel="0" collapsed="false">
      <c r="A187" s="76" t="s">
        <v>189</v>
      </c>
      <c r="B187" s="76" t="s">
        <v>272</v>
      </c>
      <c r="C187" s="77" t="n">
        <v>2022</v>
      </c>
      <c r="D187" s="77" t="n">
        <v>1</v>
      </c>
      <c r="E187" s="78" t="n">
        <v>44651</v>
      </c>
      <c r="F187" s="76" t="s">
        <v>236</v>
      </c>
      <c r="G187" s="76" t="s">
        <v>237</v>
      </c>
      <c r="H187" s="76" t="s">
        <v>238</v>
      </c>
      <c r="I187" s="79" t="n">
        <v>482.123</v>
      </c>
      <c r="J187" s="79" t="n">
        <v>196.697</v>
      </c>
      <c r="K187" s="80" t="n">
        <v>1.75</v>
      </c>
      <c r="L187" s="79" t="n">
        <v>45.844</v>
      </c>
      <c r="M187" s="79" t="n">
        <v>1297.503</v>
      </c>
      <c r="N187" s="80"/>
      <c r="O187" s="80" t="n">
        <v>86.9899978637695</v>
      </c>
      <c r="P187" s="47" t="n">
        <v>18</v>
      </c>
      <c r="Q187" s="66" t="s">
        <v>451</v>
      </c>
    </row>
    <row r="188" customFormat="false" ht="15" hidden="false" customHeight="false" outlineLevel="0" collapsed="false">
      <c r="A188" s="76" t="s">
        <v>189</v>
      </c>
      <c r="B188" s="76" t="s">
        <v>274</v>
      </c>
      <c r="C188" s="77" t="n">
        <v>2021</v>
      </c>
      <c r="D188" s="77" t="n">
        <v>4</v>
      </c>
      <c r="E188" s="78" t="n">
        <v>44561</v>
      </c>
      <c r="F188" s="76" t="s">
        <v>236</v>
      </c>
      <c r="G188" s="76" t="s">
        <v>237</v>
      </c>
      <c r="H188" s="76" t="s">
        <v>238</v>
      </c>
      <c r="I188" s="79" t="n">
        <v>480.171</v>
      </c>
      <c r="J188" s="79" t="n">
        <v>190.691</v>
      </c>
      <c r="K188" s="80" t="n">
        <v>1.6</v>
      </c>
      <c r="L188" s="79"/>
      <c r="M188" s="79" t="n">
        <v>1237.242</v>
      </c>
      <c r="N188" s="80"/>
      <c r="O188" s="80" t="n">
        <v>109.809997558594</v>
      </c>
      <c r="P188" s="47" t="n">
        <v>19</v>
      </c>
      <c r="Q188" s="66" t="s">
        <v>452</v>
      </c>
    </row>
    <row r="189" customFormat="false" ht="15" hidden="false" customHeight="false" outlineLevel="0" collapsed="false">
      <c r="A189" s="76" t="s">
        <v>189</v>
      </c>
      <c r="B189" s="76" t="s">
        <v>276</v>
      </c>
      <c r="C189" s="77" t="n">
        <v>2021</v>
      </c>
      <c r="D189" s="77" t="n">
        <v>3</v>
      </c>
      <c r="E189" s="78" t="n">
        <v>44469</v>
      </c>
      <c r="F189" s="76" t="s">
        <v>236</v>
      </c>
      <c r="G189" s="76" t="s">
        <v>237</v>
      </c>
      <c r="H189" s="76" t="s">
        <v>238</v>
      </c>
      <c r="I189" s="79" t="n">
        <v>471.422</v>
      </c>
      <c r="J189" s="79" t="n">
        <v>181.231</v>
      </c>
      <c r="K189" s="80" t="n">
        <v>1.47</v>
      </c>
      <c r="L189" s="79" t="n">
        <v>45.642</v>
      </c>
      <c r="M189" s="79" t="n">
        <v>1156.063</v>
      </c>
      <c r="N189" s="80"/>
      <c r="O189" s="80" t="n">
        <v>90.5899963378906</v>
      </c>
      <c r="P189" s="47" t="n">
        <v>20</v>
      </c>
      <c r="Q189" s="66" t="s">
        <v>453</v>
      </c>
    </row>
    <row r="190" customFormat="false" ht="15" hidden="false" customHeight="false" outlineLevel="0" collapsed="false">
      <c r="A190" s="76" t="s">
        <v>189</v>
      </c>
      <c r="B190" s="76" t="s">
        <v>278</v>
      </c>
      <c r="C190" s="77" t="n">
        <v>2021</v>
      </c>
      <c r="D190" s="77" t="n">
        <v>2</v>
      </c>
      <c r="E190" s="78" t="n">
        <v>44377</v>
      </c>
      <c r="F190" s="76" t="s">
        <v>236</v>
      </c>
      <c r="G190" s="76" t="s">
        <v>237</v>
      </c>
      <c r="H190" s="76" t="s">
        <v>238</v>
      </c>
      <c r="I190" s="79" t="n">
        <v>440.448</v>
      </c>
      <c r="J190" s="79" t="n">
        <v>159.802</v>
      </c>
      <c r="K190" s="80" t="n">
        <v>1.2</v>
      </c>
      <c r="L190" s="79" t="n">
        <v>45.38</v>
      </c>
      <c r="M190" s="79" t="n">
        <v>1082.584</v>
      </c>
      <c r="N190" s="80"/>
      <c r="O190" s="80" t="n">
        <v>79.7699966430664</v>
      </c>
      <c r="P190" s="47" t="n">
        <v>21</v>
      </c>
      <c r="Q190" s="66" t="s">
        <v>454</v>
      </c>
    </row>
    <row r="191" customFormat="false" ht="15" hidden="false" customHeight="false" outlineLevel="0" collapsed="false">
      <c r="A191" s="76" t="s">
        <v>189</v>
      </c>
      <c r="B191" s="76" t="s">
        <v>280</v>
      </c>
      <c r="C191" s="77" t="n">
        <v>2021</v>
      </c>
      <c r="D191" s="77" t="n">
        <v>1</v>
      </c>
      <c r="E191" s="78" t="n">
        <v>44286</v>
      </c>
      <c r="F191" s="76" t="s">
        <v>236</v>
      </c>
      <c r="G191" s="76" t="s">
        <v>237</v>
      </c>
      <c r="H191" s="76" t="s">
        <v>238</v>
      </c>
      <c r="I191" s="79" t="n">
        <v>413.121</v>
      </c>
      <c r="J191" s="79" t="n">
        <v>138.636</v>
      </c>
      <c r="K191" s="80" t="n">
        <v>0.93</v>
      </c>
      <c r="L191" s="79" t="n">
        <v>45.243</v>
      </c>
      <c r="M191" s="79" t="n">
        <v>1002.569</v>
      </c>
      <c r="N191" s="80"/>
      <c r="O191" s="80" t="n">
        <v>79.8399963378906</v>
      </c>
      <c r="P191" s="47" t="n">
        <v>22</v>
      </c>
      <c r="Q191" s="66" t="s">
        <v>455</v>
      </c>
    </row>
    <row r="192" customFormat="false" ht="15" hidden="false" customHeight="false" outlineLevel="0" collapsed="false">
      <c r="A192" s="76" t="s">
        <v>189</v>
      </c>
      <c r="B192" s="76" t="s">
        <v>282</v>
      </c>
      <c r="C192" s="77" t="n">
        <v>2020</v>
      </c>
      <c r="D192" s="77" t="n">
        <v>4</v>
      </c>
      <c r="E192" s="78" t="n">
        <v>44196</v>
      </c>
      <c r="F192" s="76" t="s">
        <v>236</v>
      </c>
      <c r="G192" s="76" t="s">
        <v>237</v>
      </c>
      <c r="H192" s="76" t="s">
        <v>238</v>
      </c>
      <c r="I192" s="79" t="n">
        <v>350.37</v>
      </c>
      <c r="J192" s="79" t="n">
        <v>122.697</v>
      </c>
      <c r="K192" s="80" t="n">
        <v>0.74</v>
      </c>
      <c r="L192" s="79"/>
      <c r="M192" s="79" t="n">
        <v>963.82</v>
      </c>
      <c r="N192" s="80"/>
      <c r="O192" s="80" t="n">
        <v>70.5</v>
      </c>
      <c r="P192" s="47" t="n">
        <v>23</v>
      </c>
      <c r="Q192" s="66" t="s">
        <v>456</v>
      </c>
    </row>
    <row r="193" customFormat="false" ht="15" hidden="false" customHeight="false" outlineLevel="0" collapsed="false">
      <c r="A193" s="76" t="s">
        <v>189</v>
      </c>
      <c r="B193" s="76" t="s">
        <v>284</v>
      </c>
      <c r="C193" s="77" t="n">
        <v>2020</v>
      </c>
      <c r="D193" s="77" t="n">
        <v>3</v>
      </c>
      <c r="E193" s="78" t="n">
        <v>44104</v>
      </c>
      <c r="F193" s="76" t="s">
        <v>236</v>
      </c>
      <c r="G193" s="76" t="s">
        <v>237</v>
      </c>
      <c r="H193" s="76" t="s">
        <v>238</v>
      </c>
      <c r="I193" s="79" t="n">
        <v>309.459</v>
      </c>
      <c r="J193" s="79" t="n">
        <v>111.09</v>
      </c>
      <c r="K193" s="80" t="n">
        <v>0.62</v>
      </c>
      <c r="L193" s="79" t="n">
        <v>52.729</v>
      </c>
      <c r="M193" s="79" t="n">
        <v>1198.573</v>
      </c>
      <c r="N193" s="80"/>
      <c r="O193" s="80" t="n">
        <v>56.4500007629395</v>
      </c>
      <c r="P193" s="47" t="n">
        <v>24</v>
      </c>
      <c r="Q193" s="66" t="s">
        <v>457</v>
      </c>
    </row>
    <row r="194" customFormat="false" ht="15" hidden="false" customHeight="false" outlineLevel="0" collapsed="false">
      <c r="A194" s="76" t="s">
        <v>216</v>
      </c>
      <c r="B194" s="76" t="s">
        <v>235</v>
      </c>
      <c r="C194" s="77" t="n">
        <v>2026</v>
      </c>
      <c r="D194" s="77" t="n">
        <v>2</v>
      </c>
      <c r="E194" s="78" t="n">
        <v>46203</v>
      </c>
      <c r="F194" s="76" t="s">
        <v>236</v>
      </c>
      <c r="G194" s="76" t="s">
        <v>237</v>
      </c>
      <c r="H194" s="76" t="s">
        <v>238</v>
      </c>
      <c r="I194" s="79" t="n">
        <v>2047.9</v>
      </c>
      <c r="J194" s="79" t="n">
        <v>1643.2</v>
      </c>
      <c r="K194" s="80" t="n">
        <v>0.9</v>
      </c>
      <c r="L194" s="79" t="n">
        <v>739.9</v>
      </c>
      <c r="M194" s="79" t="n">
        <v>1551.1</v>
      </c>
      <c r="N194" s="80"/>
      <c r="O194" s="80" t="n">
        <v>153.619995117188</v>
      </c>
      <c r="P194" s="47" t="n">
        <v>1</v>
      </c>
      <c r="Q194" s="66" t="s">
        <v>458</v>
      </c>
    </row>
    <row r="195" customFormat="false" ht="15" hidden="false" customHeight="false" outlineLevel="0" collapsed="false">
      <c r="A195" s="76" t="s">
        <v>216</v>
      </c>
      <c r="B195" s="76" t="s">
        <v>240</v>
      </c>
      <c r="C195" s="77" t="n">
        <v>2026</v>
      </c>
      <c r="D195" s="77" t="n">
        <v>1</v>
      </c>
      <c r="E195" s="78" t="n">
        <v>46112</v>
      </c>
      <c r="F195" s="76" t="s">
        <v>236</v>
      </c>
      <c r="G195" s="76" t="s">
        <v>237</v>
      </c>
      <c r="H195" s="76" t="s">
        <v>238</v>
      </c>
      <c r="I195" s="79" t="n">
        <v>1849.6</v>
      </c>
      <c r="J195" s="79" t="n">
        <v>1485.1</v>
      </c>
      <c r="K195" s="80" t="n">
        <v>0.82</v>
      </c>
      <c r="L195" s="79" t="n">
        <v>742.8</v>
      </c>
      <c r="M195" s="79" t="n">
        <v>989.7</v>
      </c>
      <c r="N195" s="80"/>
      <c r="O195" s="80" t="n">
        <v>81.7200012207031</v>
      </c>
      <c r="P195" s="47" t="n">
        <v>2</v>
      </c>
      <c r="Q195" s="66" t="s">
        <v>459</v>
      </c>
    </row>
    <row r="196" customFormat="false" ht="15" hidden="false" customHeight="false" outlineLevel="0" collapsed="false">
      <c r="A196" s="76" t="s">
        <v>216</v>
      </c>
      <c r="B196" s="76" t="s">
        <v>242</v>
      </c>
      <c r="C196" s="77" t="n">
        <v>2025</v>
      </c>
      <c r="D196" s="77" t="n">
        <v>4</v>
      </c>
      <c r="E196" s="78" t="n">
        <v>46022</v>
      </c>
      <c r="F196" s="76" t="s">
        <v>236</v>
      </c>
      <c r="G196" s="76" t="s">
        <v>237</v>
      </c>
      <c r="H196" s="76" t="s">
        <v>238</v>
      </c>
      <c r="I196" s="79" t="n">
        <v>1905</v>
      </c>
      <c r="J196" s="79" t="n">
        <v>1515.8</v>
      </c>
      <c r="K196" s="80" t="n">
        <v>0.81</v>
      </c>
      <c r="L196" s="79" t="n">
        <v>748</v>
      </c>
      <c r="M196" s="79" t="n">
        <v>1237.5</v>
      </c>
      <c r="N196" s="80"/>
      <c r="O196" s="80" t="n">
        <v>79.4100036621094</v>
      </c>
      <c r="P196" s="47" t="n">
        <v>3</v>
      </c>
      <c r="Q196" s="66" t="s">
        <v>460</v>
      </c>
    </row>
    <row r="197" customFormat="false" ht="15" hidden="false" customHeight="false" outlineLevel="0" collapsed="false">
      <c r="A197" s="76" t="s">
        <v>216</v>
      </c>
      <c r="B197" s="76" t="s">
        <v>244</v>
      </c>
      <c r="C197" s="77" t="n">
        <v>2025</v>
      </c>
      <c r="D197" s="77" t="n">
        <v>3</v>
      </c>
      <c r="E197" s="78" t="n">
        <v>45930</v>
      </c>
      <c r="F197" s="76" t="s">
        <v>236</v>
      </c>
      <c r="G197" s="76" t="s">
        <v>237</v>
      </c>
      <c r="H197" s="76" t="s">
        <v>238</v>
      </c>
      <c r="I197" s="79" t="n">
        <v>1724.9</v>
      </c>
      <c r="J197" s="79" t="n">
        <v>1393.2</v>
      </c>
      <c r="K197" s="80" t="n">
        <v>0.74</v>
      </c>
      <c r="L197" s="79" t="n">
        <v>761.2</v>
      </c>
      <c r="M197" s="79" t="n">
        <v>735.1</v>
      </c>
      <c r="N197" s="80"/>
      <c r="O197" s="80" t="n">
        <v>84.0800018310547</v>
      </c>
      <c r="P197" s="47" t="n">
        <v>4</v>
      </c>
      <c r="Q197" s="66" t="s">
        <v>461</v>
      </c>
    </row>
    <row r="198" customFormat="false" ht="15" hidden="false" customHeight="false" outlineLevel="0" collapsed="false">
      <c r="A198" s="76" t="s">
        <v>216</v>
      </c>
      <c r="B198" s="76" t="s">
        <v>246</v>
      </c>
      <c r="C198" s="77" t="n">
        <v>2025</v>
      </c>
      <c r="D198" s="77" t="n">
        <v>2</v>
      </c>
      <c r="E198" s="78" t="n">
        <v>45838</v>
      </c>
      <c r="F198" s="76" t="s">
        <v>236</v>
      </c>
      <c r="G198" s="76" t="s">
        <v>237</v>
      </c>
      <c r="H198" s="76" t="s">
        <v>238</v>
      </c>
      <c r="I198" s="79" t="n">
        <v>1630</v>
      </c>
      <c r="J198" s="79" t="n">
        <v>1315.1</v>
      </c>
      <c r="K198" s="80" t="n">
        <v>0.64</v>
      </c>
      <c r="L198" s="79" t="n">
        <v>772.7</v>
      </c>
      <c r="M198" s="79" t="n">
        <v>2060.4</v>
      </c>
      <c r="N198" s="80"/>
      <c r="O198" s="80" t="n">
        <v>105.720001220703</v>
      </c>
      <c r="P198" s="47" t="n">
        <v>5</v>
      </c>
      <c r="Q198" s="66" t="s">
        <v>462</v>
      </c>
    </row>
    <row r="199" customFormat="false" ht="15" hidden="false" customHeight="false" outlineLevel="0" collapsed="false">
      <c r="A199" s="76" t="s">
        <v>216</v>
      </c>
      <c r="B199" s="76" t="s">
        <v>248</v>
      </c>
      <c r="C199" s="77" t="n">
        <v>2025</v>
      </c>
      <c r="D199" s="77" t="n">
        <v>1</v>
      </c>
      <c r="E199" s="78" t="n">
        <v>45747</v>
      </c>
      <c r="F199" s="76" t="s">
        <v>236</v>
      </c>
      <c r="G199" s="76" t="s">
        <v>237</v>
      </c>
      <c r="H199" s="76" t="s">
        <v>238</v>
      </c>
      <c r="I199" s="79" t="n">
        <v>1539.7</v>
      </c>
      <c r="J199" s="79" t="n">
        <v>1246.6</v>
      </c>
      <c r="K199" s="80" t="n">
        <v>0.58</v>
      </c>
      <c r="L199" s="79" t="n">
        <v>773.475</v>
      </c>
      <c r="M199" s="79" t="n">
        <v>1962.9</v>
      </c>
      <c r="N199" s="80"/>
      <c r="O199" s="80" t="n">
        <v>96.2600021362305</v>
      </c>
      <c r="P199" s="47" t="n">
        <v>6</v>
      </c>
      <c r="Q199" s="66" t="s">
        <v>463</v>
      </c>
    </row>
    <row r="200" customFormat="false" ht="15" hidden="false" customHeight="false" outlineLevel="0" collapsed="false">
      <c r="A200" s="76" t="s">
        <v>216</v>
      </c>
      <c r="B200" s="76" t="s">
        <v>250</v>
      </c>
      <c r="C200" s="77" t="n">
        <v>2024</v>
      </c>
      <c r="D200" s="77" t="n">
        <v>4</v>
      </c>
      <c r="E200" s="78" t="n">
        <v>45657</v>
      </c>
      <c r="F200" s="76" t="s">
        <v>236</v>
      </c>
      <c r="G200" s="76" t="s">
        <v>237</v>
      </c>
      <c r="H200" s="76" t="s">
        <v>238</v>
      </c>
      <c r="I200" s="79" t="n">
        <v>1660.1</v>
      </c>
      <c r="J200" s="79" t="n">
        <v>1345.6</v>
      </c>
      <c r="K200" s="80" t="n">
        <v>0.74</v>
      </c>
      <c r="L200" s="79" t="n">
        <v>771.9</v>
      </c>
      <c r="M200" s="79" t="n">
        <v>1493.8</v>
      </c>
      <c r="N200" s="80"/>
      <c r="O200" s="80" t="n">
        <v>94.4800033569336</v>
      </c>
      <c r="P200" s="47" t="n">
        <v>7</v>
      </c>
      <c r="Q200" s="66" t="s">
        <v>464</v>
      </c>
    </row>
    <row r="201" customFormat="false" ht="15" hidden="false" customHeight="false" outlineLevel="0" collapsed="false">
      <c r="A201" s="76" t="s">
        <v>216</v>
      </c>
      <c r="B201" s="76" t="s">
        <v>252</v>
      </c>
      <c r="C201" s="77" t="n">
        <v>2024</v>
      </c>
      <c r="D201" s="77" t="n">
        <v>3</v>
      </c>
      <c r="E201" s="78" t="n">
        <v>45565</v>
      </c>
      <c r="F201" s="76" t="s">
        <v>236</v>
      </c>
      <c r="G201" s="76" t="s">
        <v>237</v>
      </c>
      <c r="H201" s="76" t="s">
        <v>238</v>
      </c>
      <c r="I201" s="79" t="n">
        <v>1508.1</v>
      </c>
      <c r="J201" s="79" t="n">
        <v>1244.7</v>
      </c>
      <c r="K201" s="80" t="n">
        <v>0.63</v>
      </c>
      <c r="L201" s="79" t="n">
        <v>771.175</v>
      </c>
      <c r="M201" s="79" t="n">
        <v>908.1</v>
      </c>
      <c r="N201" s="80"/>
      <c r="O201" s="80" t="n">
        <v>77.5500030517578</v>
      </c>
      <c r="P201" s="47" t="n">
        <v>8</v>
      </c>
      <c r="Q201" s="66" t="s">
        <v>465</v>
      </c>
    </row>
    <row r="202" customFormat="false" ht="15" hidden="false" customHeight="false" outlineLevel="0" collapsed="false">
      <c r="A202" s="76" t="s">
        <v>216</v>
      </c>
      <c r="B202" s="76" t="s">
        <v>254</v>
      </c>
      <c r="C202" s="77" t="n">
        <v>2024</v>
      </c>
      <c r="D202" s="77" t="n">
        <v>2</v>
      </c>
      <c r="E202" s="78" t="n">
        <v>45473</v>
      </c>
      <c r="F202" s="76" t="s">
        <v>236</v>
      </c>
      <c r="G202" s="76" t="s">
        <v>237</v>
      </c>
      <c r="H202" s="76" t="s">
        <v>238</v>
      </c>
      <c r="I202" s="79" t="n">
        <v>1434.3</v>
      </c>
      <c r="J202" s="79" t="n">
        <v>1159.3</v>
      </c>
      <c r="K202" s="80" t="n">
        <v>0.57</v>
      </c>
      <c r="L202" s="79" t="n">
        <v>775.95</v>
      </c>
      <c r="M202" s="79" t="n">
        <v>288.2</v>
      </c>
      <c r="N202" s="80"/>
      <c r="O202" s="80" t="n">
        <v>60.2700004577637</v>
      </c>
      <c r="P202" s="47" t="n">
        <v>9</v>
      </c>
      <c r="Q202" s="66" t="s">
        <v>466</v>
      </c>
    </row>
    <row r="203" customFormat="false" ht="15" hidden="false" customHeight="false" outlineLevel="0" collapsed="false">
      <c r="A203" s="76" t="s">
        <v>216</v>
      </c>
      <c r="B203" s="76" t="s">
        <v>256</v>
      </c>
      <c r="C203" s="77" t="n">
        <v>2024</v>
      </c>
      <c r="D203" s="77" t="n">
        <v>1</v>
      </c>
      <c r="E203" s="78" t="n">
        <v>45382</v>
      </c>
      <c r="F203" s="76" t="s">
        <v>236</v>
      </c>
      <c r="G203" s="76" t="s">
        <v>237</v>
      </c>
      <c r="H203" s="76" t="s">
        <v>238</v>
      </c>
      <c r="I203" s="79" t="n">
        <v>1353.3</v>
      </c>
      <c r="J203" s="79" t="n">
        <v>1048.6</v>
      </c>
      <c r="K203" s="80" t="n">
        <v>0.43</v>
      </c>
      <c r="L203" s="79" t="n">
        <v>782.475</v>
      </c>
      <c r="M203" s="79" t="n">
        <v>-137.5</v>
      </c>
      <c r="N203" s="80"/>
      <c r="O203" s="80" t="n">
        <v>68.3099975585938</v>
      </c>
      <c r="P203" s="47" t="n">
        <v>10</v>
      </c>
      <c r="Q203" s="66" t="s">
        <v>467</v>
      </c>
    </row>
    <row r="204" customFormat="false" ht="15" hidden="false" customHeight="false" outlineLevel="0" collapsed="false">
      <c r="A204" s="76" t="s">
        <v>216</v>
      </c>
      <c r="B204" s="76" t="s">
        <v>258</v>
      </c>
      <c r="C204" s="77" t="n">
        <v>2023</v>
      </c>
      <c r="D204" s="77" t="n">
        <v>4</v>
      </c>
      <c r="E204" s="78" t="n">
        <v>45291</v>
      </c>
      <c r="F204" s="76" t="s">
        <v>236</v>
      </c>
      <c r="G204" s="76" t="s">
        <v>237</v>
      </c>
      <c r="H204" s="76" t="s">
        <v>238</v>
      </c>
      <c r="I204" s="79" t="n">
        <v>1415.1</v>
      </c>
      <c r="J204" s="79" t="n">
        <v>1099.2</v>
      </c>
      <c r="K204" s="80" t="n">
        <v>0.51</v>
      </c>
      <c r="L204" s="79"/>
      <c r="M204" s="79" t="n">
        <v>-463.4</v>
      </c>
      <c r="N204" s="80"/>
      <c r="O204" s="80" t="n">
        <v>58.5299987792969</v>
      </c>
      <c r="P204" s="47" t="n">
        <v>11</v>
      </c>
      <c r="Q204" s="66" t="s">
        <v>468</v>
      </c>
    </row>
    <row r="205" customFormat="false" ht="15" hidden="false" customHeight="false" outlineLevel="0" collapsed="false">
      <c r="A205" s="76" t="s">
        <v>216</v>
      </c>
      <c r="B205" s="76" t="s">
        <v>260</v>
      </c>
      <c r="C205" s="77" t="n">
        <v>2023</v>
      </c>
      <c r="D205" s="77" t="n">
        <v>3</v>
      </c>
      <c r="E205" s="78" t="n">
        <v>45199</v>
      </c>
      <c r="F205" s="76" t="s">
        <v>236</v>
      </c>
      <c r="G205" s="76" t="s">
        <v>237</v>
      </c>
      <c r="H205" s="76" t="s">
        <v>238</v>
      </c>
      <c r="I205" s="79" t="n">
        <v>1334.6</v>
      </c>
      <c r="J205" s="79" t="n">
        <v>1016.9</v>
      </c>
      <c r="K205" s="80" t="n">
        <v>0.41</v>
      </c>
      <c r="L205" s="79" t="n">
        <v>793.075</v>
      </c>
      <c r="M205" s="79" t="n">
        <v>74.1</v>
      </c>
      <c r="N205" s="80"/>
      <c r="O205" s="80" t="n">
        <v>58.6800003051758</v>
      </c>
      <c r="P205" s="47" t="n">
        <v>12</v>
      </c>
      <c r="Q205" s="66" t="s">
        <v>469</v>
      </c>
    </row>
    <row r="206" customFormat="false" ht="15" hidden="false" customHeight="false" outlineLevel="0" collapsed="false">
      <c r="A206" s="76" t="s">
        <v>216</v>
      </c>
      <c r="B206" s="76" t="s">
        <v>262</v>
      </c>
      <c r="C206" s="77" t="n">
        <v>2023</v>
      </c>
      <c r="D206" s="77" t="n">
        <v>2</v>
      </c>
      <c r="E206" s="78" t="n">
        <v>45107</v>
      </c>
      <c r="F206" s="76" t="s">
        <v>236</v>
      </c>
      <c r="G206" s="76" t="s">
        <v>237</v>
      </c>
      <c r="H206" s="76" t="s">
        <v>238</v>
      </c>
      <c r="I206" s="79" t="n">
        <v>1292.8</v>
      </c>
      <c r="J206" s="79" t="n">
        <v>997</v>
      </c>
      <c r="K206" s="80" t="n">
        <v>0.38</v>
      </c>
      <c r="L206" s="79" t="n">
        <v>795.9</v>
      </c>
      <c r="M206" s="79" t="n">
        <v>321.2</v>
      </c>
      <c r="N206" s="80"/>
      <c r="O206" s="80" t="n">
        <v>75.5899963378906</v>
      </c>
      <c r="P206" s="47" t="n">
        <v>13</v>
      </c>
      <c r="Q206" s="66" t="s">
        <v>470</v>
      </c>
    </row>
    <row r="207" customFormat="false" ht="15" hidden="false" customHeight="false" outlineLevel="0" collapsed="false">
      <c r="A207" s="76" t="s">
        <v>216</v>
      </c>
      <c r="B207" s="76" t="s">
        <v>264</v>
      </c>
      <c r="C207" s="77" t="n">
        <v>2023</v>
      </c>
      <c r="D207" s="77" t="n">
        <v>1</v>
      </c>
      <c r="E207" s="78" t="n">
        <v>45016</v>
      </c>
      <c r="F207" s="76" t="s">
        <v>236</v>
      </c>
      <c r="G207" s="76" t="s">
        <v>237</v>
      </c>
      <c r="H207" s="76" t="s">
        <v>238</v>
      </c>
      <c r="I207" s="79" t="n">
        <v>1262.3</v>
      </c>
      <c r="J207" s="79" t="n">
        <v>954.5</v>
      </c>
      <c r="K207" s="80" t="n">
        <v>0.34</v>
      </c>
      <c r="L207" s="79" t="n">
        <v>793.4</v>
      </c>
      <c r="M207" s="79" t="n">
        <v>11.4</v>
      </c>
      <c r="N207" s="80"/>
      <c r="O207" s="80" t="n">
        <v>66.4599990844727</v>
      </c>
      <c r="P207" s="47" t="n">
        <v>14</v>
      </c>
      <c r="Q207" s="66" t="s">
        <v>471</v>
      </c>
    </row>
    <row r="208" customFormat="false" ht="15" hidden="false" customHeight="false" outlineLevel="0" collapsed="false">
      <c r="A208" s="76" t="s">
        <v>216</v>
      </c>
      <c r="B208" s="76" t="s">
        <v>266</v>
      </c>
      <c r="C208" s="77" t="n">
        <v>2022</v>
      </c>
      <c r="D208" s="77" t="n">
        <v>4</v>
      </c>
      <c r="E208" s="78" t="n">
        <v>44926</v>
      </c>
      <c r="F208" s="76" t="s">
        <v>236</v>
      </c>
      <c r="G208" s="76" t="s">
        <v>237</v>
      </c>
      <c r="H208" s="76" t="s">
        <v>238</v>
      </c>
      <c r="I208" s="79" t="n">
        <v>1283</v>
      </c>
      <c r="J208" s="79" t="n">
        <v>985.7</v>
      </c>
      <c r="K208" s="80" t="n">
        <v>0.44</v>
      </c>
      <c r="L208" s="79"/>
      <c r="M208" s="79" t="n">
        <v>-281.6</v>
      </c>
      <c r="N208" s="80"/>
      <c r="O208" s="80" t="n">
        <v>48.8899993896484</v>
      </c>
      <c r="P208" s="47" t="n">
        <v>15</v>
      </c>
      <c r="Q208" s="66" t="s">
        <v>472</v>
      </c>
    </row>
    <row r="209" customFormat="false" ht="15" hidden="false" customHeight="false" outlineLevel="0" collapsed="false">
      <c r="A209" s="76" t="s">
        <v>216</v>
      </c>
      <c r="B209" s="76" t="s">
        <v>268</v>
      </c>
      <c r="C209" s="77" t="n">
        <v>2022</v>
      </c>
      <c r="D209" s="77" t="n">
        <v>3</v>
      </c>
      <c r="E209" s="78" t="n">
        <v>44834</v>
      </c>
      <c r="F209" s="76" t="s">
        <v>236</v>
      </c>
      <c r="G209" s="76" t="s">
        <v>237</v>
      </c>
      <c r="H209" s="76" t="s">
        <v>238</v>
      </c>
      <c r="I209" s="79" t="n">
        <v>1149.5</v>
      </c>
      <c r="J209" s="79" t="n">
        <v>866.5</v>
      </c>
      <c r="K209" s="80" t="n">
        <v>0.33</v>
      </c>
      <c r="L209" s="79" t="n">
        <v>798.6</v>
      </c>
      <c r="M209" s="79" t="n">
        <v>-634.7</v>
      </c>
      <c r="N209" s="80"/>
      <c r="O209" s="80" t="n">
        <v>49.1300010681152</v>
      </c>
      <c r="P209" s="47" t="n">
        <v>16</v>
      </c>
      <c r="Q209" s="66" t="s">
        <v>473</v>
      </c>
    </row>
    <row r="210" customFormat="false" ht="15" hidden="false" customHeight="false" outlineLevel="0" collapsed="false">
      <c r="A210" s="76" t="s">
        <v>216</v>
      </c>
      <c r="B210" s="76" t="s">
        <v>270</v>
      </c>
      <c r="C210" s="77" t="n">
        <v>2022</v>
      </c>
      <c r="D210" s="77" t="n">
        <v>2</v>
      </c>
      <c r="E210" s="78" t="n">
        <v>44742</v>
      </c>
      <c r="F210" s="76" t="s">
        <v>236</v>
      </c>
      <c r="G210" s="76" t="s">
        <v>237</v>
      </c>
      <c r="H210" s="76" t="s">
        <v>238</v>
      </c>
      <c r="I210" s="79" t="n">
        <v>1030.1</v>
      </c>
      <c r="J210" s="79" t="n">
        <v>779.3</v>
      </c>
      <c r="K210" s="80" t="n">
        <v>0.24</v>
      </c>
      <c r="L210" s="79" t="n">
        <v>810.1</v>
      </c>
      <c r="M210" s="79" t="n">
        <v>-392.9</v>
      </c>
      <c r="N210" s="80"/>
      <c r="O210" s="80" t="n">
        <v>56.5800018310547</v>
      </c>
      <c r="P210" s="47" t="n">
        <v>17</v>
      </c>
      <c r="Q210" s="66" t="s">
        <v>474</v>
      </c>
    </row>
    <row r="211" customFormat="false" ht="15" hidden="false" customHeight="false" outlineLevel="0" collapsed="false">
      <c r="A211" s="76" t="s">
        <v>216</v>
      </c>
      <c r="B211" s="76" t="s">
        <v>272</v>
      </c>
      <c r="C211" s="77" t="n">
        <v>2022</v>
      </c>
      <c r="D211" s="77" t="n">
        <v>1</v>
      </c>
      <c r="E211" s="78" t="n">
        <v>44651</v>
      </c>
      <c r="F211" s="76" t="s">
        <v>236</v>
      </c>
      <c r="G211" s="76" t="s">
        <v>237</v>
      </c>
      <c r="H211" s="76" t="s">
        <v>238</v>
      </c>
      <c r="I211" s="79" t="n">
        <v>954.8</v>
      </c>
      <c r="J211" s="79" t="n">
        <v>701</v>
      </c>
      <c r="K211" s="80" t="n">
        <v>0.19</v>
      </c>
      <c r="L211" s="79" t="n">
        <v>820.8</v>
      </c>
      <c r="M211" s="79" t="n">
        <v>217.7</v>
      </c>
      <c r="N211" s="80"/>
      <c r="O211" s="80" t="n">
        <v>68.3479995727539</v>
      </c>
      <c r="P211" s="47" t="n">
        <v>18</v>
      </c>
      <c r="Q211" s="66" t="s">
        <v>475</v>
      </c>
    </row>
    <row r="212" customFormat="false" ht="15" hidden="false" customHeight="false" outlineLevel="0" collapsed="false">
      <c r="A212" s="76" t="s">
        <v>216</v>
      </c>
      <c r="B212" s="76" t="s">
        <v>274</v>
      </c>
      <c r="C212" s="77" t="n">
        <v>2021</v>
      </c>
      <c r="D212" s="77" t="n">
        <v>4</v>
      </c>
      <c r="E212" s="78" t="n">
        <v>44561</v>
      </c>
      <c r="F212" s="76" t="s">
        <v>236</v>
      </c>
      <c r="G212" s="76" t="s">
        <v>237</v>
      </c>
      <c r="H212" s="76" t="s">
        <v>238</v>
      </c>
      <c r="I212" s="79" t="n">
        <v>963.6</v>
      </c>
      <c r="J212" s="79" t="n">
        <v>735.3</v>
      </c>
      <c r="K212" s="80" t="n">
        <v>0.25</v>
      </c>
      <c r="L212" s="79"/>
      <c r="M212" s="79" t="n">
        <v>781.7</v>
      </c>
      <c r="N212" s="80"/>
      <c r="O212" s="80" t="n">
        <v>71.879997253418</v>
      </c>
      <c r="P212" s="47" t="n">
        <v>19</v>
      </c>
      <c r="Q212" s="66" t="s">
        <v>476</v>
      </c>
    </row>
    <row r="213" customFormat="false" ht="15" hidden="false" customHeight="false" outlineLevel="0" collapsed="false">
      <c r="A213" s="76" t="s">
        <v>216</v>
      </c>
      <c r="B213" s="76" t="s">
        <v>276</v>
      </c>
      <c r="C213" s="77" t="n">
        <v>2021</v>
      </c>
      <c r="D213" s="77" t="n">
        <v>3</v>
      </c>
      <c r="E213" s="78" t="n">
        <v>44469</v>
      </c>
      <c r="F213" s="76" t="s">
        <v>236</v>
      </c>
      <c r="G213" s="76" t="s">
        <v>237</v>
      </c>
      <c r="H213" s="76" t="s">
        <v>238</v>
      </c>
      <c r="I213" s="79" t="n">
        <v>867.2</v>
      </c>
      <c r="J213" s="79" t="n">
        <v>656</v>
      </c>
      <c r="K213" s="80" t="n">
        <v>0.2</v>
      </c>
      <c r="L213" s="79" t="n">
        <v>838.6</v>
      </c>
      <c r="M213" s="79" t="n">
        <v>1118.1</v>
      </c>
      <c r="N213" s="80"/>
      <c r="O213" s="80" t="n">
        <v>58.4080009460449</v>
      </c>
      <c r="P213" s="47" t="n">
        <v>20</v>
      </c>
      <c r="Q213" s="66" t="s">
        <v>477</v>
      </c>
    </row>
    <row r="214" customFormat="false" ht="15" hidden="false" customHeight="false" outlineLevel="0" collapsed="false">
      <c r="A214" s="76" t="s">
        <v>216</v>
      </c>
      <c r="B214" s="76" t="s">
        <v>278</v>
      </c>
      <c r="C214" s="77" t="n">
        <v>2021</v>
      </c>
      <c r="D214" s="77" t="n">
        <v>2</v>
      </c>
      <c r="E214" s="78" t="n">
        <v>44377</v>
      </c>
      <c r="F214" s="76" t="s">
        <v>236</v>
      </c>
      <c r="G214" s="76" t="s">
        <v>237</v>
      </c>
      <c r="H214" s="76" t="s">
        <v>238</v>
      </c>
      <c r="I214" s="79" t="n">
        <v>801.1</v>
      </c>
      <c r="J214" s="79" t="n">
        <v>614.2</v>
      </c>
      <c r="K214" s="80" t="n">
        <v>0.19</v>
      </c>
      <c r="L214" s="79" t="n">
        <v>835.4</v>
      </c>
      <c r="M214" s="79" t="n">
        <v>1050.2</v>
      </c>
      <c r="N214" s="80"/>
      <c r="O214" s="80" t="n">
        <v>47.6380004882813</v>
      </c>
      <c r="P214" s="47" t="n">
        <v>21</v>
      </c>
      <c r="Q214" s="66" t="s">
        <v>478</v>
      </c>
    </row>
    <row r="215" customFormat="false" ht="15" hidden="false" customHeight="false" outlineLevel="0" collapsed="false">
      <c r="A215" s="76" t="s">
        <v>216</v>
      </c>
      <c r="B215" s="76" t="s">
        <v>280</v>
      </c>
      <c r="C215" s="77" t="n">
        <v>2021</v>
      </c>
      <c r="D215" s="77" t="n">
        <v>1</v>
      </c>
      <c r="E215" s="78" t="n">
        <v>44286</v>
      </c>
      <c r="F215" s="76" t="s">
        <v>236</v>
      </c>
      <c r="G215" s="76" t="s">
        <v>237</v>
      </c>
      <c r="H215" s="76" t="s">
        <v>238</v>
      </c>
      <c r="I215" s="79" t="n">
        <v>710.3</v>
      </c>
      <c r="J215" s="79" t="n">
        <v>553.7</v>
      </c>
      <c r="K215" s="80" t="n">
        <v>0.16</v>
      </c>
      <c r="L215" s="79" t="n">
        <v>166.4</v>
      </c>
      <c r="M215" s="79" t="n">
        <v>980.8</v>
      </c>
      <c r="N215" s="80"/>
      <c r="O215" s="80" t="n">
        <v>36.8839988708496</v>
      </c>
      <c r="P215" s="47" t="n">
        <v>22</v>
      </c>
      <c r="Q215" s="66" t="s">
        <v>479</v>
      </c>
    </row>
    <row r="216" customFormat="false" ht="15" hidden="false" customHeight="false" outlineLevel="0" collapsed="false">
      <c r="A216" s="76" t="s">
        <v>216</v>
      </c>
      <c r="B216" s="76" t="s">
        <v>282</v>
      </c>
      <c r="C216" s="77" t="n">
        <v>2020</v>
      </c>
      <c r="D216" s="77" t="n">
        <v>4</v>
      </c>
      <c r="E216" s="78" t="n">
        <v>44196</v>
      </c>
      <c r="F216" s="76" t="s">
        <v>236</v>
      </c>
      <c r="G216" s="76" t="s">
        <v>237</v>
      </c>
      <c r="H216" s="76" t="s">
        <v>238</v>
      </c>
      <c r="I216" s="79" t="n">
        <v>748</v>
      </c>
      <c r="J216" s="79" t="n">
        <v>581</v>
      </c>
      <c r="K216" s="80" t="n">
        <v>0.21</v>
      </c>
      <c r="L216" s="79"/>
      <c r="M216" s="79" t="n">
        <v>856</v>
      </c>
      <c r="N216" s="80"/>
      <c r="O216" s="80" t="n">
        <v>29.7059993743897</v>
      </c>
      <c r="P216" s="47" t="n">
        <v>23</v>
      </c>
      <c r="Q216" s="66" t="s">
        <v>480</v>
      </c>
    </row>
    <row r="217" customFormat="false" ht="15" hidden="false" customHeight="false" outlineLevel="0" collapsed="false">
      <c r="A217" s="76" t="s">
        <v>216</v>
      </c>
      <c r="B217" s="76" t="s">
        <v>284</v>
      </c>
      <c r="C217" s="77" t="n">
        <v>2020</v>
      </c>
      <c r="D217" s="77" t="n">
        <v>3</v>
      </c>
      <c r="E217" s="78" t="n">
        <v>44104</v>
      </c>
      <c r="F217" s="76" t="s">
        <v>236</v>
      </c>
      <c r="G217" s="76" t="s">
        <v>237</v>
      </c>
      <c r="H217" s="76" t="s">
        <v>238</v>
      </c>
      <c r="I217" s="79" t="n">
        <v>651.1</v>
      </c>
      <c r="J217" s="79" t="n">
        <v>511.9</v>
      </c>
      <c r="K217" s="80" t="n">
        <v>0.18</v>
      </c>
      <c r="L217" s="79" t="n">
        <v>165.6</v>
      </c>
      <c r="M217" s="79" t="n">
        <v>713.2</v>
      </c>
      <c r="N217" s="80"/>
      <c r="O217" s="80" t="n">
        <v>23.5620002746582</v>
      </c>
      <c r="P217" s="47" t="n">
        <v>24</v>
      </c>
      <c r="Q217" s="66" t="s">
        <v>481</v>
      </c>
    </row>
    <row r="218" customFormat="false" ht="15" hidden="false" customHeight="false" outlineLevel="0" collapsed="false">
      <c r="A218" s="76" t="s">
        <v>202</v>
      </c>
      <c r="B218" s="76" t="s">
        <v>235</v>
      </c>
      <c r="C218" s="77" t="n">
        <v>2026</v>
      </c>
      <c r="D218" s="77" t="n">
        <v>2</v>
      </c>
      <c r="E218" s="78" t="n">
        <v>46203</v>
      </c>
      <c r="F218" s="76" t="s">
        <v>236</v>
      </c>
      <c r="G218" s="76" t="s">
        <v>237</v>
      </c>
      <c r="H218" s="76" t="s">
        <v>238</v>
      </c>
      <c r="I218" s="79" t="n">
        <v>119796</v>
      </c>
      <c r="J218" s="79" t="n">
        <v>73853</v>
      </c>
      <c r="K218" s="80" t="n">
        <v>9.11</v>
      </c>
      <c r="L218" s="79" t="n">
        <v>12309</v>
      </c>
      <c r="M218" s="79" t="n">
        <v>640480</v>
      </c>
      <c r="N218" s="80" t="n">
        <v>0.22</v>
      </c>
      <c r="O218" s="80" t="n">
        <v>353.329986572266</v>
      </c>
      <c r="P218" s="47" t="n">
        <v>1</v>
      </c>
      <c r="Q218" s="66" t="s">
        <v>482</v>
      </c>
    </row>
    <row r="219" customFormat="false" ht="15" hidden="false" customHeight="false" outlineLevel="0" collapsed="false">
      <c r="A219" s="76" t="s">
        <v>202</v>
      </c>
      <c r="B219" s="76" t="s">
        <v>240</v>
      </c>
      <c r="C219" s="77" t="n">
        <v>2026</v>
      </c>
      <c r="D219" s="77" t="n">
        <v>1</v>
      </c>
      <c r="E219" s="78" t="n">
        <v>46112</v>
      </c>
      <c r="F219" s="76" t="s">
        <v>236</v>
      </c>
      <c r="G219" s="76" t="s">
        <v>237</v>
      </c>
      <c r="H219" s="76" t="s">
        <v>238</v>
      </c>
      <c r="I219" s="79" t="n">
        <v>109896</v>
      </c>
      <c r="J219" s="79" t="n">
        <v>68625</v>
      </c>
      <c r="K219" s="80" t="n">
        <v>5.11</v>
      </c>
      <c r="L219" s="79" t="n">
        <v>12238</v>
      </c>
      <c r="M219" s="79" t="n">
        <v>478746</v>
      </c>
      <c r="N219" s="80" t="n">
        <v>0.21</v>
      </c>
      <c r="O219" s="80" t="n">
        <v>286.859985351563</v>
      </c>
      <c r="P219" s="47" t="n">
        <v>2</v>
      </c>
      <c r="Q219" s="66" t="s">
        <v>483</v>
      </c>
    </row>
    <row r="220" customFormat="false" ht="15" hidden="false" customHeight="false" outlineLevel="0" collapsed="false">
      <c r="A220" s="76" t="s">
        <v>202</v>
      </c>
      <c r="B220" s="76" t="s">
        <v>242</v>
      </c>
      <c r="C220" s="77" t="n">
        <v>2025</v>
      </c>
      <c r="D220" s="77" t="n">
        <v>4</v>
      </c>
      <c r="E220" s="78" t="n">
        <v>46022</v>
      </c>
      <c r="F220" s="76" t="s">
        <v>236</v>
      </c>
      <c r="G220" s="76" t="s">
        <v>237</v>
      </c>
      <c r="H220" s="76" t="s">
        <v>238</v>
      </c>
      <c r="I220" s="79" t="n">
        <v>113829</v>
      </c>
      <c r="J220" s="79" t="n">
        <v>68062</v>
      </c>
      <c r="K220" s="80" t="n">
        <v>2.82</v>
      </c>
      <c r="L220" s="79" t="n">
        <v>12228</v>
      </c>
      <c r="M220" s="79" t="n">
        <v>415265</v>
      </c>
      <c r="N220" s="80" t="n">
        <v>0.21</v>
      </c>
      <c r="O220" s="80" t="n">
        <v>313.799987792969</v>
      </c>
      <c r="P220" s="47" t="n">
        <v>3</v>
      </c>
      <c r="Q220" s="66" t="s">
        <v>484</v>
      </c>
    </row>
    <row r="221" customFormat="false" ht="15" hidden="false" customHeight="false" outlineLevel="0" collapsed="false">
      <c r="A221" s="76" t="s">
        <v>202</v>
      </c>
      <c r="B221" s="76" t="s">
        <v>244</v>
      </c>
      <c r="C221" s="77" t="n">
        <v>2025</v>
      </c>
      <c r="D221" s="77" t="n">
        <v>3</v>
      </c>
      <c r="E221" s="78" t="n">
        <v>45930</v>
      </c>
      <c r="F221" s="76" t="s">
        <v>236</v>
      </c>
      <c r="G221" s="76" t="s">
        <v>237</v>
      </c>
      <c r="H221" s="76" t="s">
        <v>238</v>
      </c>
      <c r="I221" s="79" t="n">
        <v>102346</v>
      </c>
      <c r="J221" s="79" t="n">
        <v>60977</v>
      </c>
      <c r="K221" s="80" t="n">
        <v>2.87</v>
      </c>
      <c r="L221" s="79" t="n">
        <v>12203</v>
      </c>
      <c r="M221" s="79" t="n">
        <v>386867</v>
      </c>
      <c r="N221" s="80" t="n">
        <v>0.21</v>
      </c>
      <c r="O221" s="80" t="n">
        <v>243.550003051758</v>
      </c>
      <c r="P221" s="47" t="n">
        <v>4</v>
      </c>
      <c r="Q221" s="66" t="s">
        <v>485</v>
      </c>
    </row>
    <row r="222" customFormat="false" ht="15" hidden="false" customHeight="false" outlineLevel="0" collapsed="false">
      <c r="A222" s="76" t="s">
        <v>202</v>
      </c>
      <c r="B222" s="76" t="s">
        <v>246</v>
      </c>
      <c r="C222" s="77" t="n">
        <v>2025</v>
      </c>
      <c r="D222" s="77" t="n">
        <v>2</v>
      </c>
      <c r="E222" s="78" t="n">
        <v>45838</v>
      </c>
      <c r="F222" s="76" t="s">
        <v>236</v>
      </c>
      <c r="G222" s="76" t="s">
        <v>237</v>
      </c>
      <c r="H222" s="76" t="s">
        <v>238</v>
      </c>
      <c r="I222" s="79" t="n">
        <v>96428</v>
      </c>
      <c r="J222" s="79" t="n">
        <v>57389</v>
      </c>
      <c r="K222" s="80" t="n">
        <v>2.31</v>
      </c>
      <c r="L222" s="79" t="n">
        <v>12198</v>
      </c>
      <c r="M222" s="79" t="n">
        <v>362916</v>
      </c>
      <c r="N222" s="80" t="n">
        <v>0.21</v>
      </c>
      <c r="O222" s="80" t="n">
        <v>177.389999389648</v>
      </c>
      <c r="P222" s="47" t="n">
        <v>5</v>
      </c>
      <c r="Q222" s="66" t="s">
        <v>486</v>
      </c>
    </row>
    <row r="223" customFormat="false" ht="15" hidden="false" customHeight="false" outlineLevel="0" collapsed="false">
      <c r="A223" s="76" t="s">
        <v>202</v>
      </c>
      <c r="B223" s="76" t="s">
        <v>248</v>
      </c>
      <c r="C223" s="77" t="n">
        <v>2025</v>
      </c>
      <c r="D223" s="77" t="n">
        <v>1</v>
      </c>
      <c r="E223" s="78" t="n">
        <v>45747</v>
      </c>
      <c r="F223" s="76" t="s">
        <v>236</v>
      </c>
      <c r="G223" s="76" t="s">
        <v>237</v>
      </c>
      <c r="H223" s="76" t="s">
        <v>238</v>
      </c>
      <c r="I223" s="79" t="n">
        <v>90234</v>
      </c>
      <c r="J223" s="79" t="n">
        <v>53873</v>
      </c>
      <c r="K223" s="80" t="n">
        <v>2.81</v>
      </c>
      <c r="L223" s="79" t="n">
        <v>12291</v>
      </c>
      <c r="M223" s="79" t="n">
        <v>345267</v>
      </c>
      <c r="N223" s="80" t="n">
        <v>0.2</v>
      </c>
      <c r="O223" s="80" t="n">
        <v>156.229995727539</v>
      </c>
      <c r="P223" s="47" t="n">
        <v>6</v>
      </c>
      <c r="Q223" s="66" t="s">
        <v>487</v>
      </c>
    </row>
    <row r="224" customFormat="false" ht="15" hidden="false" customHeight="false" outlineLevel="0" collapsed="false">
      <c r="A224" s="76" t="s">
        <v>202</v>
      </c>
      <c r="B224" s="76" t="s">
        <v>250</v>
      </c>
      <c r="C224" s="77" t="n">
        <v>2024</v>
      </c>
      <c r="D224" s="77" t="n">
        <v>4</v>
      </c>
      <c r="E224" s="78" t="n">
        <v>45657</v>
      </c>
      <c r="F224" s="76" t="s">
        <v>236</v>
      </c>
      <c r="G224" s="76" t="s">
        <v>237</v>
      </c>
      <c r="H224" s="76" t="s">
        <v>238</v>
      </c>
      <c r="I224" s="79" t="n">
        <v>96469</v>
      </c>
      <c r="J224" s="79" t="n">
        <v>55856</v>
      </c>
      <c r="K224" s="80" t="n">
        <v>2.15</v>
      </c>
      <c r="L224" s="79"/>
      <c r="M224" s="79" t="n">
        <v>325084</v>
      </c>
      <c r="N224" s="80" t="n">
        <v>0.2</v>
      </c>
      <c r="O224" s="80" t="n">
        <v>190.440002441406</v>
      </c>
      <c r="P224" s="47" t="n">
        <v>7</v>
      </c>
      <c r="Q224" s="66" t="s">
        <v>488</v>
      </c>
    </row>
    <row r="225" customFormat="false" ht="15" hidden="false" customHeight="false" outlineLevel="0" collapsed="false">
      <c r="A225" s="76" t="s">
        <v>202</v>
      </c>
      <c r="B225" s="76" t="s">
        <v>252</v>
      </c>
      <c r="C225" s="77" t="n">
        <v>2024</v>
      </c>
      <c r="D225" s="77" t="n">
        <v>3</v>
      </c>
      <c r="E225" s="78" t="n">
        <v>45565</v>
      </c>
      <c r="F225" s="76" t="s">
        <v>236</v>
      </c>
      <c r="G225" s="76" t="s">
        <v>237</v>
      </c>
      <c r="H225" s="76" t="s">
        <v>238</v>
      </c>
      <c r="I225" s="79" t="n">
        <v>88268</v>
      </c>
      <c r="J225" s="79" t="n">
        <v>51794</v>
      </c>
      <c r="K225" s="80" t="n">
        <v>2.12</v>
      </c>
      <c r="L225" s="79" t="n">
        <v>12419</v>
      </c>
      <c r="M225" s="79" t="n">
        <v>314119</v>
      </c>
      <c r="N225" s="80" t="n">
        <v>0.2</v>
      </c>
      <c r="O225" s="80" t="n">
        <v>167.190002441406</v>
      </c>
      <c r="P225" s="47" t="n">
        <v>8</v>
      </c>
      <c r="Q225" s="66" t="s">
        <v>489</v>
      </c>
    </row>
    <row r="226" customFormat="false" ht="15" hidden="false" customHeight="false" outlineLevel="0" collapsed="false">
      <c r="A226" s="76" t="s">
        <v>202</v>
      </c>
      <c r="B226" s="76" t="s">
        <v>254</v>
      </c>
      <c r="C226" s="77" t="n">
        <v>2024</v>
      </c>
      <c r="D226" s="77" t="n">
        <v>2</v>
      </c>
      <c r="E226" s="78" t="n">
        <v>45473</v>
      </c>
      <c r="F226" s="76" t="s">
        <v>236</v>
      </c>
      <c r="G226" s="76" t="s">
        <v>237</v>
      </c>
      <c r="H226" s="76" t="s">
        <v>238</v>
      </c>
      <c r="I226" s="79" t="n">
        <v>84742</v>
      </c>
      <c r="J226" s="79"/>
      <c r="K226" s="80"/>
      <c r="L226" s="79" t="n">
        <v>12495</v>
      </c>
      <c r="M226" s="79" t="n">
        <v>300753</v>
      </c>
      <c r="N226" s="80" t="n">
        <v>0.2</v>
      </c>
      <c r="O226" s="80" t="n">
        <v>183.419998168945</v>
      </c>
      <c r="P226" s="47" t="n">
        <v>9</v>
      </c>
      <c r="Q226" s="66" t="s">
        <v>490</v>
      </c>
    </row>
    <row r="227" customFormat="false" ht="15" hidden="false" customHeight="false" outlineLevel="0" collapsed="false">
      <c r="A227" s="76" t="s">
        <v>202</v>
      </c>
      <c r="B227" s="76" t="s">
        <v>256</v>
      </c>
      <c r="C227" s="77" t="n">
        <v>2024</v>
      </c>
      <c r="D227" s="77" t="n">
        <v>1</v>
      </c>
      <c r="E227" s="78" t="n">
        <v>45382</v>
      </c>
      <c r="F227" s="76" t="s">
        <v>236</v>
      </c>
      <c r="G227" s="76" t="s">
        <v>237</v>
      </c>
      <c r="H227" s="76" t="s">
        <v>238</v>
      </c>
      <c r="I227" s="79" t="n">
        <v>80539</v>
      </c>
      <c r="J227" s="79"/>
      <c r="K227" s="80"/>
      <c r="L227" s="79" t="n">
        <v>12527</v>
      </c>
      <c r="M227" s="79" t="n">
        <v>292844</v>
      </c>
      <c r="N227" s="80"/>
      <c r="O227" s="80" t="n">
        <v>152.259994506836</v>
      </c>
      <c r="P227" s="47" t="n">
        <v>10</v>
      </c>
      <c r="Q227" s="66" t="s">
        <v>491</v>
      </c>
    </row>
    <row r="228" customFormat="false" ht="15" hidden="false" customHeight="false" outlineLevel="0" collapsed="false">
      <c r="A228" s="76" t="s">
        <v>202</v>
      </c>
      <c r="B228" s="76" t="s">
        <v>258</v>
      </c>
      <c r="C228" s="77" t="n">
        <v>2023</v>
      </c>
      <c r="D228" s="77" t="n">
        <v>4</v>
      </c>
      <c r="E228" s="78" t="n">
        <v>45291</v>
      </c>
      <c r="F228" s="76" t="s">
        <v>236</v>
      </c>
      <c r="G228" s="76" t="s">
        <v>237</v>
      </c>
      <c r="H228" s="76" t="s">
        <v>238</v>
      </c>
      <c r="I228" s="79" t="n">
        <v>86310</v>
      </c>
      <c r="J228" s="79" t="n">
        <v>48735</v>
      </c>
      <c r="K228" s="80" t="n">
        <v>1.64</v>
      </c>
      <c r="L228" s="79" t="n">
        <v>12722</v>
      </c>
      <c r="M228" s="79" t="n">
        <v>283379</v>
      </c>
      <c r="N228" s="80" t="n">
        <v>0</v>
      </c>
      <c r="O228" s="80" t="n">
        <v>140.929992675781</v>
      </c>
      <c r="P228" s="47" t="n">
        <v>11</v>
      </c>
      <c r="Q228" s="66" t="s">
        <v>492</v>
      </c>
    </row>
    <row r="229" customFormat="false" ht="15" hidden="false" customHeight="false" outlineLevel="0" collapsed="false">
      <c r="A229" s="76" t="s">
        <v>202</v>
      </c>
      <c r="B229" s="76" t="s">
        <v>260</v>
      </c>
      <c r="C229" s="77" t="n">
        <v>2023</v>
      </c>
      <c r="D229" s="77" t="n">
        <v>3</v>
      </c>
      <c r="E229" s="78" t="n">
        <v>45199</v>
      </c>
      <c r="F229" s="76" t="s">
        <v>236</v>
      </c>
      <c r="G229" s="76" t="s">
        <v>237</v>
      </c>
      <c r="H229" s="76" t="s">
        <v>238</v>
      </c>
      <c r="I229" s="79" t="n">
        <v>76693</v>
      </c>
      <c r="J229" s="79" t="n">
        <v>43464</v>
      </c>
      <c r="K229" s="80" t="n">
        <v>1.55</v>
      </c>
      <c r="L229" s="79" t="n">
        <v>12802.04533</v>
      </c>
      <c r="M229" s="79" t="n">
        <v>273202</v>
      </c>
      <c r="N229" s="80" t="n">
        <v>0</v>
      </c>
      <c r="O229" s="80" t="n">
        <v>131.850006103516</v>
      </c>
      <c r="P229" s="47" t="n">
        <v>12</v>
      </c>
      <c r="Q229" s="66" t="s">
        <v>493</v>
      </c>
    </row>
    <row r="230" customFormat="false" ht="15" hidden="false" customHeight="false" outlineLevel="0" collapsed="false">
      <c r="A230" s="76" t="s">
        <v>202</v>
      </c>
      <c r="B230" s="76" t="s">
        <v>262</v>
      </c>
      <c r="C230" s="77" t="n">
        <v>2023</v>
      </c>
      <c r="D230" s="77" t="n">
        <v>2</v>
      </c>
      <c r="E230" s="78" t="n">
        <v>45107</v>
      </c>
      <c r="F230" s="76" t="s">
        <v>236</v>
      </c>
      <c r="G230" s="76" t="s">
        <v>237</v>
      </c>
      <c r="H230" s="76" t="s">
        <v>238</v>
      </c>
      <c r="I230" s="79" t="n">
        <v>74604</v>
      </c>
      <c r="J230" s="79" t="n">
        <v>42688</v>
      </c>
      <c r="K230" s="80" t="n">
        <v>1.44</v>
      </c>
      <c r="L230" s="79" t="n">
        <v>12764</v>
      </c>
      <c r="M230" s="79" t="n">
        <v>267141</v>
      </c>
      <c r="N230" s="80" t="n">
        <v>0</v>
      </c>
      <c r="O230" s="80" t="n">
        <v>120.970001220703</v>
      </c>
      <c r="P230" s="47" t="n">
        <v>13</v>
      </c>
      <c r="Q230" s="66" t="s">
        <v>494</v>
      </c>
    </row>
    <row r="231" customFormat="false" ht="15" hidden="false" customHeight="false" outlineLevel="0" collapsed="false">
      <c r="A231" s="76" t="s">
        <v>202</v>
      </c>
      <c r="B231" s="76" t="s">
        <v>264</v>
      </c>
      <c r="C231" s="77" t="n">
        <v>2023</v>
      </c>
      <c r="D231" s="77" t="n">
        <v>1</v>
      </c>
      <c r="E231" s="78" t="n">
        <v>45016</v>
      </c>
      <c r="F231" s="76" t="s">
        <v>236</v>
      </c>
      <c r="G231" s="76" t="s">
        <v>237</v>
      </c>
      <c r="H231" s="76" t="s">
        <v>238</v>
      </c>
      <c r="I231" s="79" t="n">
        <v>69787</v>
      </c>
      <c r="J231" s="79" t="n">
        <v>39175</v>
      </c>
      <c r="K231" s="80" t="n">
        <v>1.17</v>
      </c>
      <c r="L231" s="79"/>
      <c r="M231" s="79" t="n">
        <v>260894</v>
      </c>
      <c r="N231" s="80" t="n">
        <v>0</v>
      </c>
      <c r="O231" s="80" t="n">
        <v>104</v>
      </c>
      <c r="P231" s="47" t="n">
        <v>14</v>
      </c>
      <c r="Q231" s="66" t="s">
        <v>495</v>
      </c>
    </row>
    <row r="232" customFormat="false" ht="15" hidden="false" customHeight="false" outlineLevel="0" collapsed="false">
      <c r="A232" s="76" t="s">
        <v>202</v>
      </c>
      <c r="B232" s="76" t="s">
        <v>266</v>
      </c>
      <c r="C232" s="77" t="n">
        <v>2022</v>
      </c>
      <c r="D232" s="77" t="n">
        <v>4</v>
      </c>
      <c r="E232" s="78" t="n">
        <v>44926</v>
      </c>
      <c r="F232" s="76" t="s">
        <v>236</v>
      </c>
      <c r="G232" s="76" t="s">
        <v>237</v>
      </c>
      <c r="H232" s="76" t="s">
        <v>238</v>
      </c>
      <c r="I232" s="79" t="n">
        <v>76048</v>
      </c>
      <c r="J232" s="79" t="n">
        <v>40706</v>
      </c>
      <c r="K232" s="80" t="n">
        <v>1.05</v>
      </c>
      <c r="L232" s="79"/>
      <c r="M232" s="79" t="n">
        <v>256144</v>
      </c>
      <c r="N232" s="80" t="n">
        <v>0</v>
      </c>
      <c r="O232" s="80" t="n">
        <v>88.7300033569336</v>
      </c>
      <c r="P232" s="47" t="n">
        <v>15</v>
      </c>
      <c r="Q232" s="66" t="s">
        <v>496</v>
      </c>
    </row>
    <row r="233" customFormat="false" ht="15" hidden="false" customHeight="false" outlineLevel="0" collapsed="false">
      <c r="A233" s="76" t="s">
        <v>202</v>
      </c>
      <c r="B233" s="76" t="s">
        <v>268</v>
      </c>
      <c r="C233" s="77" t="n">
        <v>2022</v>
      </c>
      <c r="D233" s="77" t="n">
        <v>3</v>
      </c>
      <c r="E233" s="78" t="n">
        <v>44834</v>
      </c>
      <c r="F233" s="76" t="s">
        <v>236</v>
      </c>
      <c r="G233" s="76" t="s">
        <v>237</v>
      </c>
      <c r="H233" s="76" t="s">
        <v>238</v>
      </c>
      <c r="I233" s="79" t="n">
        <v>69092</v>
      </c>
      <c r="J233" s="79" t="n">
        <v>37934</v>
      </c>
      <c r="K233" s="80" t="n">
        <v>1.06</v>
      </c>
      <c r="L233" s="79"/>
      <c r="M233" s="79" t="n">
        <v>253626</v>
      </c>
      <c r="N233" s="80" t="n">
        <v>0</v>
      </c>
      <c r="O233" s="80" t="n">
        <v>96.1500015258789</v>
      </c>
      <c r="P233" s="47" t="n">
        <v>16</v>
      </c>
      <c r="Q233" s="66" t="s">
        <v>497</v>
      </c>
    </row>
    <row r="234" customFormat="false" ht="15" hidden="false" customHeight="false" outlineLevel="0" collapsed="false">
      <c r="A234" s="76" t="s">
        <v>202</v>
      </c>
      <c r="B234" s="76" t="s">
        <v>270</v>
      </c>
      <c r="C234" s="77" t="n">
        <v>2022</v>
      </c>
      <c r="D234" s="77" t="n">
        <v>2</v>
      </c>
      <c r="E234" s="78" t="n">
        <v>44742</v>
      </c>
      <c r="F234" s="76" t="s">
        <v>236</v>
      </c>
      <c r="G234" s="76" t="s">
        <v>237</v>
      </c>
      <c r="H234" s="76" t="s">
        <v>238</v>
      </c>
      <c r="I234" s="79" t="n">
        <v>69685</v>
      </c>
      <c r="J234" s="79" t="n">
        <v>39581</v>
      </c>
      <c r="K234" s="80" t="n">
        <v>1.21</v>
      </c>
      <c r="L234" s="79"/>
      <c r="M234" s="79" t="n">
        <v>255419</v>
      </c>
      <c r="N234" s="80" t="n">
        <v>0</v>
      </c>
      <c r="O234" s="80" t="n">
        <v>109.372497558594</v>
      </c>
      <c r="P234" s="47" t="n">
        <v>17</v>
      </c>
      <c r="Q234" s="66" t="s">
        <v>498</v>
      </c>
    </row>
    <row r="235" customFormat="false" ht="15" hidden="false" customHeight="false" outlineLevel="0" collapsed="false">
      <c r="A235" s="76" t="s">
        <v>202</v>
      </c>
      <c r="B235" s="76" t="s">
        <v>272</v>
      </c>
      <c r="C235" s="77" t="n">
        <v>2022</v>
      </c>
      <c r="D235" s="77" t="n">
        <v>1</v>
      </c>
      <c r="E235" s="78" t="n">
        <v>44651</v>
      </c>
      <c r="F235" s="76" t="s">
        <v>236</v>
      </c>
      <c r="G235" s="76" t="s">
        <v>237</v>
      </c>
      <c r="H235" s="76" t="s">
        <v>238</v>
      </c>
      <c r="I235" s="79" t="n">
        <v>68011</v>
      </c>
      <c r="J235" s="79" t="n">
        <v>38412</v>
      </c>
      <c r="K235" s="80" t="n">
        <v>1.23</v>
      </c>
      <c r="L235" s="79"/>
      <c r="M235" s="79" t="n">
        <v>254004</v>
      </c>
      <c r="N235" s="80" t="n">
        <v>0</v>
      </c>
      <c r="O235" s="80" t="n">
        <v>139.649505615234</v>
      </c>
      <c r="P235" s="47" t="n">
        <v>18</v>
      </c>
      <c r="Q235" s="66" t="s">
        <v>499</v>
      </c>
    </row>
    <row r="236" customFormat="false" ht="15" hidden="false" customHeight="false" outlineLevel="0" collapsed="false">
      <c r="A236" s="76" t="s">
        <v>202</v>
      </c>
      <c r="B236" s="76" t="s">
        <v>274</v>
      </c>
      <c r="C236" s="77" t="n">
        <v>2021</v>
      </c>
      <c r="D236" s="77" t="n">
        <v>4</v>
      </c>
      <c r="E236" s="78" t="n">
        <v>44561</v>
      </c>
      <c r="F236" s="76" t="s">
        <v>236</v>
      </c>
      <c r="G236" s="76" t="s">
        <v>237</v>
      </c>
      <c r="H236" s="76" t="s">
        <v>238</v>
      </c>
      <c r="I236" s="79" t="n">
        <v>75325</v>
      </c>
      <c r="J236" s="79" t="n">
        <v>42337</v>
      </c>
      <c r="K236" s="80" t="n">
        <v>1.53</v>
      </c>
      <c r="L236" s="79"/>
      <c r="M236" s="79" t="n">
        <v>251635</v>
      </c>
      <c r="N236" s="80" t="n">
        <v>0</v>
      </c>
      <c r="O236" s="80" t="n">
        <v>144.679504394531</v>
      </c>
      <c r="P236" s="47" t="n">
        <v>19</v>
      </c>
      <c r="Q236" s="66" t="s">
        <v>500</v>
      </c>
    </row>
    <row r="237" customFormat="false" ht="15" hidden="false" customHeight="false" outlineLevel="0" collapsed="false">
      <c r="A237" s="76" t="s">
        <v>202</v>
      </c>
      <c r="B237" s="76" t="s">
        <v>276</v>
      </c>
      <c r="C237" s="77" t="n">
        <v>2021</v>
      </c>
      <c r="D237" s="77" t="n">
        <v>3</v>
      </c>
      <c r="E237" s="78" t="n">
        <v>44469</v>
      </c>
      <c r="F237" s="76" t="s">
        <v>236</v>
      </c>
      <c r="G237" s="76" t="s">
        <v>237</v>
      </c>
      <c r="H237" s="76" t="s">
        <v>238</v>
      </c>
      <c r="I237" s="79" t="n">
        <v>65118</v>
      </c>
      <c r="J237" s="79" t="n">
        <v>37497</v>
      </c>
      <c r="K237" s="80" t="n">
        <v>1.4</v>
      </c>
      <c r="L237" s="79"/>
      <c r="M237" s="79" t="n">
        <v>244567</v>
      </c>
      <c r="N237" s="80" t="n">
        <v>0</v>
      </c>
      <c r="O237" s="80" t="n">
        <v>133.265502929688</v>
      </c>
      <c r="P237" s="47" t="n">
        <v>20</v>
      </c>
      <c r="Q237" s="66" t="s">
        <v>501</v>
      </c>
    </row>
    <row r="238" customFormat="false" ht="15" hidden="false" customHeight="false" outlineLevel="0" collapsed="false">
      <c r="A238" s="76" t="s">
        <v>202</v>
      </c>
      <c r="B238" s="76" t="s">
        <v>278</v>
      </c>
      <c r="C238" s="77" t="n">
        <v>2021</v>
      </c>
      <c r="D238" s="77" t="n">
        <v>2</v>
      </c>
      <c r="E238" s="78" t="n">
        <v>44377</v>
      </c>
      <c r="F238" s="76" t="s">
        <v>236</v>
      </c>
      <c r="G238" s="76" t="s">
        <v>237</v>
      </c>
      <c r="H238" s="76" t="s">
        <v>238</v>
      </c>
      <c r="I238" s="79" t="n">
        <v>61880</v>
      </c>
      <c r="J238" s="79" t="n">
        <v>35653</v>
      </c>
      <c r="K238" s="80" t="n">
        <v>1.36</v>
      </c>
      <c r="L238" s="79"/>
      <c r="M238" s="79" t="n">
        <v>237565</v>
      </c>
      <c r="N238" s="80" t="n">
        <v>0</v>
      </c>
      <c r="O238" s="80" t="n">
        <v>125.31600189209</v>
      </c>
      <c r="P238" s="47" t="n">
        <v>21</v>
      </c>
      <c r="Q238" s="66" t="s">
        <v>502</v>
      </c>
    </row>
    <row r="239" customFormat="false" ht="15" hidden="false" customHeight="false" outlineLevel="0" collapsed="false">
      <c r="A239" s="76" t="s">
        <v>202</v>
      </c>
      <c r="B239" s="76" t="s">
        <v>280</v>
      </c>
      <c r="C239" s="77" t="n">
        <v>2021</v>
      </c>
      <c r="D239" s="77" t="n">
        <v>1</v>
      </c>
      <c r="E239" s="78" t="n">
        <v>44286</v>
      </c>
      <c r="F239" s="76" t="s">
        <v>236</v>
      </c>
      <c r="G239" s="76" t="s">
        <v>237</v>
      </c>
      <c r="H239" s="76" t="s">
        <v>238</v>
      </c>
      <c r="I239" s="79" t="n">
        <v>55314</v>
      </c>
      <c r="J239" s="79" t="n">
        <v>31211</v>
      </c>
      <c r="K239" s="80" t="n">
        <v>1.31</v>
      </c>
      <c r="L239" s="79"/>
      <c r="M239" s="79" t="n">
        <v>230013</v>
      </c>
      <c r="N239" s="80" t="n">
        <v>0</v>
      </c>
      <c r="O239" s="80" t="n">
        <v>103.431503295898</v>
      </c>
      <c r="P239" s="47" t="n">
        <v>22</v>
      </c>
      <c r="Q239" s="66" t="s">
        <v>503</v>
      </c>
    </row>
    <row r="240" customFormat="false" ht="15" hidden="false" customHeight="false" outlineLevel="0" collapsed="false">
      <c r="A240" s="76" t="s">
        <v>202</v>
      </c>
      <c r="B240" s="76" t="s">
        <v>282</v>
      </c>
      <c r="C240" s="77" t="n">
        <v>2020</v>
      </c>
      <c r="D240" s="77" t="n">
        <v>4</v>
      </c>
      <c r="E240" s="78" t="n">
        <v>44196</v>
      </c>
      <c r="F240" s="76" t="s">
        <v>236</v>
      </c>
      <c r="G240" s="76" t="s">
        <v>237</v>
      </c>
      <c r="H240" s="76" t="s">
        <v>238</v>
      </c>
      <c r="I240" s="79" t="n">
        <v>56898</v>
      </c>
      <c r="J240" s="79" t="n">
        <v>30818</v>
      </c>
      <c r="K240" s="80" t="n">
        <v>1.12</v>
      </c>
      <c r="L240" s="79"/>
      <c r="M240" s="79" t="n">
        <v>222544</v>
      </c>
      <c r="N240" s="80" t="n">
        <v>0</v>
      </c>
      <c r="O240" s="80" t="n">
        <v>87.5940017700195</v>
      </c>
      <c r="P240" s="47" t="n">
        <v>23</v>
      </c>
      <c r="Q240" s="66" t="s">
        <v>504</v>
      </c>
    </row>
    <row r="241" customFormat="false" ht="15" hidden="false" customHeight="false" outlineLevel="0" collapsed="false">
      <c r="A241" s="76" t="s">
        <v>202</v>
      </c>
      <c r="B241" s="76" t="s">
        <v>284</v>
      </c>
      <c r="C241" s="77" t="n">
        <v>2020</v>
      </c>
      <c r="D241" s="77" t="n">
        <v>3</v>
      </c>
      <c r="E241" s="78" t="n">
        <v>44104</v>
      </c>
      <c r="F241" s="76" t="s">
        <v>236</v>
      </c>
      <c r="G241" s="76" t="s">
        <v>237</v>
      </c>
      <c r="H241" s="76" t="s">
        <v>238</v>
      </c>
      <c r="I241" s="79" t="n">
        <v>46173</v>
      </c>
      <c r="J241" s="79" t="n">
        <v>25056</v>
      </c>
      <c r="K241" s="80" t="n">
        <v>0.82</v>
      </c>
      <c r="L241" s="79"/>
      <c r="M241" s="79" t="n">
        <v>212920</v>
      </c>
      <c r="N241" s="80"/>
      <c r="O241" s="80" t="n">
        <v>73.4800033569336</v>
      </c>
      <c r="P241" s="47" t="n">
        <v>24</v>
      </c>
      <c r="Q241" s="66" t="s">
        <v>505</v>
      </c>
    </row>
    <row r="242" customFormat="false" ht="15" hidden="false" customHeight="false" outlineLevel="0" collapsed="false">
      <c r="A242" s="76" t="s">
        <v>179</v>
      </c>
      <c r="B242" s="76" t="s">
        <v>383</v>
      </c>
      <c r="C242" s="77" t="n">
        <v>2027</v>
      </c>
      <c r="D242" s="77" t="n">
        <v>2</v>
      </c>
      <c r="E242" s="78" t="n">
        <v>46234</v>
      </c>
      <c r="F242" s="76" t="s">
        <v>236</v>
      </c>
      <c r="G242" s="76" t="s">
        <v>237</v>
      </c>
      <c r="H242" s="76" t="s">
        <v>238</v>
      </c>
      <c r="I242" s="79" t="n">
        <v>2739.3</v>
      </c>
      <c r="J242" s="79" t="n">
        <v>1455.6</v>
      </c>
      <c r="K242" s="80" t="n">
        <v>0.94</v>
      </c>
      <c r="L242" s="79" t="n">
        <v>921.2</v>
      </c>
      <c r="M242" s="79" t="n">
        <v>18531.6</v>
      </c>
      <c r="N242" s="80" t="n">
        <v>0.06</v>
      </c>
      <c r="O242" s="80" t="n">
        <v>187.559997558594</v>
      </c>
      <c r="P242" s="47" t="n">
        <v>1</v>
      </c>
      <c r="Q242" s="66" t="s">
        <v>506</v>
      </c>
    </row>
    <row r="243" customFormat="false" ht="15" hidden="false" customHeight="false" outlineLevel="0" collapsed="false">
      <c r="A243" s="76" t="s">
        <v>179</v>
      </c>
      <c r="B243" s="76" t="s">
        <v>385</v>
      </c>
      <c r="C243" s="77" t="n">
        <v>2027</v>
      </c>
      <c r="D243" s="77" t="n">
        <v>1</v>
      </c>
      <c r="E243" s="78" t="n">
        <v>46142</v>
      </c>
      <c r="F243" s="76" t="s">
        <v>236</v>
      </c>
      <c r="G243" s="76" t="s">
        <v>237</v>
      </c>
      <c r="H243" s="76" t="s">
        <v>238</v>
      </c>
      <c r="I243" s="79" t="n">
        <v>2417.8</v>
      </c>
      <c r="J243" s="79" t="n">
        <v>1260.8</v>
      </c>
      <c r="K243" s="80" t="n">
        <v>0.8</v>
      </c>
      <c r="L243" s="79" t="n">
        <v>893.3</v>
      </c>
      <c r="M243" s="79" t="n">
        <v>18215.8</v>
      </c>
      <c r="N243" s="80" t="n">
        <v>0.06</v>
      </c>
      <c r="O243" s="80" t="n">
        <v>165.149993896484</v>
      </c>
      <c r="P243" s="47" t="n">
        <v>2</v>
      </c>
      <c r="Q243" s="66" t="s">
        <v>507</v>
      </c>
    </row>
    <row r="244" customFormat="false" ht="15" hidden="false" customHeight="false" outlineLevel="0" collapsed="false">
      <c r="A244" s="76" t="s">
        <v>179</v>
      </c>
      <c r="B244" s="76" t="s">
        <v>387</v>
      </c>
      <c r="C244" s="77" t="n">
        <v>2026</v>
      </c>
      <c r="D244" s="77" t="n">
        <v>4</v>
      </c>
      <c r="E244" s="78" t="n">
        <v>46053</v>
      </c>
      <c r="F244" s="76" t="s">
        <v>236</v>
      </c>
      <c r="G244" s="76" t="s">
        <v>237</v>
      </c>
      <c r="H244" s="76" t="s">
        <v>238</v>
      </c>
      <c r="I244" s="79" t="n">
        <v>2218.7</v>
      </c>
      <c r="J244" s="79" t="n">
        <v>1147.9</v>
      </c>
      <c r="K244" s="80" t="n">
        <v>0.8</v>
      </c>
      <c r="L244" s="79" t="n">
        <v>856.2</v>
      </c>
      <c r="M244" s="79" t="n">
        <v>14308.4</v>
      </c>
      <c r="N244" s="80" t="n">
        <v>0.06</v>
      </c>
      <c r="O244" s="80" t="n">
        <v>78.9199981689453</v>
      </c>
      <c r="P244" s="47" t="n">
        <v>3</v>
      </c>
      <c r="Q244" s="66" t="s">
        <v>508</v>
      </c>
    </row>
    <row r="245" customFormat="false" ht="15" hidden="false" customHeight="false" outlineLevel="0" collapsed="false">
      <c r="A245" s="76" t="s">
        <v>179</v>
      </c>
      <c r="B245" s="76" t="s">
        <v>286</v>
      </c>
      <c r="C245" s="77" t="n">
        <v>2026</v>
      </c>
      <c r="D245" s="77" t="n">
        <v>3</v>
      </c>
      <c r="E245" s="78" t="n">
        <v>45961</v>
      </c>
      <c r="F245" s="76" t="s">
        <v>236</v>
      </c>
      <c r="G245" s="76" t="s">
        <v>237</v>
      </c>
      <c r="H245" s="76" t="s">
        <v>238</v>
      </c>
      <c r="I245" s="79" t="n">
        <v>2074.5</v>
      </c>
      <c r="J245" s="79" t="n">
        <v>1069.8</v>
      </c>
      <c r="K245" s="80" t="n">
        <v>0.76</v>
      </c>
      <c r="L245" s="79" t="n">
        <v>863.7</v>
      </c>
      <c r="M245" s="79" t="n">
        <v>14056.6</v>
      </c>
      <c r="N245" s="80" t="n">
        <v>0.06</v>
      </c>
      <c r="O245" s="80" t="n">
        <v>93.7399978637695</v>
      </c>
      <c r="P245" s="47" t="n">
        <v>4</v>
      </c>
      <c r="Q245" s="66" t="s">
        <v>509</v>
      </c>
    </row>
    <row r="246" customFormat="false" ht="15" hidden="false" customHeight="false" outlineLevel="0" collapsed="false">
      <c r="A246" s="76" t="s">
        <v>179</v>
      </c>
      <c r="B246" s="76" t="s">
        <v>235</v>
      </c>
      <c r="C246" s="77" t="n">
        <v>2026</v>
      </c>
      <c r="D246" s="77" t="n">
        <v>2</v>
      </c>
      <c r="E246" s="78" t="n">
        <v>45869</v>
      </c>
      <c r="F246" s="76" t="s">
        <v>236</v>
      </c>
      <c r="G246" s="76" t="s">
        <v>237</v>
      </c>
      <c r="H246" s="76" t="s">
        <v>238</v>
      </c>
      <c r="I246" s="79" t="n">
        <v>2006.1</v>
      </c>
      <c r="J246" s="79" t="n">
        <v>1010.6</v>
      </c>
      <c r="K246" s="80" t="n">
        <v>0.67</v>
      </c>
      <c r="L246" s="79" t="n">
        <v>870.4</v>
      </c>
      <c r="M246" s="79" t="n">
        <v>13421.7</v>
      </c>
      <c r="N246" s="80" t="n">
        <v>0.06</v>
      </c>
      <c r="O246" s="80" t="n">
        <v>80.370002746582</v>
      </c>
      <c r="P246" s="47" t="n">
        <v>5</v>
      </c>
      <c r="Q246" s="66" t="s">
        <v>510</v>
      </c>
    </row>
    <row r="247" customFormat="false" ht="15" hidden="false" customHeight="false" outlineLevel="0" collapsed="false">
      <c r="A247" s="76" t="s">
        <v>179</v>
      </c>
      <c r="B247" s="76" t="s">
        <v>240</v>
      </c>
      <c r="C247" s="77" t="n">
        <v>2026</v>
      </c>
      <c r="D247" s="77" t="n">
        <v>1</v>
      </c>
      <c r="E247" s="78" t="n">
        <v>45777</v>
      </c>
      <c r="F247" s="76" t="s">
        <v>236</v>
      </c>
      <c r="G247" s="76" t="s">
        <v>237</v>
      </c>
      <c r="H247" s="76" t="s">
        <v>238</v>
      </c>
      <c r="I247" s="79" t="n">
        <v>1895.3</v>
      </c>
      <c r="J247" s="79" t="n">
        <v>952.4</v>
      </c>
      <c r="K247" s="80" t="n">
        <v>0.62</v>
      </c>
      <c r="L247" s="79" t="n">
        <v>875.6</v>
      </c>
      <c r="M247" s="79" t="n">
        <v>13312.7</v>
      </c>
      <c r="N247" s="80" t="n">
        <v>0.06</v>
      </c>
      <c r="O247" s="80" t="n">
        <v>58.3699989318848</v>
      </c>
      <c r="P247" s="47" t="n">
        <v>6</v>
      </c>
      <c r="Q247" s="66" t="s">
        <v>511</v>
      </c>
    </row>
    <row r="248" customFormat="false" ht="15" hidden="false" customHeight="false" outlineLevel="0" collapsed="false">
      <c r="A248" s="76" t="s">
        <v>179</v>
      </c>
      <c r="B248" s="76" t="s">
        <v>242</v>
      </c>
      <c r="C248" s="77" t="n">
        <v>2025</v>
      </c>
      <c r="D248" s="77" t="n">
        <v>4</v>
      </c>
      <c r="E248" s="78" t="n">
        <v>45688</v>
      </c>
      <c r="F248" s="76" t="s">
        <v>236</v>
      </c>
      <c r="G248" s="76" t="s">
        <v>237</v>
      </c>
      <c r="H248" s="76" t="s">
        <v>238</v>
      </c>
      <c r="I248" s="79" t="n">
        <v>1817.4</v>
      </c>
      <c r="J248" s="79" t="n">
        <v>917.4</v>
      </c>
      <c r="K248" s="80" t="n">
        <v>0.6</v>
      </c>
      <c r="L248" s="79"/>
      <c r="M248" s="79" t="n">
        <v>13427</v>
      </c>
      <c r="N248" s="80" t="n">
        <v>0.06</v>
      </c>
      <c r="O248" s="80" t="n">
        <v>112.860000610352</v>
      </c>
      <c r="P248" s="47" t="n">
        <v>7</v>
      </c>
      <c r="Q248" s="66" t="s">
        <v>512</v>
      </c>
    </row>
    <row r="249" customFormat="false" ht="15" hidden="false" customHeight="false" outlineLevel="0" collapsed="false">
      <c r="A249" s="76" t="s">
        <v>179</v>
      </c>
      <c r="B249" s="76" t="s">
        <v>244</v>
      </c>
      <c r="C249" s="77" t="n">
        <v>2025</v>
      </c>
      <c r="D249" s="77" t="n">
        <v>3</v>
      </c>
      <c r="E249" s="78" t="n">
        <v>45596</v>
      </c>
      <c r="F249" s="76" t="s">
        <v>236</v>
      </c>
      <c r="G249" s="76" t="s">
        <v>237</v>
      </c>
      <c r="H249" s="76" t="s">
        <v>238</v>
      </c>
      <c r="I249" s="79" t="n">
        <v>1516.1</v>
      </c>
      <c r="J249" s="79" t="n">
        <v>349.4</v>
      </c>
      <c r="K249" s="80" t="n">
        <v>0.43</v>
      </c>
      <c r="L249" s="79" t="n">
        <v>865.7</v>
      </c>
      <c r="M249" s="79" t="n">
        <v>13372.9</v>
      </c>
      <c r="N249" s="80" t="n">
        <v>0.06</v>
      </c>
      <c r="O249" s="80" t="n">
        <v>80.1100006103516</v>
      </c>
      <c r="P249" s="47" t="n">
        <v>8</v>
      </c>
      <c r="Q249" s="66" t="s">
        <v>513</v>
      </c>
    </row>
    <row r="250" customFormat="false" ht="15" hidden="false" customHeight="false" outlineLevel="0" collapsed="false">
      <c r="A250" s="76" t="s">
        <v>179</v>
      </c>
      <c r="B250" s="76" t="s">
        <v>246</v>
      </c>
      <c r="C250" s="77" t="n">
        <v>2025</v>
      </c>
      <c r="D250" s="77" t="n">
        <v>2</v>
      </c>
      <c r="E250" s="78" t="n">
        <v>45507</v>
      </c>
      <c r="F250" s="76" t="s">
        <v>236</v>
      </c>
      <c r="G250" s="76" t="s">
        <v>237</v>
      </c>
      <c r="H250" s="76" t="s">
        <v>238</v>
      </c>
      <c r="I250" s="79" t="n">
        <v>1272.9</v>
      </c>
      <c r="J250" s="79" t="n">
        <v>587.6</v>
      </c>
      <c r="K250" s="80"/>
      <c r="L250" s="79" t="n">
        <v>865.7</v>
      </c>
      <c r="M250" s="79" t="n">
        <v>14204.9</v>
      </c>
      <c r="N250" s="80" t="n">
        <v>0.06</v>
      </c>
      <c r="O250" s="80" t="n">
        <v>59.25</v>
      </c>
      <c r="P250" s="47" t="n">
        <v>9</v>
      </c>
      <c r="Q250" s="66" t="s">
        <v>514</v>
      </c>
    </row>
    <row r="251" customFormat="false" ht="15" hidden="false" customHeight="false" outlineLevel="0" collapsed="false">
      <c r="A251" s="76" t="s">
        <v>179</v>
      </c>
      <c r="B251" s="76" t="s">
        <v>248</v>
      </c>
      <c r="C251" s="77" t="n">
        <v>2025</v>
      </c>
      <c r="D251" s="77" t="n">
        <v>1</v>
      </c>
      <c r="E251" s="78" t="n">
        <v>45416</v>
      </c>
      <c r="F251" s="76" t="s">
        <v>236</v>
      </c>
      <c r="G251" s="76" t="s">
        <v>237</v>
      </c>
      <c r="H251" s="76" t="s">
        <v>238</v>
      </c>
      <c r="I251" s="79" t="n">
        <v>1160.9</v>
      </c>
      <c r="J251" s="79" t="n">
        <v>527.8</v>
      </c>
      <c r="K251" s="80"/>
      <c r="L251" s="79" t="n">
        <v>865</v>
      </c>
      <c r="M251" s="79" t="n">
        <v>14478.7</v>
      </c>
      <c r="N251" s="80"/>
      <c r="O251" s="80" t="n">
        <v>68.5100021362305</v>
      </c>
      <c r="P251" s="47" t="n">
        <v>10</v>
      </c>
      <c r="Q251" s="66" t="s">
        <v>515</v>
      </c>
    </row>
    <row r="252" customFormat="false" ht="15" hidden="false" customHeight="false" outlineLevel="0" collapsed="false">
      <c r="A252" s="76" t="s">
        <v>179</v>
      </c>
      <c r="B252" s="76" t="s">
        <v>250</v>
      </c>
      <c r="C252" s="77" t="n">
        <v>2024</v>
      </c>
      <c r="D252" s="77" t="n">
        <v>4</v>
      </c>
      <c r="E252" s="78" t="n">
        <v>45322</v>
      </c>
      <c r="F252" s="76" t="s">
        <v>236</v>
      </c>
      <c r="G252" s="76" t="s">
        <v>237</v>
      </c>
      <c r="H252" s="76" t="s">
        <v>238</v>
      </c>
      <c r="I252" s="79" t="n">
        <v>1426.5</v>
      </c>
      <c r="J252" s="79" t="n">
        <v>664.1</v>
      </c>
      <c r="K252" s="80" t="n">
        <v>0.46</v>
      </c>
      <c r="L252" s="79" t="n">
        <v>861.3</v>
      </c>
      <c r="M252" s="79" t="n">
        <v>14831.4</v>
      </c>
      <c r="N252" s="80" t="n">
        <v>0.06</v>
      </c>
      <c r="O252" s="80" t="n">
        <v>67.6999969482422</v>
      </c>
      <c r="P252" s="47" t="n">
        <v>11</v>
      </c>
      <c r="Q252" s="66" t="s">
        <v>516</v>
      </c>
    </row>
    <row r="253" customFormat="false" ht="15" hidden="false" customHeight="false" outlineLevel="0" collapsed="false">
      <c r="A253" s="76" t="s">
        <v>179</v>
      </c>
      <c r="B253" s="76" t="s">
        <v>252</v>
      </c>
      <c r="C253" s="77" t="n">
        <v>2024</v>
      </c>
      <c r="D253" s="77" t="n">
        <v>3</v>
      </c>
      <c r="E253" s="78" t="n">
        <v>45230</v>
      </c>
      <c r="F253" s="76" t="s">
        <v>236</v>
      </c>
      <c r="G253" s="76" t="s">
        <v>237</v>
      </c>
      <c r="H253" s="76" t="s">
        <v>238</v>
      </c>
      <c r="I253" s="79" t="n">
        <v>1418.6</v>
      </c>
      <c r="J253" s="79" t="n">
        <v>551.2</v>
      </c>
      <c r="K253" s="80" t="n">
        <v>0.41</v>
      </c>
      <c r="L253" s="79" t="n">
        <v>858.6</v>
      </c>
      <c r="M253" s="79" t="n">
        <v>15233.4</v>
      </c>
      <c r="N253" s="80" t="n">
        <v>0.06</v>
      </c>
      <c r="O253" s="80" t="n">
        <v>47.2200012207031</v>
      </c>
      <c r="P253" s="47" t="n">
        <v>12</v>
      </c>
      <c r="Q253" s="66" t="s">
        <v>517</v>
      </c>
    </row>
    <row r="254" customFormat="false" ht="15" hidden="false" customHeight="false" outlineLevel="0" collapsed="false">
      <c r="A254" s="76" t="s">
        <v>179</v>
      </c>
      <c r="B254" s="76" t="s">
        <v>254</v>
      </c>
      <c r="C254" s="77" t="n">
        <v>2024</v>
      </c>
      <c r="D254" s="77" t="n">
        <v>2</v>
      </c>
      <c r="E254" s="78" t="n">
        <v>45138</v>
      </c>
      <c r="F254" s="76" t="s">
        <v>236</v>
      </c>
      <c r="G254" s="76" t="s">
        <v>237</v>
      </c>
      <c r="H254" s="76" t="s">
        <v>238</v>
      </c>
      <c r="I254" s="79" t="n">
        <v>1340.9</v>
      </c>
      <c r="J254" s="79" t="n">
        <v>521.1</v>
      </c>
      <c r="K254" s="80" t="n">
        <v>0.33</v>
      </c>
      <c r="L254" s="79" t="n">
        <v>860.9</v>
      </c>
      <c r="M254" s="79" t="n">
        <v>15389.5</v>
      </c>
      <c r="N254" s="80" t="n">
        <v>0.06</v>
      </c>
      <c r="O254" s="80" t="n">
        <v>65.129997253418</v>
      </c>
      <c r="P254" s="47" t="n">
        <v>13</v>
      </c>
      <c r="Q254" s="66" t="s">
        <v>518</v>
      </c>
    </row>
    <row r="255" customFormat="false" ht="15" hidden="false" customHeight="false" outlineLevel="0" collapsed="false">
      <c r="A255" s="76" t="s">
        <v>179</v>
      </c>
      <c r="B255" s="76" t="s">
        <v>256</v>
      </c>
      <c r="C255" s="77" t="n">
        <v>2024</v>
      </c>
      <c r="D255" s="77" t="n">
        <v>1</v>
      </c>
      <c r="E255" s="78" t="n">
        <v>45046</v>
      </c>
      <c r="F255" s="76" t="s">
        <v>236</v>
      </c>
      <c r="G255" s="76" t="s">
        <v>237</v>
      </c>
      <c r="H255" s="76" t="s">
        <v>238</v>
      </c>
      <c r="I255" s="79" t="n">
        <v>1321.7</v>
      </c>
      <c r="J255" s="79" t="n">
        <v>557.2</v>
      </c>
      <c r="K255" s="80" t="n">
        <v>0.31</v>
      </c>
      <c r="L255" s="79" t="n">
        <v>856.7</v>
      </c>
      <c r="M255" s="79" t="n">
        <v>15493.9</v>
      </c>
      <c r="N255" s="80" t="n">
        <v>0.06</v>
      </c>
      <c r="O255" s="80" t="n">
        <v>39.4799995422363</v>
      </c>
      <c r="P255" s="47" t="n">
        <v>14</v>
      </c>
      <c r="Q255" s="66" t="s">
        <v>519</v>
      </c>
    </row>
    <row r="256" customFormat="false" ht="15" hidden="false" customHeight="false" outlineLevel="0" collapsed="false">
      <c r="A256" s="76" t="s">
        <v>179</v>
      </c>
      <c r="B256" s="76" t="s">
        <v>258</v>
      </c>
      <c r="C256" s="77" t="n">
        <v>2023</v>
      </c>
      <c r="D256" s="77" t="n">
        <v>4</v>
      </c>
      <c r="E256" s="78" t="n">
        <v>44957</v>
      </c>
      <c r="F256" s="76" t="s">
        <v>236</v>
      </c>
      <c r="G256" s="76" t="s">
        <v>237</v>
      </c>
      <c r="H256" s="76" t="s">
        <v>238</v>
      </c>
      <c r="I256" s="79" t="n">
        <v>1418.5</v>
      </c>
      <c r="J256" s="79" t="n">
        <v>673.3</v>
      </c>
      <c r="K256" s="80" t="n">
        <v>0.46</v>
      </c>
      <c r="L256" s="79"/>
      <c r="M256" s="79" t="n">
        <v>15637.2</v>
      </c>
      <c r="N256" s="80" t="n">
        <v>0.06</v>
      </c>
      <c r="O256" s="80" t="n">
        <v>43.1500015258789</v>
      </c>
      <c r="P256" s="47" t="n">
        <v>15</v>
      </c>
      <c r="Q256" s="66" t="s">
        <v>520</v>
      </c>
    </row>
    <row r="257" customFormat="false" ht="15" hidden="false" customHeight="false" outlineLevel="0" collapsed="false">
      <c r="A257" s="76" t="s">
        <v>179</v>
      </c>
      <c r="B257" s="76" t="s">
        <v>260</v>
      </c>
      <c r="C257" s="77" t="n">
        <v>2023</v>
      </c>
      <c r="D257" s="77" t="n">
        <v>3</v>
      </c>
      <c r="E257" s="78" t="n">
        <v>44865</v>
      </c>
      <c r="F257" s="76" t="s">
        <v>236</v>
      </c>
      <c r="G257" s="76" t="s">
        <v>237</v>
      </c>
      <c r="H257" s="76" t="s">
        <v>238</v>
      </c>
      <c r="I257" s="79" t="n">
        <v>1537.3</v>
      </c>
      <c r="J257" s="79" t="n">
        <v>777.3</v>
      </c>
      <c r="K257" s="80" t="n">
        <v>0.57</v>
      </c>
      <c r="L257" s="79" t="n">
        <v>858.4</v>
      </c>
      <c r="M257" s="79" t="n">
        <v>15559</v>
      </c>
      <c r="N257" s="80" t="n">
        <v>0.06</v>
      </c>
      <c r="O257" s="80" t="n">
        <v>39.6800003051758</v>
      </c>
      <c r="P257" s="47" t="n">
        <v>16</v>
      </c>
      <c r="Q257" s="66" t="s">
        <v>521</v>
      </c>
    </row>
    <row r="258" customFormat="false" ht="15" hidden="false" customHeight="false" outlineLevel="0" collapsed="false">
      <c r="A258" s="76" t="s">
        <v>179</v>
      </c>
      <c r="B258" s="76" t="s">
        <v>262</v>
      </c>
      <c r="C258" s="77" t="n">
        <v>2023</v>
      </c>
      <c r="D258" s="77" t="n">
        <v>2</v>
      </c>
      <c r="E258" s="78" t="n">
        <v>44773</v>
      </c>
      <c r="F258" s="76" t="s">
        <v>236</v>
      </c>
      <c r="G258" s="76" t="s">
        <v>237</v>
      </c>
      <c r="H258" s="76" t="s">
        <v>238</v>
      </c>
      <c r="I258" s="79" t="n">
        <v>1516.9</v>
      </c>
      <c r="J258" s="79" t="n">
        <v>786</v>
      </c>
      <c r="K258" s="80" t="n">
        <v>0.57</v>
      </c>
      <c r="L258" s="79" t="n">
        <v>857.9</v>
      </c>
      <c r="M258" s="79" t="n">
        <v>15530.2</v>
      </c>
      <c r="N258" s="80" t="n">
        <v>0.06</v>
      </c>
      <c r="O258" s="80" t="n">
        <v>55.6800003051758</v>
      </c>
      <c r="P258" s="47" t="n">
        <v>17</v>
      </c>
      <c r="Q258" s="66" t="s">
        <v>522</v>
      </c>
    </row>
    <row r="259" customFormat="false" ht="15" hidden="false" customHeight="false" outlineLevel="0" collapsed="false">
      <c r="A259" s="76" t="s">
        <v>179</v>
      </c>
      <c r="B259" s="76" t="s">
        <v>264</v>
      </c>
      <c r="C259" s="77" t="n">
        <v>2023</v>
      </c>
      <c r="D259" s="77" t="n">
        <v>1</v>
      </c>
      <c r="E259" s="78" t="n">
        <v>44681</v>
      </c>
      <c r="F259" s="76" t="s">
        <v>236</v>
      </c>
      <c r="G259" s="76" t="s">
        <v>237</v>
      </c>
      <c r="H259" s="76" t="s">
        <v>238</v>
      </c>
      <c r="I259" s="79" t="n">
        <v>1446.9</v>
      </c>
      <c r="J259" s="79" t="n">
        <v>750.9</v>
      </c>
      <c r="K259" s="80" t="n">
        <v>0.52</v>
      </c>
      <c r="L259" s="79" t="n">
        <v>848</v>
      </c>
      <c r="M259" s="79" t="n">
        <v>15465</v>
      </c>
      <c r="N259" s="80" t="n">
        <v>0.06</v>
      </c>
      <c r="O259" s="80" t="n">
        <v>58.0800018310547</v>
      </c>
      <c r="P259" s="47" t="n">
        <v>18</v>
      </c>
      <c r="Q259" s="66" t="s">
        <v>523</v>
      </c>
    </row>
    <row r="260" customFormat="false" ht="15" hidden="false" customHeight="false" outlineLevel="0" collapsed="false">
      <c r="A260" s="76" t="s">
        <v>179</v>
      </c>
      <c r="B260" s="76" t="s">
        <v>266</v>
      </c>
      <c r="C260" s="77" t="n">
        <v>2022</v>
      </c>
      <c r="D260" s="77" t="n">
        <v>4</v>
      </c>
      <c r="E260" s="78" t="n">
        <v>44592</v>
      </c>
      <c r="F260" s="76" t="s">
        <v>236</v>
      </c>
      <c r="G260" s="76" t="s">
        <v>237</v>
      </c>
      <c r="H260" s="76" t="s">
        <v>238</v>
      </c>
      <c r="I260" s="79" t="n">
        <v>1342.978</v>
      </c>
      <c r="J260" s="79" t="n">
        <v>686.434</v>
      </c>
      <c r="K260" s="80" t="n">
        <v>0.5</v>
      </c>
      <c r="L260" s="79"/>
      <c r="M260" s="79" t="n">
        <v>15702.1</v>
      </c>
      <c r="N260" s="80" t="n">
        <v>0.06</v>
      </c>
      <c r="O260" s="80" t="n">
        <v>71.4000015258789</v>
      </c>
      <c r="P260" s="47" t="n">
        <v>19</v>
      </c>
      <c r="Q260" s="66" t="s">
        <v>524</v>
      </c>
    </row>
    <row r="261" customFormat="false" ht="15" hidden="false" customHeight="false" outlineLevel="0" collapsed="false">
      <c r="A261" s="76" t="s">
        <v>179</v>
      </c>
      <c r="B261" s="76" t="s">
        <v>268</v>
      </c>
      <c r="C261" s="77" t="n">
        <v>2022</v>
      </c>
      <c r="D261" s="77" t="n">
        <v>3</v>
      </c>
      <c r="E261" s="78" t="n">
        <v>44500</v>
      </c>
      <c r="F261" s="76" t="s">
        <v>236</v>
      </c>
      <c r="G261" s="76" t="s">
        <v>237</v>
      </c>
      <c r="H261" s="76" t="s">
        <v>238</v>
      </c>
      <c r="I261" s="79" t="n">
        <v>1211.2</v>
      </c>
      <c r="J261" s="79" t="n">
        <v>587.8</v>
      </c>
      <c r="K261" s="80" t="n">
        <v>0.43</v>
      </c>
      <c r="L261" s="79" t="n">
        <v>828.6</v>
      </c>
      <c r="M261" s="79" t="n">
        <v>15686.344</v>
      </c>
      <c r="N261" s="80" t="n">
        <v>0.06</v>
      </c>
      <c r="O261" s="80" t="n">
        <v>68.5</v>
      </c>
      <c r="P261" s="47" t="n">
        <v>20</v>
      </c>
      <c r="Q261" s="66" t="s">
        <v>525</v>
      </c>
    </row>
    <row r="262" customFormat="false" ht="15" hidden="false" customHeight="false" outlineLevel="0" collapsed="false">
      <c r="A262" s="76" t="s">
        <v>179</v>
      </c>
      <c r="B262" s="76" t="s">
        <v>270</v>
      </c>
      <c r="C262" s="77" t="n">
        <v>2022</v>
      </c>
      <c r="D262" s="77" t="n">
        <v>2</v>
      </c>
      <c r="E262" s="78" t="n">
        <v>44408</v>
      </c>
      <c r="F262" s="76" t="s">
        <v>236</v>
      </c>
      <c r="G262" s="76" t="s">
        <v>237</v>
      </c>
      <c r="H262" s="76" t="s">
        <v>238</v>
      </c>
      <c r="I262" s="79" t="n">
        <v>1075.9</v>
      </c>
      <c r="J262" s="79" t="n">
        <v>371.8</v>
      </c>
      <c r="K262" s="80" t="n">
        <v>0.34</v>
      </c>
      <c r="L262" s="79" t="n">
        <v>821.1</v>
      </c>
      <c r="M262" s="79" t="n">
        <v>14741.197</v>
      </c>
      <c r="N262" s="80" t="n">
        <v>0.06</v>
      </c>
      <c r="O262" s="80" t="n">
        <v>60.5099983215332</v>
      </c>
      <c r="P262" s="47" t="n">
        <v>21</v>
      </c>
      <c r="Q262" s="66" t="s">
        <v>526</v>
      </c>
    </row>
    <row r="263" customFormat="false" ht="15" hidden="false" customHeight="false" outlineLevel="0" collapsed="false">
      <c r="A263" s="76" t="s">
        <v>179</v>
      </c>
      <c r="B263" s="76" t="s">
        <v>272</v>
      </c>
      <c r="C263" s="77" t="n">
        <v>2022</v>
      </c>
      <c r="D263" s="77" t="n">
        <v>1</v>
      </c>
      <c r="E263" s="78" t="n">
        <v>44316</v>
      </c>
      <c r="F263" s="76" t="s">
        <v>236</v>
      </c>
      <c r="G263" s="76" t="s">
        <v>237</v>
      </c>
      <c r="H263" s="76" t="s">
        <v>238</v>
      </c>
      <c r="I263" s="79" t="n">
        <v>832.3</v>
      </c>
      <c r="J263" s="79" t="n">
        <v>418.2</v>
      </c>
      <c r="K263" s="80" t="n">
        <v>0.29</v>
      </c>
      <c r="L263" s="79" t="n">
        <v>693.4</v>
      </c>
      <c r="M263" s="79" t="n">
        <v>14855.37</v>
      </c>
      <c r="N263" s="80" t="n">
        <v>0.06</v>
      </c>
      <c r="O263" s="80" t="n">
        <v>45.2099990844727</v>
      </c>
      <c r="P263" s="47" t="n">
        <v>22</v>
      </c>
      <c r="Q263" s="66" t="s">
        <v>527</v>
      </c>
    </row>
    <row r="264" customFormat="false" ht="15" hidden="false" customHeight="false" outlineLevel="0" collapsed="false">
      <c r="A264" s="76" t="s">
        <v>179</v>
      </c>
      <c r="B264" s="76" t="s">
        <v>274</v>
      </c>
      <c r="C264" s="77" t="n">
        <v>2021</v>
      </c>
      <c r="D264" s="77" t="n">
        <v>4</v>
      </c>
      <c r="E264" s="78" t="n">
        <v>44227</v>
      </c>
      <c r="F264" s="76" t="s">
        <v>236</v>
      </c>
      <c r="G264" s="76" t="s">
        <v>237</v>
      </c>
      <c r="H264" s="76" t="s">
        <v>238</v>
      </c>
      <c r="I264" s="79" t="n">
        <v>797.819</v>
      </c>
      <c r="J264" s="79" t="n">
        <v>421.132</v>
      </c>
      <c r="K264" s="80" t="n">
        <v>0.29</v>
      </c>
      <c r="L264" s="79"/>
      <c r="M264" s="79" t="n">
        <v>8435.804</v>
      </c>
      <c r="N264" s="80" t="n">
        <v>0.06</v>
      </c>
      <c r="O264" s="80" t="n">
        <v>51.4599990844727</v>
      </c>
      <c r="P264" s="47" t="n">
        <v>23</v>
      </c>
      <c r="Q264" s="66" t="s">
        <v>528</v>
      </c>
    </row>
    <row r="265" customFormat="false" ht="15" hidden="false" customHeight="false" outlineLevel="0" collapsed="false">
      <c r="A265" s="76" t="s">
        <v>179</v>
      </c>
      <c r="B265" s="76" t="s">
        <v>276</v>
      </c>
      <c r="C265" s="77" t="n">
        <v>2021</v>
      </c>
      <c r="D265" s="77" t="n">
        <v>3</v>
      </c>
      <c r="E265" s="78" t="n">
        <v>44135</v>
      </c>
      <c r="F265" s="76" t="s">
        <v>236</v>
      </c>
      <c r="G265" s="76" t="s">
        <v>237</v>
      </c>
      <c r="H265" s="76" t="s">
        <v>238</v>
      </c>
      <c r="I265" s="79" t="n">
        <v>750.143</v>
      </c>
      <c r="J265" s="79" t="n">
        <v>381.06</v>
      </c>
      <c r="K265" s="80" t="n">
        <v>0.25</v>
      </c>
      <c r="L265" s="79" t="n">
        <v>670.487</v>
      </c>
      <c r="M265" s="79" t="n">
        <v>8389.617</v>
      </c>
      <c r="N265" s="80"/>
      <c r="O265" s="80" t="n">
        <v>37.5099983215332</v>
      </c>
      <c r="P265" s="47" t="n">
        <v>24</v>
      </c>
      <c r="Q265" s="66" t="s">
        <v>529</v>
      </c>
    </row>
    <row r="266" customFormat="false" ht="15" hidden="false" customHeight="false" outlineLevel="0" collapsed="false">
      <c r="A266" s="76" t="s">
        <v>169</v>
      </c>
      <c r="B266" s="76" t="s">
        <v>387</v>
      </c>
      <c r="C266" s="77" t="n">
        <v>2026</v>
      </c>
      <c r="D266" s="77" t="n">
        <v>4</v>
      </c>
      <c r="E266" s="78" t="n">
        <v>46203</v>
      </c>
      <c r="F266" s="76" t="s">
        <v>236</v>
      </c>
      <c r="G266" s="76" t="s">
        <v>237</v>
      </c>
      <c r="H266" s="76" t="s">
        <v>238</v>
      </c>
      <c r="I266" s="79" t="n">
        <v>90007</v>
      </c>
      <c r="J266" s="79" t="n">
        <v>60482</v>
      </c>
      <c r="K266" s="80" t="n">
        <v>4.74</v>
      </c>
      <c r="L266" s="79" t="n">
        <v>7443</v>
      </c>
      <c r="M266" s="79" t="n">
        <v>442387</v>
      </c>
      <c r="N266" s="80" t="n">
        <v>0.91</v>
      </c>
      <c r="O266" s="80" t="n">
        <v>373.019989013672</v>
      </c>
      <c r="P266" s="47" t="n">
        <v>1</v>
      </c>
      <c r="Q266" s="66" t="s">
        <v>530</v>
      </c>
    </row>
    <row r="267" customFormat="false" ht="15" hidden="false" customHeight="false" outlineLevel="0" collapsed="false">
      <c r="A267" s="76" t="s">
        <v>169</v>
      </c>
      <c r="B267" s="76" t="s">
        <v>286</v>
      </c>
      <c r="C267" s="77" t="n">
        <v>2026</v>
      </c>
      <c r="D267" s="77" t="n">
        <v>3</v>
      </c>
      <c r="E267" s="78" t="n">
        <v>46112</v>
      </c>
      <c r="F267" s="76" t="s">
        <v>236</v>
      </c>
      <c r="G267" s="76" t="s">
        <v>237</v>
      </c>
      <c r="H267" s="76" t="s">
        <v>238</v>
      </c>
      <c r="I267" s="79" t="n">
        <v>82886</v>
      </c>
      <c r="J267" s="79" t="n">
        <v>56058</v>
      </c>
      <c r="K267" s="80" t="n">
        <v>4.27</v>
      </c>
      <c r="L267" s="79" t="n">
        <v>7445</v>
      </c>
      <c r="M267" s="79" t="n">
        <v>414367</v>
      </c>
      <c r="N267" s="80" t="n">
        <v>0.91</v>
      </c>
      <c r="O267" s="80" t="n">
        <v>370.170013427734</v>
      </c>
      <c r="P267" s="47" t="n">
        <v>2</v>
      </c>
      <c r="Q267" s="66" t="s">
        <v>531</v>
      </c>
    </row>
    <row r="268" customFormat="false" ht="15" hidden="false" customHeight="false" outlineLevel="0" collapsed="false">
      <c r="A268" s="76" t="s">
        <v>169</v>
      </c>
      <c r="B268" s="76" t="s">
        <v>235</v>
      </c>
      <c r="C268" s="77" t="n">
        <v>2026</v>
      </c>
      <c r="D268" s="77" t="n">
        <v>2</v>
      </c>
      <c r="E268" s="78" t="n">
        <v>46022</v>
      </c>
      <c r="F268" s="76" t="s">
        <v>236</v>
      </c>
      <c r="G268" s="76" t="s">
        <v>237</v>
      </c>
      <c r="H268" s="76" t="s">
        <v>238</v>
      </c>
      <c r="I268" s="79" t="n">
        <v>81273</v>
      </c>
      <c r="J268" s="79" t="n">
        <v>55295</v>
      </c>
      <c r="K268" s="80" t="n">
        <v>4.14</v>
      </c>
      <c r="L268" s="79" t="n">
        <v>7460</v>
      </c>
      <c r="M268" s="79" t="n">
        <v>390875</v>
      </c>
      <c r="N268" s="80" t="n">
        <v>0.91</v>
      </c>
      <c r="O268" s="80" t="n">
        <v>483.619995117188</v>
      </c>
      <c r="P268" s="47" t="n">
        <v>3</v>
      </c>
      <c r="Q268" s="66" t="s">
        <v>532</v>
      </c>
    </row>
    <row r="269" customFormat="false" ht="15" hidden="false" customHeight="false" outlineLevel="0" collapsed="false">
      <c r="A269" s="76" t="s">
        <v>169</v>
      </c>
      <c r="B269" s="76" t="s">
        <v>240</v>
      </c>
      <c r="C269" s="77" t="n">
        <v>2026</v>
      </c>
      <c r="D269" s="77" t="n">
        <v>1</v>
      </c>
      <c r="E269" s="78" t="n">
        <v>45930</v>
      </c>
      <c r="F269" s="76" t="s">
        <v>236</v>
      </c>
      <c r="G269" s="76" t="s">
        <v>237</v>
      </c>
      <c r="H269" s="76" t="s">
        <v>238</v>
      </c>
      <c r="I269" s="79" t="n">
        <v>77673</v>
      </c>
      <c r="J269" s="79" t="n">
        <v>53630</v>
      </c>
      <c r="K269" s="80" t="n">
        <v>4.13</v>
      </c>
      <c r="L269" s="79" t="n">
        <v>7466</v>
      </c>
      <c r="M269" s="79" t="n">
        <v>363076</v>
      </c>
      <c r="N269" s="80" t="n">
        <v>0.83</v>
      </c>
      <c r="O269" s="80" t="n">
        <v>517.950012207031</v>
      </c>
      <c r="P269" s="47" t="n">
        <v>4</v>
      </c>
      <c r="Q269" s="66" t="s">
        <v>533</v>
      </c>
    </row>
    <row r="270" customFormat="false" ht="15" hidden="false" customHeight="false" outlineLevel="0" collapsed="false">
      <c r="A270" s="76" t="s">
        <v>169</v>
      </c>
      <c r="B270" s="76" t="s">
        <v>242</v>
      </c>
      <c r="C270" s="77" t="n">
        <v>2025</v>
      </c>
      <c r="D270" s="77" t="n">
        <v>4</v>
      </c>
      <c r="E270" s="78" t="n">
        <v>45838</v>
      </c>
      <c r="F270" s="76" t="s">
        <v>236</v>
      </c>
      <c r="G270" s="76" t="s">
        <v>237</v>
      </c>
      <c r="H270" s="76" t="s">
        <v>238</v>
      </c>
      <c r="I270" s="79" t="n">
        <v>76441</v>
      </c>
      <c r="J270" s="79" t="n">
        <v>52427</v>
      </c>
      <c r="K270" s="80" t="n">
        <v>3.65</v>
      </c>
      <c r="L270" s="79" t="n">
        <v>7461</v>
      </c>
      <c r="M270" s="79" t="n">
        <v>343479</v>
      </c>
      <c r="N270" s="80" t="n">
        <v>0.83</v>
      </c>
      <c r="O270" s="80" t="n">
        <v>497.410003662109</v>
      </c>
      <c r="P270" s="47" t="n">
        <v>5</v>
      </c>
      <c r="Q270" s="66" t="s">
        <v>534</v>
      </c>
    </row>
    <row r="271" customFormat="false" ht="15" hidden="false" customHeight="false" outlineLevel="0" collapsed="false">
      <c r="A271" s="76" t="s">
        <v>169</v>
      </c>
      <c r="B271" s="76" t="s">
        <v>244</v>
      </c>
      <c r="C271" s="77" t="n">
        <v>2025</v>
      </c>
      <c r="D271" s="77" t="n">
        <v>3</v>
      </c>
      <c r="E271" s="78" t="n">
        <v>45747</v>
      </c>
      <c r="F271" s="76" t="s">
        <v>236</v>
      </c>
      <c r="G271" s="76" t="s">
        <v>237</v>
      </c>
      <c r="H271" s="76" t="s">
        <v>238</v>
      </c>
      <c r="I271" s="79" t="n">
        <v>70066</v>
      </c>
      <c r="J271" s="79" t="n">
        <v>48147</v>
      </c>
      <c r="K271" s="80" t="n">
        <v>3.46</v>
      </c>
      <c r="L271" s="79" t="n">
        <v>7468.25</v>
      </c>
      <c r="M271" s="79" t="n">
        <v>321891</v>
      </c>
      <c r="N271" s="80" t="n">
        <v>0.83</v>
      </c>
      <c r="O271" s="80" t="n">
        <v>375.390014648438</v>
      </c>
      <c r="P271" s="47" t="n">
        <v>6</v>
      </c>
      <c r="Q271" s="66" t="s">
        <v>535</v>
      </c>
    </row>
    <row r="272" customFormat="false" ht="15" hidden="false" customHeight="false" outlineLevel="0" collapsed="false">
      <c r="A272" s="76" t="s">
        <v>169</v>
      </c>
      <c r="B272" s="76" t="s">
        <v>246</v>
      </c>
      <c r="C272" s="77" t="n">
        <v>2025</v>
      </c>
      <c r="D272" s="77" t="n">
        <v>2</v>
      </c>
      <c r="E272" s="78" t="n">
        <v>45657</v>
      </c>
      <c r="F272" s="76" t="s">
        <v>236</v>
      </c>
      <c r="G272" s="76" t="s">
        <v>237</v>
      </c>
      <c r="H272" s="76" t="s">
        <v>238</v>
      </c>
      <c r="I272" s="79" t="n">
        <v>69632</v>
      </c>
      <c r="J272" s="79" t="n">
        <v>47833</v>
      </c>
      <c r="K272" s="80" t="n">
        <v>3.23</v>
      </c>
      <c r="L272" s="79" t="n">
        <v>7471</v>
      </c>
      <c r="M272" s="79" t="n">
        <v>302695</v>
      </c>
      <c r="N272" s="80" t="n">
        <v>0.83</v>
      </c>
      <c r="O272" s="80" t="n">
        <v>421.5</v>
      </c>
      <c r="P272" s="47" t="n">
        <v>7</v>
      </c>
      <c r="Q272" s="66" t="s">
        <v>536</v>
      </c>
    </row>
    <row r="273" customFormat="false" ht="15" hidden="false" customHeight="false" outlineLevel="0" collapsed="false">
      <c r="A273" s="76" t="s">
        <v>169</v>
      </c>
      <c r="B273" s="76" t="s">
        <v>248</v>
      </c>
      <c r="C273" s="77" t="n">
        <v>2025</v>
      </c>
      <c r="D273" s="77" t="n">
        <v>1</v>
      </c>
      <c r="E273" s="78" t="n">
        <v>45565</v>
      </c>
      <c r="F273" s="76" t="s">
        <v>236</v>
      </c>
      <c r="G273" s="76" t="s">
        <v>237</v>
      </c>
      <c r="H273" s="76" t="s">
        <v>238</v>
      </c>
      <c r="I273" s="79" t="n">
        <v>65585</v>
      </c>
      <c r="J273" s="79" t="n">
        <v>45486</v>
      </c>
      <c r="K273" s="80" t="n">
        <v>3.3</v>
      </c>
      <c r="L273" s="79" t="n">
        <v>7471</v>
      </c>
      <c r="M273" s="79" t="n">
        <v>287723</v>
      </c>
      <c r="N273" s="80" t="n">
        <v>0.75</v>
      </c>
      <c r="O273" s="80" t="n">
        <v>430.299987792969</v>
      </c>
      <c r="P273" s="47" t="n">
        <v>8</v>
      </c>
      <c r="Q273" s="66" t="s">
        <v>537</v>
      </c>
    </row>
    <row r="274" customFormat="false" ht="15" hidden="false" customHeight="false" outlineLevel="0" collapsed="false">
      <c r="A274" s="76" t="s">
        <v>169</v>
      </c>
      <c r="B274" s="76" t="s">
        <v>250</v>
      </c>
      <c r="C274" s="77" t="n">
        <v>2024</v>
      </c>
      <c r="D274" s="77" t="n">
        <v>4</v>
      </c>
      <c r="E274" s="78" t="n">
        <v>45473</v>
      </c>
      <c r="F274" s="76" t="s">
        <v>236</v>
      </c>
      <c r="G274" s="76" t="s">
        <v>237</v>
      </c>
      <c r="H274" s="76" t="s">
        <v>238</v>
      </c>
      <c r="I274" s="79" t="n">
        <v>64727</v>
      </c>
      <c r="J274" s="79" t="n">
        <v>45043</v>
      </c>
      <c r="K274" s="80" t="n">
        <v>2.95</v>
      </c>
      <c r="L274" s="79"/>
      <c r="M274" s="79" t="n">
        <v>268477</v>
      </c>
      <c r="N274" s="80" t="n">
        <v>0.75</v>
      </c>
      <c r="O274" s="80" t="n">
        <v>446.950012207031</v>
      </c>
      <c r="P274" s="47" t="n">
        <v>9</v>
      </c>
      <c r="Q274" s="66" t="s">
        <v>538</v>
      </c>
    </row>
    <row r="275" customFormat="false" ht="15" hidden="false" customHeight="false" outlineLevel="0" collapsed="false">
      <c r="A275" s="76" t="s">
        <v>169</v>
      </c>
      <c r="B275" s="76" t="s">
        <v>252</v>
      </c>
      <c r="C275" s="77" t="n">
        <v>2024</v>
      </c>
      <c r="D275" s="77" t="n">
        <v>3</v>
      </c>
      <c r="E275" s="78" t="n">
        <v>45382</v>
      </c>
      <c r="F275" s="76" t="s">
        <v>236</v>
      </c>
      <c r="G275" s="76" t="s">
        <v>237</v>
      </c>
      <c r="H275" s="76" t="s">
        <v>238</v>
      </c>
      <c r="I275" s="79" t="n">
        <v>61858</v>
      </c>
      <c r="J275" s="79" t="n">
        <v>43353</v>
      </c>
      <c r="K275" s="80" t="n">
        <v>2.94</v>
      </c>
      <c r="L275" s="79" t="n">
        <v>7466.75</v>
      </c>
      <c r="M275" s="79" t="n">
        <v>253152</v>
      </c>
      <c r="N275" s="80" t="n">
        <v>0.75</v>
      </c>
      <c r="O275" s="80" t="n">
        <v>420.720001220703</v>
      </c>
      <c r="P275" s="47" t="n">
        <v>10</v>
      </c>
      <c r="Q275" s="66" t="s">
        <v>539</v>
      </c>
    </row>
    <row r="276" customFormat="false" ht="15" hidden="false" customHeight="false" outlineLevel="0" collapsed="false">
      <c r="A276" s="76" t="s">
        <v>169</v>
      </c>
      <c r="B276" s="76" t="s">
        <v>254</v>
      </c>
      <c r="C276" s="77" t="n">
        <v>2024</v>
      </c>
      <c r="D276" s="77" t="n">
        <v>2</v>
      </c>
      <c r="E276" s="78" t="n">
        <v>45291</v>
      </c>
      <c r="F276" s="76" t="s">
        <v>236</v>
      </c>
      <c r="G276" s="76" t="s">
        <v>237</v>
      </c>
      <c r="H276" s="76" t="s">
        <v>238</v>
      </c>
      <c r="I276" s="79" t="n">
        <v>62020</v>
      </c>
      <c r="J276" s="79" t="n">
        <v>42397</v>
      </c>
      <c r="K276" s="80" t="n">
        <v>2.93</v>
      </c>
      <c r="L276" s="79" t="n">
        <v>7465</v>
      </c>
      <c r="M276" s="79" t="n">
        <v>238268</v>
      </c>
      <c r="N276" s="80" t="n">
        <v>0.75</v>
      </c>
      <c r="O276" s="80" t="n">
        <v>376.040008544922</v>
      </c>
      <c r="P276" s="47" t="n">
        <v>11</v>
      </c>
      <c r="Q276" s="66" t="s">
        <v>540</v>
      </c>
    </row>
    <row r="277" customFormat="false" ht="15" hidden="false" customHeight="false" outlineLevel="0" collapsed="false">
      <c r="A277" s="76" t="s">
        <v>169</v>
      </c>
      <c r="B277" s="76" t="s">
        <v>256</v>
      </c>
      <c r="C277" s="77" t="n">
        <v>2024</v>
      </c>
      <c r="D277" s="77" t="n">
        <v>1</v>
      </c>
      <c r="E277" s="78" t="n">
        <v>45199</v>
      </c>
      <c r="F277" s="76" t="s">
        <v>236</v>
      </c>
      <c r="G277" s="76" t="s">
        <v>237</v>
      </c>
      <c r="H277" s="76" t="s">
        <v>238</v>
      </c>
      <c r="I277" s="79" t="n">
        <v>56517</v>
      </c>
      <c r="J277" s="79" t="n">
        <v>40215</v>
      </c>
      <c r="K277" s="80" t="n">
        <v>2.99</v>
      </c>
      <c r="L277" s="79" t="n">
        <v>7466.25</v>
      </c>
      <c r="M277" s="79" t="n">
        <v>220714</v>
      </c>
      <c r="N277" s="80" t="n">
        <v>0.68</v>
      </c>
      <c r="O277" s="80" t="n">
        <v>315.75</v>
      </c>
      <c r="P277" s="47" t="n">
        <v>12</v>
      </c>
      <c r="Q277" s="66" t="s">
        <v>541</v>
      </c>
    </row>
    <row r="278" customFormat="false" ht="15" hidden="false" customHeight="false" outlineLevel="0" collapsed="false">
      <c r="A278" s="76" t="s">
        <v>169</v>
      </c>
      <c r="B278" s="76" t="s">
        <v>258</v>
      </c>
      <c r="C278" s="77" t="n">
        <v>2023</v>
      </c>
      <c r="D278" s="77" t="n">
        <v>4</v>
      </c>
      <c r="E278" s="78" t="n">
        <v>45107</v>
      </c>
      <c r="F278" s="76" t="s">
        <v>236</v>
      </c>
      <c r="G278" s="76" t="s">
        <v>237</v>
      </c>
      <c r="H278" s="76" t="s">
        <v>238</v>
      </c>
      <c r="I278" s="79" t="n">
        <v>56189</v>
      </c>
      <c r="J278" s="79" t="n">
        <v>39394</v>
      </c>
      <c r="K278" s="80" t="n">
        <v>2.69</v>
      </c>
      <c r="L278" s="79"/>
      <c r="M278" s="79" t="n">
        <v>206223</v>
      </c>
      <c r="N278" s="80" t="n">
        <v>0.68</v>
      </c>
      <c r="O278" s="80" t="n">
        <v>340.540008544922</v>
      </c>
      <c r="P278" s="47" t="n">
        <v>13</v>
      </c>
      <c r="Q278" s="66" t="s">
        <v>542</v>
      </c>
    </row>
    <row r="279" customFormat="false" ht="15" hidden="false" customHeight="false" outlineLevel="0" collapsed="false">
      <c r="A279" s="76" t="s">
        <v>169</v>
      </c>
      <c r="B279" s="76" t="s">
        <v>260</v>
      </c>
      <c r="C279" s="77" t="n">
        <v>2023</v>
      </c>
      <c r="D279" s="77" t="n">
        <v>3</v>
      </c>
      <c r="E279" s="78" t="n">
        <v>45016</v>
      </c>
      <c r="F279" s="76" t="s">
        <v>236</v>
      </c>
      <c r="G279" s="76" t="s">
        <v>237</v>
      </c>
      <c r="H279" s="76" t="s">
        <v>238</v>
      </c>
      <c r="I279" s="79" t="n">
        <v>52857</v>
      </c>
      <c r="J279" s="79" t="n">
        <v>36729</v>
      </c>
      <c r="K279" s="80" t="n">
        <v>2.45</v>
      </c>
      <c r="L279" s="79" t="n">
        <v>7464</v>
      </c>
      <c r="M279" s="79" t="n">
        <v>194683</v>
      </c>
      <c r="N279" s="80" t="n">
        <v>0.68</v>
      </c>
      <c r="O279" s="80" t="n">
        <v>288.299987792969</v>
      </c>
      <c r="P279" s="47" t="n">
        <v>14</v>
      </c>
      <c r="Q279" s="66" t="s">
        <v>543</v>
      </c>
    </row>
    <row r="280" customFormat="false" ht="15" hidden="false" customHeight="false" outlineLevel="0" collapsed="false">
      <c r="A280" s="76" t="s">
        <v>169</v>
      </c>
      <c r="B280" s="76" t="s">
        <v>262</v>
      </c>
      <c r="C280" s="77" t="n">
        <v>2023</v>
      </c>
      <c r="D280" s="77" t="n">
        <v>2</v>
      </c>
      <c r="E280" s="78" t="n">
        <v>44926</v>
      </c>
      <c r="F280" s="76" t="s">
        <v>236</v>
      </c>
      <c r="G280" s="76" t="s">
        <v>237</v>
      </c>
      <c r="H280" s="76" t="s">
        <v>238</v>
      </c>
      <c r="I280" s="79" t="n">
        <v>52747</v>
      </c>
      <c r="J280" s="79" t="n">
        <v>35259</v>
      </c>
      <c r="K280" s="80" t="n">
        <v>2.32</v>
      </c>
      <c r="L280" s="79" t="n">
        <v>7473</v>
      </c>
      <c r="M280" s="79" t="n">
        <v>183136</v>
      </c>
      <c r="N280" s="80" t="n">
        <v>0.68</v>
      </c>
      <c r="O280" s="80" t="n">
        <v>239.820007324219</v>
      </c>
      <c r="P280" s="47" t="n">
        <v>15</v>
      </c>
      <c r="Q280" s="66" t="s">
        <v>544</v>
      </c>
    </row>
    <row r="281" customFormat="false" ht="15" hidden="false" customHeight="false" outlineLevel="0" collapsed="false">
      <c r="A281" s="76" t="s">
        <v>169</v>
      </c>
      <c r="B281" s="76" t="s">
        <v>264</v>
      </c>
      <c r="C281" s="77" t="n">
        <v>2023</v>
      </c>
      <c r="D281" s="77" t="n">
        <v>1</v>
      </c>
      <c r="E281" s="78" t="n">
        <v>44834</v>
      </c>
      <c r="F281" s="76" t="s">
        <v>236</v>
      </c>
      <c r="G281" s="76" t="s">
        <v>237</v>
      </c>
      <c r="H281" s="76" t="s">
        <v>238</v>
      </c>
      <c r="I281" s="79" t="n">
        <v>50122</v>
      </c>
      <c r="J281" s="79" t="n">
        <v>34670</v>
      </c>
      <c r="K281" s="80" t="n">
        <v>2.35</v>
      </c>
      <c r="L281" s="79" t="n">
        <v>7485</v>
      </c>
      <c r="M281" s="79" t="n">
        <v>173566</v>
      </c>
      <c r="N281" s="80" t="n">
        <v>0.62</v>
      </c>
      <c r="O281" s="80" t="n">
        <v>232.899993896484</v>
      </c>
      <c r="P281" s="47" t="n">
        <v>16</v>
      </c>
      <c r="Q281" s="66" t="s">
        <v>545</v>
      </c>
    </row>
    <row r="282" customFormat="false" ht="15" hidden="false" customHeight="false" outlineLevel="0" collapsed="false">
      <c r="A282" s="76" t="s">
        <v>169</v>
      </c>
      <c r="B282" s="76" t="s">
        <v>266</v>
      </c>
      <c r="C282" s="77" t="n">
        <v>2022</v>
      </c>
      <c r="D282" s="77" t="n">
        <v>4</v>
      </c>
      <c r="E282" s="78" t="n">
        <v>44742</v>
      </c>
      <c r="F282" s="76" t="s">
        <v>236</v>
      </c>
      <c r="G282" s="76" t="s">
        <v>237</v>
      </c>
      <c r="H282" s="76" t="s">
        <v>238</v>
      </c>
      <c r="I282" s="79" t="n">
        <v>51865</v>
      </c>
      <c r="J282" s="79" t="n">
        <v>35436</v>
      </c>
      <c r="K282" s="80" t="n">
        <v>2.23</v>
      </c>
      <c r="L282" s="79"/>
      <c r="M282" s="79" t="n">
        <v>166542</v>
      </c>
      <c r="N282" s="80" t="n">
        <v>0.62</v>
      </c>
      <c r="O282" s="80" t="n">
        <v>256.829986572266</v>
      </c>
      <c r="P282" s="47" t="n">
        <v>17</v>
      </c>
      <c r="Q282" s="66" t="s">
        <v>546</v>
      </c>
    </row>
    <row r="283" customFormat="false" ht="15" hidden="false" customHeight="false" outlineLevel="0" collapsed="false">
      <c r="A283" s="76" t="s">
        <v>169</v>
      </c>
      <c r="B283" s="76" t="s">
        <v>268</v>
      </c>
      <c r="C283" s="77" t="n">
        <v>2022</v>
      </c>
      <c r="D283" s="77" t="n">
        <v>3</v>
      </c>
      <c r="E283" s="78" t="n">
        <v>44651</v>
      </c>
      <c r="F283" s="76" t="s">
        <v>236</v>
      </c>
      <c r="G283" s="76" t="s">
        <v>237</v>
      </c>
      <c r="H283" s="76" t="s">
        <v>238</v>
      </c>
      <c r="I283" s="79" t="n">
        <v>49360</v>
      </c>
      <c r="J283" s="79" t="n">
        <v>33745</v>
      </c>
      <c r="K283" s="80" t="n">
        <v>2.22</v>
      </c>
      <c r="L283" s="79" t="n">
        <v>7534</v>
      </c>
      <c r="M283" s="79" t="n">
        <v>162924</v>
      </c>
      <c r="N283" s="80" t="n">
        <v>0.62</v>
      </c>
      <c r="O283" s="80" t="n">
        <v>308.309997558594</v>
      </c>
      <c r="P283" s="47" t="n">
        <v>18</v>
      </c>
      <c r="Q283" s="66" t="s">
        <v>547</v>
      </c>
    </row>
    <row r="284" customFormat="false" ht="15" hidden="false" customHeight="false" outlineLevel="0" collapsed="false">
      <c r="A284" s="76" t="s">
        <v>169</v>
      </c>
      <c r="B284" s="76" t="s">
        <v>270</v>
      </c>
      <c r="C284" s="77" t="n">
        <v>2022</v>
      </c>
      <c r="D284" s="77" t="n">
        <v>2</v>
      </c>
      <c r="E284" s="78" t="n">
        <v>44561</v>
      </c>
      <c r="F284" s="76" t="s">
        <v>236</v>
      </c>
      <c r="G284" s="76" t="s">
        <v>237</v>
      </c>
      <c r="H284" s="76" t="s">
        <v>238</v>
      </c>
      <c r="I284" s="79" t="n">
        <v>51728</v>
      </c>
      <c r="J284" s="79" t="n">
        <v>34768</v>
      </c>
      <c r="K284" s="80" t="n">
        <v>2.48</v>
      </c>
      <c r="L284" s="79" t="n">
        <v>7555</v>
      </c>
      <c r="M284" s="79" t="n">
        <v>160010</v>
      </c>
      <c r="N284" s="80" t="n">
        <v>0.62</v>
      </c>
      <c r="O284" s="80" t="n">
        <v>336.320007324219</v>
      </c>
      <c r="P284" s="47" t="n">
        <v>19</v>
      </c>
      <c r="Q284" s="66" t="s">
        <v>548</v>
      </c>
    </row>
    <row r="285" customFormat="false" ht="15" hidden="false" customHeight="false" outlineLevel="0" collapsed="false">
      <c r="A285" s="76" t="s">
        <v>169</v>
      </c>
      <c r="B285" s="76" t="s">
        <v>272</v>
      </c>
      <c r="C285" s="77" t="n">
        <v>2022</v>
      </c>
      <c r="D285" s="77" t="n">
        <v>1</v>
      </c>
      <c r="E285" s="78" t="n">
        <v>44469</v>
      </c>
      <c r="F285" s="76" t="s">
        <v>236</v>
      </c>
      <c r="G285" s="76" t="s">
        <v>237</v>
      </c>
      <c r="H285" s="76" t="s">
        <v>238</v>
      </c>
      <c r="I285" s="79" t="n">
        <v>45317</v>
      </c>
      <c r="J285" s="79" t="n">
        <v>31671</v>
      </c>
      <c r="K285" s="80" t="n">
        <v>2.27</v>
      </c>
      <c r="L285" s="79" t="n">
        <v>7567</v>
      </c>
      <c r="M285" s="79" t="n">
        <v>151978</v>
      </c>
      <c r="N285" s="80" t="n">
        <v>0.56</v>
      </c>
      <c r="O285" s="80" t="n">
        <v>281.920013427734</v>
      </c>
      <c r="P285" s="47" t="n">
        <v>20</v>
      </c>
      <c r="Q285" s="66" t="s">
        <v>549</v>
      </c>
    </row>
    <row r="286" customFormat="false" ht="15" hidden="false" customHeight="false" outlineLevel="0" collapsed="false">
      <c r="A286" s="76" t="s">
        <v>169</v>
      </c>
      <c r="B286" s="76" t="s">
        <v>274</v>
      </c>
      <c r="C286" s="77" t="n">
        <v>2021</v>
      </c>
      <c r="D286" s="77" t="n">
        <v>4</v>
      </c>
      <c r="E286" s="78" t="n">
        <v>44377</v>
      </c>
      <c r="F286" s="76" t="s">
        <v>236</v>
      </c>
      <c r="G286" s="76" t="s">
        <v>237</v>
      </c>
      <c r="H286" s="76" t="s">
        <v>238</v>
      </c>
      <c r="I286" s="79" t="n">
        <v>46152</v>
      </c>
      <c r="J286" s="79" t="n">
        <v>32161</v>
      </c>
      <c r="K286" s="80" t="n">
        <v>2.17</v>
      </c>
      <c r="L286" s="79"/>
      <c r="M286" s="79" t="n">
        <v>141988</v>
      </c>
      <c r="N286" s="80" t="n">
        <v>0.56</v>
      </c>
      <c r="O286" s="80" t="n">
        <v>270.899993896484</v>
      </c>
      <c r="P286" s="47" t="n">
        <v>21</v>
      </c>
      <c r="Q286" s="66" t="s">
        <v>550</v>
      </c>
    </row>
    <row r="287" customFormat="false" ht="15" hidden="false" customHeight="false" outlineLevel="0" collapsed="false">
      <c r="A287" s="76" t="s">
        <v>169</v>
      </c>
      <c r="B287" s="76" t="s">
        <v>276</v>
      </c>
      <c r="C287" s="77" t="n">
        <v>2021</v>
      </c>
      <c r="D287" s="77" t="n">
        <v>3</v>
      </c>
      <c r="E287" s="78" t="n">
        <v>44286</v>
      </c>
      <c r="F287" s="76" t="s">
        <v>236</v>
      </c>
      <c r="G287" s="76" t="s">
        <v>237</v>
      </c>
      <c r="H287" s="76" t="s">
        <v>238</v>
      </c>
      <c r="I287" s="79" t="n">
        <v>41706</v>
      </c>
      <c r="J287" s="79" t="n">
        <v>28661</v>
      </c>
      <c r="K287" s="80" t="n">
        <v>1.95</v>
      </c>
      <c r="L287" s="79" t="n">
        <v>7597</v>
      </c>
      <c r="M287" s="79" t="n">
        <v>134505</v>
      </c>
      <c r="N287" s="80" t="n">
        <v>0.56</v>
      </c>
      <c r="O287" s="80" t="n">
        <v>235.770004272461</v>
      </c>
      <c r="P287" s="47" t="n">
        <v>22</v>
      </c>
      <c r="Q287" s="66" t="s">
        <v>551</v>
      </c>
    </row>
    <row r="288" customFormat="false" ht="15" hidden="false" customHeight="false" outlineLevel="0" collapsed="false">
      <c r="A288" s="76" t="s">
        <v>169</v>
      </c>
      <c r="B288" s="76" t="s">
        <v>278</v>
      </c>
      <c r="C288" s="77" t="n">
        <v>2021</v>
      </c>
      <c r="D288" s="77" t="n">
        <v>2</v>
      </c>
      <c r="E288" s="78" t="n">
        <v>44196</v>
      </c>
      <c r="F288" s="76" t="s">
        <v>236</v>
      </c>
      <c r="G288" s="76" t="s">
        <v>237</v>
      </c>
      <c r="H288" s="76" t="s">
        <v>238</v>
      </c>
      <c r="I288" s="79" t="n">
        <v>43076</v>
      </c>
      <c r="J288" s="79" t="n">
        <v>28882</v>
      </c>
      <c r="K288" s="80" t="n">
        <v>2.03</v>
      </c>
      <c r="L288" s="79" t="n">
        <v>7616</v>
      </c>
      <c r="M288" s="79" t="n">
        <v>130236</v>
      </c>
      <c r="N288" s="80" t="n">
        <v>0.56</v>
      </c>
      <c r="O288" s="80" t="n">
        <v>222.419998168945</v>
      </c>
      <c r="P288" s="47" t="n">
        <v>23</v>
      </c>
      <c r="Q288" s="66" t="s">
        <v>552</v>
      </c>
    </row>
    <row r="289" customFormat="false" ht="15" hidden="false" customHeight="false" outlineLevel="0" collapsed="false">
      <c r="A289" s="76" t="s">
        <v>169</v>
      </c>
      <c r="B289" s="76" t="s">
        <v>280</v>
      </c>
      <c r="C289" s="77" t="n">
        <v>2021</v>
      </c>
      <c r="D289" s="77" t="n">
        <v>1</v>
      </c>
      <c r="E289" s="78" t="n">
        <v>44104</v>
      </c>
      <c r="F289" s="76" t="s">
        <v>236</v>
      </c>
      <c r="G289" s="76" t="s">
        <v>237</v>
      </c>
      <c r="H289" s="76" t="s">
        <v>238</v>
      </c>
      <c r="I289" s="79" t="n">
        <v>37154</v>
      </c>
      <c r="J289" s="79" t="n">
        <v>26152</v>
      </c>
      <c r="K289" s="80" t="n">
        <v>1.82</v>
      </c>
      <c r="L289" s="79" t="n">
        <v>7637</v>
      </c>
      <c r="M289" s="79" t="n">
        <v>123392</v>
      </c>
      <c r="N289" s="80"/>
      <c r="O289" s="80" t="n">
        <v>210.330001831055</v>
      </c>
      <c r="P289" s="47" t="n">
        <v>24</v>
      </c>
      <c r="Q289" s="66" t="s">
        <v>553</v>
      </c>
    </row>
    <row r="290" customFormat="false" ht="15" hidden="false" customHeight="false" outlineLevel="0" collapsed="false">
      <c r="A290" s="76" t="s">
        <v>182</v>
      </c>
      <c r="B290" s="76" t="s">
        <v>286</v>
      </c>
      <c r="C290" s="77" t="n">
        <v>2026</v>
      </c>
      <c r="D290" s="77" t="n">
        <v>3</v>
      </c>
      <c r="E290" s="78" t="n">
        <v>46173</v>
      </c>
      <c r="F290" s="76" t="s">
        <v>236</v>
      </c>
      <c r="G290" s="76" t="s">
        <v>237</v>
      </c>
      <c r="H290" s="76" t="s">
        <v>238</v>
      </c>
      <c r="I290" s="79" t="n">
        <v>41456</v>
      </c>
      <c r="J290" s="79" t="n">
        <v>35056</v>
      </c>
      <c r="K290" s="80" t="n">
        <v>25.11</v>
      </c>
      <c r="L290" s="79" t="n">
        <v>1145</v>
      </c>
      <c r="M290" s="79" t="n">
        <v>100724</v>
      </c>
      <c r="N290" s="80" t="n">
        <v>0.15</v>
      </c>
      <c r="O290" s="80" t="n">
        <v>971</v>
      </c>
      <c r="P290" s="47" t="n">
        <v>1</v>
      </c>
      <c r="Q290" s="66" t="s">
        <v>554</v>
      </c>
    </row>
    <row r="291" customFormat="false" ht="15" hidden="false" customHeight="false" outlineLevel="0" collapsed="false">
      <c r="A291" s="76" t="s">
        <v>182</v>
      </c>
      <c r="B291" s="76" t="s">
        <v>235</v>
      </c>
      <c r="C291" s="77" t="n">
        <v>2026</v>
      </c>
      <c r="D291" s="77" t="n">
        <v>2</v>
      </c>
      <c r="E291" s="78" t="n">
        <v>46081</v>
      </c>
      <c r="F291" s="76" t="s">
        <v>236</v>
      </c>
      <c r="G291" s="76" t="s">
        <v>237</v>
      </c>
      <c r="H291" s="76" t="s">
        <v>238</v>
      </c>
      <c r="I291" s="79" t="n">
        <v>23860</v>
      </c>
      <c r="J291" s="79" t="n">
        <v>17755</v>
      </c>
      <c r="K291" s="80" t="n">
        <v>12.2</v>
      </c>
      <c r="L291" s="79" t="n">
        <v>1142</v>
      </c>
      <c r="M291" s="79" t="n">
        <v>72459</v>
      </c>
      <c r="N291" s="80" t="n">
        <v>0.115</v>
      </c>
      <c r="O291" s="80" t="n">
        <v>412.369995117188</v>
      </c>
      <c r="P291" s="47" t="n">
        <v>2</v>
      </c>
      <c r="Q291" s="66" t="s">
        <v>555</v>
      </c>
    </row>
    <row r="292" customFormat="false" ht="15" hidden="false" customHeight="false" outlineLevel="0" collapsed="false">
      <c r="A292" s="76" t="s">
        <v>182</v>
      </c>
      <c r="B292" s="76" t="s">
        <v>240</v>
      </c>
      <c r="C292" s="77" t="n">
        <v>2026</v>
      </c>
      <c r="D292" s="77" t="n">
        <v>1</v>
      </c>
      <c r="E292" s="78" t="n">
        <v>45991</v>
      </c>
      <c r="F292" s="76" t="s">
        <v>236</v>
      </c>
      <c r="G292" s="76" t="s">
        <v>237</v>
      </c>
      <c r="H292" s="76" t="s">
        <v>238</v>
      </c>
      <c r="I292" s="79" t="n">
        <v>13643</v>
      </c>
      <c r="J292" s="79" t="n">
        <v>7646</v>
      </c>
      <c r="K292" s="80" t="n">
        <v>4.78</v>
      </c>
      <c r="L292" s="79" t="n">
        <v>1138</v>
      </c>
      <c r="M292" s="79" t="n">
        <v>58806</v>
      </c>
      <c r="N292" s="80" t="n">
        <v>0.115</v>
      </c>
      <c r="O292" s="80" t="n">
        <v>236.479995727539</v>
      </c>
      <c r="P292" s="47" t="n">
        <v>3</v>
      </c>
      <c r="Q292" s="66" t="s">
        <v>556</v>
      </c>
    </row>
    <row r="293" customFormat="false" ht="15" hidden="false" customHeight="false" outlineLevel="0" collapsed="false">
      <c r="A293" s="76" t="s">
        <v>182</v>
      </c>
      <c r="B293" s="76" t="s">
        <v>242</v>
      </c>
      <c r="C293" s="77" t="n">
        <v>2025</v>
      </c>
      <c r="D293" s="77" t="n">
        <v>4</v>
      </c>
      <c r="E293" s="78" t="n">
        <v>45900</v>
      </c>
      <c r="F293" s="76" t="s">
        <v>236</v>
      </c>
      <c r="G293" s="76" t="s">
        <v>237</v>
      </c>
      <c r="H293" s="76" t="s">
        <v>238</v>
      </c>
      <c r="I293" s="79" t="n">
        <v>11315</v>
      </c>
      <c r="J293" s="79" t="n">
        <v>5054</v>
      </c>
      <c r="K293" s="80" t="n">
        <v>3.03</v>
      </c>
      <c r="L293" s="79" t="n">
        <v>1131</v>
      </c>
      <c r="M293" s="79" t="n">
        <v>54165</v>
      </c>
      <c r="N293" s="80" t="n">
        <v>0.115</v>
      </c>
      <c r="O293" s="80" t="n">
        <v>119.010002136231</v>
      </c>
      <c r="P293" s="47" t="n">
        <v>4</v>
      </c>
      <c r="Q293" s="66" t="s">
        <v>557</v>
      </c>
    </row>
    <row r="294" customFormat="false" ht="15" hidden="false" customHeight="false" outlineLevel="0" collapsed="false">
      <c r="A294" s="76" t="s">
        <v>182</v>
      </c>
      <c r="B294" s="76" t="s">
        <v>244</v>
      </c>
      <c r="C294" s="77" t="n">
        <v>2025</v>
      </c>
      <c r="D294" s="77" t="n">
        <v>3</v>
      </c>
      <c r="E294" s="78" t="n">
        <v>45808</v>
      </c>
      <c r="F294" s="76" t="s">
        <v>236</v>
      </c>
      <c r="G294" s="76" t="s">
        <v>237</v>
      </c>
      <c r="H294" s="76" t="s">
        <v>238</v>
      </c>
      <c r="I294" s="79" t="n">
        <v>9301</v>
      </c>
      <c r="J294" s="79" t="n">
        <v>3508</v>
      </c>
      <c r="K294" s="80" t="n">
        <v>1.91</v>
      </c>
      <c r="L294" s="79" t="n">
        <v>1125</v>
      </c>
      <c r="M294" s="79" t="n">
        <v>50748</v>
      </c>
      <c r="N294" s="80" t="n">
        <v>0.115</v>
      </c>
      <c r="O294" s="80" t="n">
        <v>94.4599990844727</v>
      </c>
      <c r="P294" s="47" t="n">
        <v>5</v>
      </c>
      <c r="Q294" s="66" t="s">
        <v>558</v>
      </c>
    </row>
    <row r="295" customFormat="false" ht="15" hidden="false" customHeight="false" outlineLevel="0" collapsed="false">
      <c r="A295" s="76" t="s">
        <v>182</v>
      </c>
      <c r="B295" s="76" t="s">
        <v>246</v>
      </c>
      <c r="C295" s="77" t="n">
        <v>2025</v>
      </c>
      <c r="D295" s="77" t="n">
        <v>2</v>
      </c>
      <c r="E295" s="78" t="n">
        <v>45716</v>
      </c>
      <c r="F295" s="76" t="s">
        <v>236</v>
      </c>
      <c r="G295" s="76" t="s">
        <v>237</v>
      </c>
      <c r="H295" s="76" t="s">
        <v>238</v>
      </c>
      <c r="I295" s="79" t="n">
        <v>8053</v>
      </c>
      <c r="J295" s="79" t="n">
        <v>2963</v>
      </c>
      <c r="K295" s="80" t="n">
        <v>1.56</v>
      </c>
      <c r="L295" s="79" t="n">
        <v>1128.5</v>
      </c>
      <c r="M295" s="79" t="n">
        <v>48633</v>
      </c>
      <c r="N295" s="80" t="n">
        <v>0.115</v>
      </c>
      <c r="O295" s="80" t="n">
        <v>93.629997253418</v>
      </c>
      <c r="P295" s="47" t="n">
        <v>6</v>
      </c>
      <c r="Q295" s="66" t="s">
        <v>559</v>
      </c>
    </row>
    <row r="296" customFormat="false" ht="15" hidden="false" customHeight="false" outlineLevel="0" collapsed="false">
      <c r="A296" s="76" t="s">
        <v>182</v>
      </c>
      <c r="B296" s="76" t="s">
        <v>248</v>
      </c>
      <c r="C296" s="77" t="n">
        <v>2025</v>
      </c>
      <c r="D296" s="77" t="n">
        <v>1</v>
      </c>
      <c r="E296" s="78" t="n">
        <v>45626</v>
      </c>
      <c r="F296" s="76" t="s">
        <v>236</v>
      </c>
      <c r="G296" s="76" t="s">
        <v>237</v>
      </c>
      <c r="H296" s="76" t="s">
        <v>238</v>
      </c>
      <c r="I296" s="79" t="n">
        <v>8709</v>
      </c>
      <c r="J296" s="79" t="n">
        <v>3348</v>
      </c>
      <c r="K296" s="80" t="n">
        <v>1.79</v>
      </c>
      <c r="L296" s="79" t="n">
        <v>1123.5</v>
      </c>
      <c r="M296" s="79" t="n">
        <v>46797</v>
      </c>
      <c r="N296" s="80" t="n">
        <v>0.115</v>
      </c>
      <c r="O296" s="80" t="n">
        <v>97.9499969482422</v>
      </c>
      <c r="P296" s="47" t="n">
        <v>7</v>
      </c>
      <c r="Q296" s="66" t="s">
        <v>560</v>
      </c>
    </row>
    <row r="297" customFormat="false" ht="15" hidden="false" customHeight="false" outlineLevel="0" collapsed="false">
      <c r="A297" s="76" t="s">
        <v>182</v>
      </c>
      <c r="B297" s="76" t="s">
        <v>250</v>
      </c>
      <c r="C297" s="77" t="n">
        <v>2024</v>
      </c>
      <c r="D297" s="77" t="n">
        <v>4</v>
      </c>
      <c r="E297" s="78" t="n">
        <v>45535</v>
      </c>
      <c r="F297" s="76" t="s">
        <v>236</v>
      </c>
      <c r="G297" s="76" t="s">
        <v>237</v>
      </c>
      <c r="H297" s="76" t="s">
        <v>238</v>
      </c>
      <c r="I297" s="79" t="n">
        <v>7750</v>
      </c>
      <c r="J297" s="79" t="n">
        <v>2737</v>
      </c>
      <c r="K297" s="80" t="n">
        <v>1.18</v>
      </c>
      <c r="L297" s="79"/>
      <c r="M297" s="79" t="n">
        <v>45131</v>
      </c>
      <c r="N297" s="80" t="n">
        <v>0.115</v>
      </c>
      <c r="O297" s="80" t="n">
        <v>96.2399978637695</v>
      </c>
      <c r="P297" s="47" t="n">
        <v>8</v>
      </c>
      <c r="Q297" s="66" t="s">
        <v>561</v>
      </c>
    </row>
    <row r="298" customFormat="false" ht="15" hidden="false" customHeight="false" outlineLevel="0" collapsed="false">
      <c r="A298" s="76" t="s">
        <v>182</v>
      </c>
      <c r="B298" s="76" t="s">
        <v>252</v>
      </c>
      <c r="C298" s="77" t="n">
        <v>2024</v>
      </c>
      <c r="D298" s="77" t="n">
        <v>3</v>
      </c>
      <c r="E298" s="78" t="n">
        <v>45443</v>
      </c>
      <c r="F298" s="76" t="s">
        <v>236</v>
      </c>
      <c r="G298" s="76" t="s">
        <v>237</v>
      </c>
      <c r="H298" s="76" t="s">
        <v>238</v>
      </c>
      <c r="I298" s="79" t="n">
        <v>6811</v>
      </c>
      <c r="J298" s="79" t="n">
        <v>1832</v>
      </c>
      <c r="K298" s="80" t="n">
        <v>0.62</v>
      </c>
      <c r="L298" s="79" t="n">
        <v>1102</v>
      </c>
      <c r="M298" s="79" t="n">
        <v>44225</v>
      </c>
      <c r="N298" s="80" t="n">
        <v>0.115</v>
      </c>
      <c r="O298" s="80" t="n">
        <v>125</v>
      </c>
      <c r="P298" s="47" t="n">
        <v>9</v>
      </c>
      <c r="Q298" s="66" t="s">
        <v>562</v>
      </c>
    </row>
    <row r="299" customFormat="false" ht="15" hidden="false" customHeight="false" outlineLevel="0" collapsed="false">
      <c r="A299" s="76" t="s">
        <v>182</v>
      </c>
      <c r="B299" s="76" t="s">
        <v>254</v>
      </c>
      <c r="C299" s="77" t="n">
        <v>2024</v>
      </c>
      <c r="D299" s="77" t="n">
        <v>2</v>
      </c>
      <c r="E299" s="78" t="n">
        <v>45351</v>
      </c>
      <c r="F299" s="76" t="s">
        <v>236</v>
      </c>
      <c r="G299" s="76" t="s">
        <v>237</v>
      </c>
      <c r="H299" s="76" t="s">
        <v>238</v>
      </c>
      <c r="I299" s="79" t="n">
        <v>5824</v>
      </c>
      <c r="J299" s="79" t="n">
        <v>1079</v>
      </c>
      <c r="K299" s="80" t="n">
        <v>0.42</v>
      </c>
      <c r="L299" s="79" t="n">
        <v>1098.5</v>
      </c>
      <c r="M299" s="79" t="n">
        <v>43870</v>
      </c>
      <c r="N299" s="80" t="n">
        <v>0.115</v>
      </c>
      <c r="O299" s="80" t="n">
        <v>90.6100006103516</v>
      </c>
      <c r="P299" s="47" t="n">
        <v>10</v>
      </c>
      <c r="Q299" s="66" t="s">
        <v>563</v>
      </c>
    </row>
    <row r="300" customFormat="false" ht="15" hidden="false" customHeight="false" outlineLevel="0" collapsed="false">
      <c r="A300" s="76" t="s">
        <v>182</v>
      </c>
      <c r="B300" s="76" t="s">
        <v>256</v>
      </c>
      <c r="C300" s="77" t="n">
        <v>2024</v>
      </c>
      <c r="D300" s="77" t="n">
        <v>1</v>
      </c>
      <c r="E300" s="78" t="n">
        <v>45260</v>
      </c>
      <c r="F300" s="76" t="s">
        <v>236</v>
      </c>
      <c r="G300" s="76" t="s">
        <v>237</v>
      </c>
      <c r="H300" s="76" t="s">
        <v>238</v>
      </c>
      <c r="I300" s="79" t="n">
        <v>4726</v>
      </c>
      <c r="J300" s="79" t="n">
        <v>-35</v>
      </c>
      <c r="K300" s="80" t="n">
        <v>-0.95</v>
      </c>
      <c r="L300" s="79" t="n">
        <v>1095.5</v>
      </c>
      <c r="M300" s="79" t="n">
        <v>42885</v>
      </c>
      <c r="N300" s="80" t="n">
        <v>0.115</v>
      </c>
      <c r="O300" s="80" t="n">
        <v>76.120002746582</v>
      </c>
      <c r="P300" s="47" t="n">
        <v>11</v>
      </c>
      <c r="Q300" s="66" t="s">
        <v>564</v>
      </c>
    </row>
    <row r="301" customFormat="false" ht="15" hidden="false" customHeight="false" outlineLevel="0" collapsed="false">
      <c r="A301" s="76" t="s">
        <v>182</v>
      </c>
      <c r="B301" s="76" t="s">
        <v>258</v>
      </c>
      <c r="C301" s="77" t="n">
        <v>2023</v>
      </c>
      <c r="D301" s="77" t="n">
        <v>4</v>
      </c>
      <c r="E301" s="78" t="n">
        <v>45169</v>
      </c>
      <c r="F301" s="76" t="s">
        <v>236</v>
      </c>
      <c r="G301" s="76" t="s">
        <v>237</v>
      </c>
      <c r="H301" s="76" t="s">
        <v>238</v>
      </c>
      <c r="I301" s="79" t="n">
        <v>4010</v>
      </c>
      <c r="J301" s="79" t="n">
        <v>-435</v>
      </c>
      <c r="K301" s="80" t="n">
        <v>-1.07</v>
      </c>
      <c r="L301" s="79"/>
      <c r="M301" s="79" t="n">
        <v>44120</v>
      </c>
      <c r="N301" s="80" t="n">
        <v>0.115</v>
      </c>
      <c r="O301" s="80" t="n">
        <v>69.9400024414063</v>
      </c>
      <c r="P301" s="47" t="n">
        <v>12</v>
      </c>
      <c r="Q301" s="66" t="s">
        <v>565</v>
      </c>
    </row>
    <row r="302" customFormat="false" ht="15" hidden="false" customHeight="false" outlineLevel="0" collapsed="false">
      <c r="A302" s="76" t="s">
        <v>182</v>
      </c>
      <c r="B302" s="76" t="s">
        <v>260</v>
      </c>
      <c r="C302" s="77" t="n">
        <v>2023</v>
      </c>
      <c r="D302" s="77" t="n">
        <v>3</v>
      </c>
      <c r="E302" s="78" t="n">
        <v>45077</v>
      </c>
      <c r="F302" s="76" t="s">
        <v>236</v>
      </c>
      <c r="G302" s="76" t="s">
        <v>237</v>
      </c>
      <c r="H302" s="76" t="s">
        <v>238</v>
      </c>
      <c r="I302" s="79" t="n">
        <v>3752</v>
      </c>
      <c r="J302" s="79" t="n">
        <v>-668</v>
      </c>
      <c r="K302" s="80" t="n">
        <v>-1.43</v>
      </c>
      <c r="L302" s="79" t="n">
        <v>1094</v>
      </c>
      <c r="M302" s="79" t="n">
        <v>45405</v>
      </c>
      <c r="N302" s="80" t="n">
        <v>0.115</v>
      </c>
      <c r="O302" s="80" t="n">
        <v>68.1999969482422</v>
      </c>
      <c r="P302" s="47" t="n">
        <v>13</v>
      </c>
      <c r="Q302" s="66" t="s">
        <v>566</v>
      </c>
    </row>
    <row r="303" customFormat="false" ht="15" hidden="false" customHeight="false" outlineLevel="0" collapsed="false">
      <c r="A303" s="76" t="s">
        <v>182</v>
      </c>
      <c r="B303" s="76" t="s">
        <v>262</v>
      </c>
      <c r="C303" s="77" t="n">
        <v>2023</v>
      </c>
      <c r="D303" s="77" t="n">
        <v>2</v>
      </c>
      <c r="E303" s="78" t="n">
        <v>44985</v>
      </c>
      <c r="F303" s="76" t="s">
        <v>236</v>
      </c>
      <c r="G303" s="76" t="s">
        <v>237</v>
      </c>
      <c r="H303" s="76" t="s">
        <v>238</v>
      </c>
      <c r="I303" s="79" t="n">
        <v>3693</v>
      </c>
      <c r="J303" s="79" t="n">
        <v>-1206</v>
      </c>
      <c r="K303" s="80" t="n">
        <v>-1.91</v>
      </c>
      <c r="L303" s="79" t="n">
        <v>1091</v>
      </c>
      <c r="M303" s="79" t="n">
        <v>47257</v>
      </c>
      <c r="N303" s="80" t="n">
        <v>0.115</v>
      </c>
      <c r="O303" s="80" t="n">
        <v>57.8199996948242</v>
      </c>
      <c r="P303" s="47" t="n">
        <v>14</v>
      </c>
      <c r="Q303" s="66" t="s">
        <v>567</v>
      </c>
    </row>
    <row r="304" customFormat="false" ht="15" hidden="false" customHeight="false" outlineLevel="0" collapsed="false">
      <c r="A304" s="76" t="s">
        <v>182</v>
      </c>
      <c r="B304" s="76" t="s">
        <v>264</v>
      </c>
      <c r="C304" s="77" t="n">
        <v>2023</v>
      </c>
      <c r="D304" s="77" t="n">
        <v>1</v>
      </c>
      <c r="E304" s="78" t="n">
        <v>44895</v>
      </c>
      <c r="F304" s="76" t="s">
        <v>236</v>
      </c>
      <c r="G304" s="76" t="s">
        <v>237</v>
      </c>
      <c r="H304" s="76" t="s">
        <v>238</v>
      </c>
      <c r="I304" s="79" t="n">
        <v>4085</v>
      </c>
      <c r="J304" s="79" t="n">
        <v>893</v>
      </c>
      <c r="K304" s="80" t="n">
        <v>-0.04</v>
      </c>
      <c r="L304" s="79" t="n">
        <v>1090</v>
      </c>
      <c r="M304" s="79" t="n">
        <v>49306</v>
      </c>
      <c r="N304" s="80" t="n">
        <v>0.115</v>
      </c>
      <c r="O304" s="80" t="n">
        <v>57.6500015258789</v>
      </c>
      <c r="P304" s="47" t="n">
        <v>15</v>
      </c>
      <c r="Q304" s="66" t="s">
        <v>568</v>
      </c>
    </row>
    <row r="305" customFormat="false" ht="15" hidden="false" customHeight="false" outlineLevel="0" collapsed="false">
      <c r="A305" s="76" t="s">
        <v>182</v>
      </c>
      <c r="B305" s="76" t="s">
        <v>266</v>
      </c>
      <c r="C305" s="77" t="n">
        <v>2022</v>
      </c>
      <c r="D305" s="77" t="n">
        <v>4</v>
      </c>
      <c r="E305" s="78" t="n">
        <v>44804</v>
      </c>
      <c r="F305" s="76" t="s">
        <v>236</v>
      </c>
      <c r="G305" s="76" t="s">
        <v>237</v>
      </c>
      <c r="H305" s="76" t="s">
        <v>238</v>
      </c>
      <c r="I305" s="79" t="n">
        <v>6643</v>
      </c>
      <c r="J305" s="79" t="n">
        <v>2622</v>
      </c>
      <c r="K305" s="80" t="n">
        <v>1.45</v>
      </c>
      <c r="L305" s="79"/>
      <c r="M305" s="79" t="n">
        <v>49907</v>
      </c>
      <c r="N305" s="80" t="n">
        <v>0.115</v>
      </c>
      <c r="O305" s="80" t="n">
        <v>56.5299987792969</v>
      </c>
      <c r="P305" s="47" t="n">
        <v>16</v>
      </c>
      <c r="Q305" s="66" t="s">
        <v>569</v>
      </c>
    </row>
    <row r="306" customFormat="false" ht="15" hidden="false" customHeight="false" outlineLevel="0" collapsed="false">
      <c r="A306" s="76" t="s">
        <v>182</v>
      </c>
      <c r="B306" s="76" t="s">
        <v>268</v>
      </c>
      <c r="C306" s="77" t="n">
        <v>2022</v>
      </c>
      <c r="D306" s="77" t="n">
        <v>3</v>
      </c>
      <c r="E306" s="78" t="n">
        <v>44712</v>
      </c>
      <c r="F306" s="76" t="s">
        <v>236</v>
      </c>
      <c r="G306" s="76" t="s">
        <v>237</v>
      </c>
      <c r="H306" s="76" t="s">
        <v>238</v>
      </c>
      <c r="I306" s="79" t="n">
        <v>8642</v>
      </c>
      <c r="J306" s="79" t="n">
        <v>4035</v>
      </c>
      <c r="K306" s="80" t="n">
        <v>2.59</v>
      </c>
      <c r="L306" s="79" t="n">
        <v>1121</v>
      </c>
      <c r="M306" s="79" t="n">
        <v>49281</v>
      </c>
      <c r="N306" s="80" t="n">
        <v>0.1</v>
      </c>
      <c r="O306" s="80" t="n">
        <v>73.8399963378906</v>
      </c>
      <c r="P306" s="47" t="n">
        <v>17</v>
      </c>
      <c r="Q306" s="66" t="s">
        <v>570</v>
      </c>
    </row>
    <row r="307" customFormat="false" ht="15" hidden="false" customHeight="false" outlineLevel="0" collapsed="false">
      <c r="A307" s="76" t="s">
        <v>182</v>
      </c>
      <c r="B307" s="76" t="s">
        <v>270</v>
      </c>
      <c r="C307" s="77" t="n">
        <v>2022</v>
      </c>
      <c r="D307" s="77" t="n">
        <v>2</v>
      </c>
      <c r="E307" s="78" t="n">
        <v>44620</v>
      </c>
      <c r="F307" s="76" t="s">
        <v>236</v>
      </c>
      <c r="G307" s="76" t="s">
        <v>237</v>
      </c>
      <c r="H307" s="76" t="s">
        <v>238</v>
      </c>
      <c r="I307" s="79" t="n">
        <v>7786</v>
      </c>
      <c r="J307" s="79" t="n">
        <v>3676</v>
      </c>
      <c r="K307" s="80" t="n">
        <v>2.14</v>
      </c>
      <c r="L307" s="79" t="n">
        <v>1130</v>
      </c>
      <c r="M307" s="79" t="n">
        <v>47845</v>
      </c>
      <c r="N307" s="80" t="n">
        <v>0.1</v>
      </c>
      <c r="O307" s="80" t="n">
        <v>88.8600006103516</v>
      </c>
      <c r="P307" s="47" t="n">
        <v>18</v>
      </c>
      <c r="Q307" s="66" t="s">
        <v>571</v>
      </c>
    </row>
    <row r="308" customFormat="false" ht="15" hidden="false" customHeight="false" outlineLevel="0" collapsed="false">
      <c r="A308" s="76" t="s">
        <v>182</v>
      </c>
      <c r="B308" s="76" t="s">
        <v>272</v>
      </c>
      <c r="C308" s="77" t="n">
        <v>2022</v>
      </c>
      <c r="D308" s="77" t="n">
        <v>1</v>
      </c>
      <c r="E308" s="78" t="n">
        <v>44530</v>
      </c>
      <c r="F308" s="76" t="s">
        <v>236</v>
      </c>
      <c r="G308" s="76" t="s">
        <v>237</v>
      </c>
      <c r="H308" s="76" t="s">
        <v>238</v>
      </c>
      <c r="I308" s="79" t="n">
        <v>7687</v>
      </c>
      <c r="J308" s="79" t="n">
        <v>3565</v>
      </c>
      <c r="K308" s="80" t="n">
        <v>2.16</v>
      </c>
      <c r="L308" s="79" t="n">
        <v>1130</v>
      </c>
      <c r="M308" s="79" t="n">
        <v>45908</v>
      </c>
      <c r="N308" s="80" t="n">
        <v>0.1</v>
      </c>
      <c r="O308" s="80" t="n">
        <v>84</v>
      </c>
      <c r="P308" s="47" t="n">
        <v>19</v>
      </c>
      <c r="Q308" s="66" t="s">
        <v>572</v>
      </c>
    </row>
    <row r="309" customFormat="false" ht="15" hidden="false" customHeight="false" outlineLevel="0" collapsed="false">
      <c r="A309" s="76" t="s">
        <v>182</v>
      </c>
      <c r="B309" s="76" t="s">
        <v>274</v>
      </c>
      <c r="C309" s="77" t="n">
        <v>2021</v>
      </c>
      <c r="D309" s="77" t="n">
        <v>4</v>
      </c>
      <c r="E309" s="78" t="n">
        <v>44439</v>
      </c>
      <c r="F309" s="76" t="s">
        <v>236</v>
      </c>
      <c r="G309" s="76" t="s">
        <v>237</v>
      </c>
      <c r="H309" s="76" t="s">
        <v>238</v>
      </c>
      <c r="I309" s="79" t="n">
        <v>8274</v>
      </c>
      <c r="J309" s="79" t="n">
        <v>3912</v>
      </c>
      <c r="K309" s="80" t="n">
        <v>2.42</v>
      </c>
      <c r="L309" s="79"/>
      <c r="M309" s="79" t="n">
        <v>43933</v>
      </c>
      <c r="N309" s="80" t="n">
        <v>0</v>
      </c>
      <c r="O309" s="80" t="n">
        <v>73.6999969482422</v>
      </c>
      <c r="P309" s="47" t="n">
        <v>20</v>
      </c>
      <c r="Q309" s="66" t="s">
        <v>573</v>
      </c>
    </row>
    <row r="310" customFormat="false" ht="15" hidden="false" customHeight="false" outlineLevel="0" collapsed="false">
      <c r="A310" s="76" t="s">
        <v>182</v>
      </c>
      <c r="B310" s="76" t="s">
        <v>276</v>
      </c>
      <c r="C310" s="77" t="n">
        <v>2021</v>
      </c>
      <c r="D310" s="77" t="n">
        <v>3</v>
      </c>
      <c r="E310" s="78" t="n">
        <v>44347</v>
      </c>
      <c r="F310" s="76" t="s">
        <v>236</v>
      </c>
      <c r="G310" s="76" t="s">
        <v>237</v>
      </c>
      <c r="H310" s="76" t="s">
        <v>238</v>
      </c>
      <c r="I310" s="79" t="n">
        <v>7422</v>
      </c>
      <c r="J310" s="79" t="n">
        <v>3126</v>
      </c>
      <c r="K310" s="80" t="n">
        <v>1.88</v>
      </c>
      <c r="L310" s="79" t="n">
        <v>1145</v>
      </c>
      <c r="M310" s="79" t="n">
        <v>42259</v>
      </c>
      <c r="N310" s="80" t="n">
        <v>0</v>
      </c>
      <c r="O310" s="80" t="n">
        <v>84.1399993896484</v>
      </c>
      <c r="P310" s="47" t="n">
        <v>21</v>
      </c>
      <c r="Q310" s="66" t="s">
        <v>574</v>
      </c>
    </row>
    <row r="311" customFormat="false" ht="15" hidden="false" customHeight="false" outlineLevel="0" collapsed="false">
      <c r="A311" s="76" t="s">
        <v>182</v>
      </c>
      <c r="B311" s="76" t="s">
        <v>278</v>
      </c>
      <c r="C311" s="77" t="n">
        <v>2021</v>
      </c>
      <c r="D311" s="77" t="n">
        <v>2</v>
      </c>
      <c r="E311" s="78" t="n">
        <v>44255</v>
      </c>
      <c r="F311" s="76" t="s">
        <v>236</v>
      </c>
      <c r="G311" s="76" t="s">
        <v>237</v>
      </c>
      <c r="H311" s="76" t="s">
        <v>238</v>
      </c>
      <c r="I311" s="79" t="n">
        <v>6236</v>
      </c>
      <c r="J311" s="79" t="n">
        <v>1649</v>
      </c>
      <c r="K311" s="80" t="n">
        <v>0.98</v>
      </c>
      <c r="L311" s="79" t="n">
        <v>1144</v>
      </c>
      <c r="M311" s="79" t="n">
        <v>40663</v>
      </c>
      <c r="N311" s="80" t="n">
        <v>0</v>
      </c>
      <c r="O311" s="80" t="n">
        <v>91.5299987792969</v>
      </c>
      <c r="P311" s="47" t="n">
        <v>22</v>
      </c>
      <c r="Q311" s="66" t="s">
        <v>575</v>
      </c>
    </row>
    <row r="312" customFormat="false" ht="15" hidden="false" customHeight="false" outlineLevel="0" collapsed="false">
      <c r="A312" s="76" t="s">
        <v>182</v>
      </c>
      <c r="B312" s="76" t="s">
        <v>280</v>
      </c>
      <c r="C312" s="77" t="n">
        <v>2021</v>
      </c>
      <c r="D312" s="77" t="n">
        <v>1</v>
      </c>
      <c r="E312" s="78" t="n">
        <v>44165</v>
      </c>
      <c r="F312" s="76" t="s">
        <v>236</v>
      </c>
      <c r="G312" s="76" t="s">
        <v>237</v>
      </c>
      <c r="H312" s="76" t="s">
        <v>238</v>
      </c>
      <c r="I312" s="79" t="n">
        <v>5773</v>
      </c>
      <c r="J312" s="79" t="n">
        <v>1736</v>
      </c>
      <c r="K312" s="80" t="n">
        <v>0.78</v>
      </c>
      <c r="L312" s="79" t="n">
        <v>1135</v>
      </c>
      <c r="M312" s="79" t="n">
        <v>39907</v>
      </c>
      <c r="N312" s="80" t="n">
        <v>0</v>
      </c>
      <c r="O312" s="80" t="n">
        <v>64.0899963378906</v>
      </c>
      <c r="P312" s="47" t="n">
        <v>23</v>
      </c>
      <c r="Q312" s="66" t="s">
        <v>576</v>
      </c>
    </row>
    <row r="313" customFormat="false" ht="15" hidden="false" customHeight="false" outlineLevel="0" collapsed="false">
      <c r="A313" s="76" t="s">
        <v>182</v>
      </c>
      <c r="B313" s="76" t="s">
        <v>282</v>
      </c>
      <c r="C313" s="77" t="n">
        <v>2020</v>
      </c>
      <c r="D313" s="77" t="n">
        <v>4</v>
      </c>
      <c r="E313" s="78" t="n">
        <v>44074</v>
      </c>
      <c r="F313" s="76" t="s">
        <v>236</v>
      </c>
      <c r="G313" s="76" t="s">
        <v>237</v>
      </c>
      <c r="H313" s="76" t="s">
        <v>238</v>
      </c>
      <c r="I313" s="79" t="n">
        <v>6056</v>
      </c>
      <c r="J313" s="79" t="n">
        <v>2068</v>
      </c>
      <c r="K313" s="80" t="n">
        <v>1.08</v>
      </c>
      <c r="L313" s="79"/>
      <c r="M313" s="79" t="n">
        <v>38996</v>
      </c>
      <c r="N313" s="80"/>
      <c r="O313" s="80" t="n">
        <v>45.5099983215332</v>
      </c>
      <c r="P313" s="47" t="n">
        <v>24</v>
      </c>
      <c r="Q313" s="66" t="s">
        <v>577</v>
      </c>
    </row>
    <row r="314" customFormat="false" ht="15" hidden="false" customHeight="false" outlineLevel="0" collapsed="false">
      <c r="A314" s="76" t="s">
        <v>193</v>
      </c>
      <c r="B314" s="76" t="s">
        <v>235</v>
      </c>
      <c r="C314" s="77" t="n">
        <v>2026</v>
      </c>
      <c r="D314" s="77" t="n">
        <v>2</v>
      </c>
      <c r="E314" s="78" t="n">
        <v>46203</v>
      </c>
      <c r="F314" s="76" t="s">
        <v>236</v>
      </c>
      <c r="G314" s="76" t="s">
        <v>237</v>
      </c>
      <c r="H314" s="76" t="s">
        <v>238</v>
      </c>
      <c r="I314" s="79" t="n">
        <v>696.061</v>
      </c>
      <c r="J314" s="79" t="n">
        <v>499.517</v>
      </c>
      <c r="K314" s="80" t="n">
        <v>0.29</v>
      </c>
      <c r="L314" s="79" t="n">
        <v>354.334</v>
      </c>
      <c r="M314" s="79" t="n">
        <v>1620.02</v>
      </c>
      <c r="N314" s="80"/>
      <c r="O314" s="80" t="n">
        <v>245.279998779297</v>
      </c>
      <c r="P314" s="47" t="n">
        <v>1</v>
      </c>
      <c r="Q314" s="66" t="s">
        <v>578</v>
      </c>
    </row>
    <row r="315" customFormat="false" ht="15" hidden="false" customHeight="false" outlineLevel="0" collapsed="false">
      <c r="A315" s="76" t="s">
        <v>193</v>
      </c>
      <c r="B315" s="76" t="s">
        <v>240</v>
      </c>
      <c r="C315" s="77" t="n">
        <v>2026</v>
      </c>
      <c r="D315" s="77" t="n">
        <v>1</v>
      </c>
      <c r="E315" s="78" t="n">
        <v>46112</v>
      </c>
      <c r="F315" s="76" t="s">
        <v>236</v>
      </c>
      <c r="G315" s="76" t="s">
        <v>237</v>
      </c>
      <c r="H315" s="76" t="s">
        <v>238</v>
      </c>
      <c r="I315" s="79" t="n">
        <v>639.755</v>
      </c>
      <c r="J315" s="79" t="n">
        <v>455.597</v>
      </c>
      <c r="K315" s="80" t="n">
        <v>0.25</v>
      </c>
      <c r="L315" s="79" t="n">
        <v>352.625</v>
      </c>
      <c r="M315" s="79" t="n">
        <v>1526.708</v>
      </c>
      <c r="N315" s="80"/>
      <c r="O315" s="80" t="n">
        <v>206.339996337891</v>
      </c>
      <c r="P315" s="47" t="n">
        <v>2</v>
      </c>
      <c r="Q315" s="66" t="s">
        <v>579</v>
      </c>
    </row>
    <row r="316" customFormat="false" ht="15" hidden="false" customHeight="false" outlineLevel="0" collapsed="false">
      <c r="A316" s="76" t="s">
        <v>193</v>
      </c>
      <c r="B316" s="76" t="s">
        <v>242</v>
      </c>
      <c r="C316" s="77" t="n">
        <v>2025</v>
      </c>
      <c r="D316" s="77" t="n">
        <v>4</v>
      </c>
      <c r="E316" s="78" t="n">
        <v>46022</v>
      </c>
      <c r="F316" s="76" t="s">
        <v>236</v>
      </c>
      <c r="G316" s="76" t="s">
        <v>237</v>
      </c>
      <c r="H316" s="76" t="s">
        <v>238</v>
      </c>
      <c r="I316" s="79" t="n">
        <v>614.507</v>
      </c>
      <c r="J316" s="79" t="n">
        <v>452.551</v>
      </c>
      <c r="K316" s="80" t="n">
        <v>0.28</v>
      </c>
      <c r="L316" s="79" t="n">
        <v>351.087</v>
      </c>
      <c r="M316" s="79" t="n">
        <v>1459.123</v>
      </c>
      <c r="N316" s="80"/>
      <c r="O316" s="80" t="n">
        <v>197.149993896484</v>
      </c>
      <c r="P316" s="47" t="n">
        <v>3</v>
      </c>
      <c r="Q316" s="66" t="s">
        <v>580</v>
      </c>
    </row>
    <row r="317" customFormat="false" ht="15" hidden="false" customHeight="false" outlineLevel="0" collapsed="false">
      <c r="A317" s="76" t="s">
        <v>193</v>
      </c>
      <c r="B317" s="76" t="s">
        <v>244</v>
      </c>
      <c r="C317" s="77" t="n">
        <v>2025</v>
      </c>
      <c r="D317" s="77" t="n">
        <v>3</v>
      </c>
      <c r="E317" s="78" t="n">
        <v>45930</v>
      </c>
      <c r="F317" s="76" t="s">
        <v>236</v>
      </c>
      <c r="G317" s="76" t="s">
        <v>237</v>
      </c>
      <c r="H317" s="76" t="s">
        <v>238</v>
      </c>
      <c r="I317" s="79" t="n">
        <v>562.027</v>
      </c>
      <c r="J317" s="79" t="n">
        <v>415.711</v>
      </c>
      <c r="K317" s="80" t="n">
        <v>0.27</v>
      </c>
      <c r="L317" s="79" t="n">
        <v>349.312</v>
      </c>
      <c r="M317" s="79" t="n">
        <v>1347.016</v>
      </c>
      <c r="N317" s="80"/>
      <c r="O317" s="80" t="n">
        <v>214.589996337891</v>
      </c>
      <c r="P317" s="47" t="n">
        <v>4</v>
      </c>
      <c r="Q317" s="66" t="s">
        <v>581</v>
      </c>
    </row>
    <row r="318" customFormat="false" ht="15" hidden="false" customHeight="false" outlineLevel="0" collapsed="false">
      <c r="A318" s="76" t="s">
        <v>193</v>
      </c>
      <c r="B318" s="76" t="s">
        <v>246</v>
      </c>
      <c r="C318" s="77" t="n">
        <v>2025</v>
      </c>
      <c r="D318" s="77" t="n">
        <v>2</v>
      </c>
      <c r="E318" s="78" t="n">
        <v>45838</v>
      </c>
      <c r="F318" s="76" t="s">
        <v>236</v>
      </c>
      <c r="G318" s="76" t="s">
        <v>237</v>
      </c>
      <c r="H318" s="76" t="s">
        <v>238</v>
      </c>
      <c r="I318" s="79" t="n">
        <v>512.316</v>
      </c>
      <c r="J318" s="79" t="n">
        <v>383.639</v>
      </c>
      <c r="K318" s="80" t="n">
        <v>0.21</v>
      </c>
      <c r="L318" s="79" t="n">
        <v>347.489</v>
      </c>
      <c r="M318" s="79" t="n">
        <v>1239.727</v>
      </c>
      <c r="N318" s="80"/>
      <c r="O318" s="80" t="n">
        <v>195.830001831055</v>
      </c>
      <c r="P318" s="47" t="n">
        <v>5</v>
      </c>
      <c r="Q318" s="66" t="s">
        <v>582</v>
      </c>
    </row>
    <row r="319" customFormat="false" ht="15" hidden="false" customHeight="false" outlineLevel="0" collapsed="false">
      <c r="A319" s="76" t="s">
        <v>193</v>
      </c>
      <c r="B319" s="76" t="s">
        <v>248</v>
      </c>
      <c r="C319" s="77" t="n">
        <v>2025</v>
      </c>
      <c r="D319" s="77" t="n">
        <v>1</v>
      </c>
      <c r="E319" s="78" t="n">
        <v>45747</v>
      </c>
      <c r="F319" s="76" t="s">
        <v>236</v>
      </c>
      <c r="G319" s="76" t="s">
        <v>237</v>
      </c>
      <c r="H319" s="76" t="s">
        <v>238</v>
      </c>
      <c r="I319" s="79" t="n">
        <v>479.087</v>
      </c>
      <c r="J319" s="79" t="n">
        <v>363.511</v>
      </c>
      <c r="K319" s="80" t="n">
        <v>0.16</v>
      </c>
      <c r="L319" s="79" t="n">
        <v>343.196</v>
      </c>
      <c r="M319" s="79" t="n">
        <v>1425.878</v>
      </c>
      <c r="N319" s="80"/>
      <c r="O319" s="80" t="n">
        <v>112.690002441406</v>
      </c>
      <c r="P319" s="47" t="n">
        <v>6</v>
      </c>
      <c r="Q319" s="66" t="s">
        <v>583</v>
      </c>
    </row>
    <row r="320" customFormat="false" ht="15" hidden="false" customHeight="false" outlineLevel="0" collapsed="false">
      <c r="A320" s="76" t="s">
        <v>193</v>
      </c>
      <c r="B320" s="76" t="s">
        <v>250</v>
      </c>
      <c r="C320" s="77" t="n">
        <v>2024</v>
      </c>
      <c r="D320" s="77" t="n">
        <v>4</v>
      </c>
      <c r="E320" s="78" t="n">
        <v>45657</v>
      </c>
      <c r="F320" s="76" t="s">
        <v>236</v>
      </c>
      <c r="G320" s="76" t="s">
        <v>237</v>
      </c>
      <c r="H320" s="76" t="s">
        <v>238</v>
      </c>
      <c r="I320" s="79" t="n">
        <v>459.946</v>
      </c>
      <c r="J320" s="79" t="n">
        <v>351.26</v>
      </c>
      <c r="K320" s="80" t="n">
        <v>0.19</v>
      </c>
      <c r="L320" s="79" t="n">
        <v>341.411</v>
      </c>
      <c r="M320" s="79" t="n">
        <v>1046.201</v>
      </c>
      <c r="N320" s="80"/>
      <c r="O320" s="80" t="n">
        <v>107.680000305176</v>
      </c>
      <c r="P320" s="47" t="n">
        <v>7</v>
      </c>
      <c r="Q320" s="66" t="s">
        <v>584</v>
      </c>
    </row>
    <row r="321" customFormat="false" ht="15" hidden="false" customHeight="false" outlineLevel="0" collapsed="false">
      <c r="A321" s="76" t="s">
        <v>193</v>
      </c>
      <c r="B321" s="76" t="s">
        <v>252</v>
      </c>
      <c r="C321" s="77" t="n">
        <v>2024</v>
      </c>
      <c r="D321" s="77" t="n">
        <v>3</v>
      </c>
      <c r="E321" s="78" t="n">
        <v>45565</v>
      </c>
      <c r="F321" s="76" t="s">
        <v>236</v>
      </c>
      <c r="G321" s="76" t="s">
        <v>237</v>
      </c>
      <c r="H321" s="76" t="s">
        <v>238</v>
      </c>
      <c r="I321" s="79" t="n">
        <v>430.082</v>
      </c>
      <c r="J321" s="79" t="n">
        <v>334.115</v>
      </c>
      <c r="K321" s="80" t="n">
        <v>0.2</v>
      </c>
      <c r="L321" s="79" t="n">
        <v>339.61025</v>
      </c>
      <c r="M321" s="79" t="n">
        <v>973.09</v>
      </c>
      <c r="N321" s="80"/>
      <c r="O321" s="80" t="n">
        <v>80.8899993896484</v>
      </c>
      <c r="P321" s="47" t="n">
        <v>8</v>
      </c>
      <c r="Q321" s="66" t="s">
        <v>585</v>
      </c>
    </row>
    <row r="322" customFormat="false" ht="15" hidden="false" customHeight="false" outlineLevel="0" collapsed="false">
      <c r="A322" s="76" t="s">
        <v>193</v>
      </c>
      <c r="B322" s="76" t="s">
        <v>254</v>
      </c>
      <c r="C322" s="77" t="n">
        <v>2024</v>
      </c>
      <c r="D322" s="77" t="n">
        <v>2</v>
      </c>
      <c r="E322" s="78" t="n">
        <v>45473</v>
      </c>
      <c r="F322" s="76" t="s">
        <v>236</v>
      </c>
      <c r="G322" s="76" t="s">
        <v>237</v>
      </c>
      <c r="H322" s="76" t="s">
        <v>238</v>
      </c>
      <c r="I322" s="79" t="n">
        <v>400.996</v>
      </c>
      <c r="J322" s="79" t="n">
        <v>311.985</v>
      </c>
      <c r="K322" s="80" t="n">
        <v>0.2</v>
      </c>
      <c r="L322" s="79" t="n">
        <v>337.7405</v>
      </c>
      <c r="M322" s="79" t="n">
        <v>881.545</v>
      </c>
      <c r="N322" s="80"/>
      <c r="O322" s="80" t="n">
        <v>82.8300018310547</v>
      </c>
      <c r="P322" s="47" t="n">
        <v>9</v>
      </c>
      <c r="Q322" s="66" t="s">
        <v>586</v>
      </c>
    </row>
    <row r="323" customFormat="false" ht="15" hidden="false" customHeight="false" outlineLevel="0" collapsed="false">
      <c r="A323" s="76" t="s">
        <v>193</v>
      </c>
      <c r="B323" s="76" t="s">
        <v>256</v>
      </c>
      <c r="C323" s="77" t="n">
        <v>2024</v>
      </c>
      <c r="D323" s="77" t="n">
        <v>1</v>
      </c>
      <c r="E323" s="78" t="n">
        <v>45382</v>
      </c>
      <c r="F323" s="76" t="s">
        <v>236</v>
      </c>
      <c r="G323" s="76" t="s">
        <v>237</v>
      </c>
      <c r="H323" s="76" t="s">
        <v>238</v>
      </c>
      <c r="I323" s="79" t="n">
        <v>378.602</v>
      </c>
      <c r="J323" s="79" t="n">
        <v>293.564</v>
      </c>
      <c r="K323" s="80" t="n">
        <v>0.16</v>
      </c>
      <c r="L323" s="79" t="n">
        <v>335.7045</v>
      </c>
      <c r="M323" s="79" t="n">
        <v>797.224</v>
      </c>
      <c r="N323" s="80"/>
      <c r="O323" s="80" t="n">
        <v>96.8300018310547</v>
      </c>
      <c r="P323" s="47" t="n">
        <v>10</v>
      </c>
      <c r="Q323" s="66" t="s">
        <v>587</v>
      </c>
    </row>
    <row r="324" customFormat="false" ht="15" hidden="false" customHeight="false" outlineLevel="0" collapsed="false">
      <c r="A324" s="76" t="s">
        <v>193</v>
      </c>
      <c r="B324" s="76" t="s">
        <v>258</v>
      </c>
      <c r="C324" s="77" t="n">
        <v>2023</v>
      </c>
      <c r="D324" s="77" t="n">
        <v>4</v>
      </c>
      <c r="E324" s="78" t="n">
        <v>45291</v>
      </c>
      <c r="F324" s="76" t="s">
        <v>236</v>
      </c>
      <c r="G324" s="76" t="s">
        <v>237</v>
      </c>
      <c r="H324" s="76" t="s">
        <v>238</v>
      </c>
      <c r="I324" s="79" t="n">
        <v>362.473</v>
      </c>
      <c r="J324" s="79" t="n">
        <v>279.19</v>
      </c>
      <c r="K324" s="80" t="n">
        <v>0.15</v>
      </c>
      <c r="L324" s="79" t="n">
        <v>333.656</v>
      </c>
      <c r="M324" s="79" t="n">
        <v>763.047</v>
      </c>
      <c r="N324" s="80"/>
      <c r="O324" s="80" t="n">
        <v>83.2600021362305</v>
      </c>
      <c r="P324" s="47" t="n">
        <v>11</v>
      </c>
      <c r="Q324" s="66" t="s">
        <v>588</v>
      </c>
    </row>
    <row r="325" customFormat="false" ht="15" hidden="false" customHeight="false" outlineLevel="0" collapsed="false">
      <c r="A325" s="76" t="s">
        <v>193</v>
      </c>
      <c r="B325" s="76" t="s">
        <v>260</v>
      </c>
      <c r="C325" s="77" t="n">
        <v>2023</v>
      </c>
      <c r="D325" s="77" t="n">
        <v>3</v>
      </c>
      <c r="E325" s="78" t="n">
        <v>45199</v>
      </c>
      <c r="F325" s="76" t="s">
        <v>236</v>
      </c>
      <c r="G325" s="76" t="s">
        <v>237</v>
      </c>
      <c r="H325" s="76" t="s">
        <v>238</v>
      </c>
      <c r="I325" s="79" t="n">
        <v>335.603</v>
      </c>
      <c r="J325" s="79" t="n">
        <v>257.534</v>
      </c>
      <c r="K325" s="80" t="n">
        <v>0.16</v>
      </c>
      <c r="L325" s="79" t="n">
        <v>331.68925</v>
      </c>
      <c r="M325" s="79" t="n">
        <v>699.257</v>
      </c>
      <c r="N325" s="80"/>
      <c r="O325" s="80" t="n">
        <v>63.0400009155273</v>
      </c>
      <c r="P325" s="47" t="n">
        <v>12</v>
      </c>
      <c r="Q325" s="66" t="s">
        <v>589</v>
      </c>
    </row>
    <row r="326" customFormat="false" ht="15" hidden="false" customHeight="false" outlineLevel="0" collapsed="false">
      <c r="A326" s="76" t="s">
        <v>193</v>
      </c>
      <c r="B326" s="76" t="s">
        <v>262</v>
      </c>
      <c r="C326" s="77" t="n">
        <v>2023</v>
      </c>
      <c r="D326" s="77" t="n">
        <v>2</v>
      </c>
      <c r="E326" s="78" t="n">
        <v>45107</v>
      </c>
      <c r="F326" s="76" t="s">
        <v>236</v>
      </c>
      <c r="G326" s="76" t="s">
        <v>237</v>
      </c>
      <c r="H326" s="76" t="s">
        <v>238</v>
      </c>
      <c r="I326" s="79" t="n">
        <v>308.494</v>
      </c>
      <c r="J326" s="79" t="n">
        <v>233.273</v>
      </c>
      <c r="K326" s="80" t="n">
        <v>0.1</v>
      </c>
      <c r="L326" s="79" t="n">
        <v>332.297</v>
      </c>
      <c r="M326" s="79" t="n">
        <v>641.834</v>
      </c>
      <c r="N326" s="80"/>
      <c r="O326" s="80" t="n">
        <v>65.370002746582</v>
      </c>
      <c r="P326" s="47" t="n">
        <v>13</v>
      </c>
      <c r="Q326" s="66" t="s">
        <v>590</v>
      </c>
    </row>
    <row r="327" customFormat="false" ht="15" hidden="false" customHeight="false" outlineLevel="0" collapsed="false">
      <c r="A327" s="76" t="s">
        <v>193</v>
      </c>
      <c r="B327" s="76" t="s">
        <v>264</v>
      </c>
      <c r="C327" s="77" t="n">
        <v>2023</v>
      </c>
      <c r="D327" s="77" t="n">
        <v>1</v>
      </c>
      <c r="E327" s="78" t="n">
        <v>45016</v>
      </c>
      <c r="F327" s="76" t="s">
        <v>236</v>
      </c>
      <c r="G327" s="76" t="s">
        <v>237</v>
      </c>
      <c r="H327" s="76" t="s">
        <v>238</v>
      </c>
      <c r="I327" s="79" t="n">
        <v>290.175</v>
      </c>
      <c r="J327" s="79" t="n">
        <v>219.743</v>
      </c>
      <c r="K327" s="80" t="n">
        <v>0.08</v>
      </c>
      <c r="L327" s="79" t="n">
        <v>330.389</v>
      </c>
      <c r="M327" s="79" t="n">
        <v>652.586</v>
      </c>
      <c r="N327" s="80"/>
      <c r="O327" s="80" t="n">
        <v>61.6599998474121</v>
      </c>
      <c r="P327" s="47" t="n">
        <v>14</v>
      </c>
      <c r="Q327" s="66" t="s">
        <v>591</v>
      </c>
    </row>
    <row r="328" customFormat="false" ht="15" hidden="false" customHeight="false" outlineLevel="0" collapsed="false">
      <c r="A328" s="76" t="s">
        <v>193</v>
      </c>
      <c r="B328" s="76" t="s">
        <v>266</v>
      </c>
      <c r="C328" s="77" t="n">
        <v>2022</v>
      </c>
      <c r="D328" s="77" t="n">
        <v>4</v>
      </c>
      <c r="E328" s="78" t="n">
        <v>44926</v>
      </c>
      <c r="F328" s="76" t="s">
        <v>236</v>
      </c>
      <c r="G328" s="76" t="s">
        <v>237</v>
      </c>
      <c r="H328" s="76" t="s">
        <v>238</v>
      </c>
      <c r="I328" s="79" t="n">
        <v>274.7</v>
      </c>
      <c r="J328" s="79" t="n">
        <v>206.912</v>
      </c>
      <c r="K328" s="80" t="n">
        <v>0.06</v>
      </c>
      <c r="L328" s="79"/>
      <c r="M328" s="79" t="n">
        <v>623.964</v>
      </c>
      <c r="N328" s="80"/>
      <c r="O328" s="80" t="n">
        <v>45.2099990844727</v>
      </c>
      <c r="P328" s="47" t="n">
        <v>15</v>
      </c>
      <c r="Q328" s="66" t="s">
        <v>592</v>
      </c>
    </row>
    <row r="329" customFormat="false" ht="15" hidden="false" customHeight="false" outlineLevel="0" collapsed="false">
      <c r="A329" s="76" t="s">
        <v>193</v>
      </c>
      <c r="B329" s="76" t="s">
        <v>268</v>
      </c>
      <c r="C329" s="77" t="n">
        <v>2022</v>
      </c>
      <c r="D329" s="77" t="n">
        <v>3</v>
      </c>
      <c r="E329" s="78" t="n">
        <v>44834</v>
      </c>
      <c r="F329" s="76" t="s">
        <v>236</v>
      </c>
      <c r="G329" s="76" t="s">
        <v>237</v>
      </c>
      <c r="H329" s="76" t="s">
        <v>238</v>
      </c>
      <c r="I329" s="79" t="n">
        <v>253.857</v>
      </c>
      <c r="J329" s="79" t="n">
        <v>191.89</v>
      </c>
      <c r="K329" s="80" t="n">
        <v>0.06</v>
      </c>
      <c r="L329" s="79" t="n">
        <v>326.59</v>
      </c>
      <c r="M329" s="79" t="n">
        <v>593.989</v>
      </c>
      <c r="N329" s="80"/>
      <c r="O329" s="80" t="n">
        <v>55.310001373291</v>
      </c>
      <c r="P329" s="47" t="n">
        <v>16</v>
      </c>
      <c r="Q329" s="66" t="s">
        <v>593</v>
      </c>
    </row>
    <row r="330" customFormat="false" ht="15" hidden="false" customHeight="false" outlineLevel="0" collapsed="false">
      <c r="A330" s="76" t="s">
        <v>193</v>
      </c>
      <c r="B330" s="76" t="s">
        <v>270</v>
      </c>
      <c r="C330" s="77" t="n">
        <v>2022</v>
      </c>
      <c r="D330" s="77" t="n">
        <v>2</v>
      </c>
      <c r="E330" s="78" t="n">
        <v>44742</v>
      </c>
      <c r="F330" s="76" t="s">
        <v>236</v>
      </c>
      <c r="G330" s="76" t="s">
        <v>237</v>
      </c>
      <c r="H330" s="76" t="s">
        <v>238</v>
      </c>
      <c r="I330" s="79" t="n">
        <v>234.517</v>
      </c>
      <c r="J330" s="79" t="n">
        <v>178.713</v>
      </c>
      <c r="K330" s="80"/>
      <c r="L330" s="79" t="n">
        <v>325.197</v>
      </c>
      <c r="M330" s="79" t="n">
        <v>580.49</v>
      </c>
      <c r="N330" s="80"/>
      <c r="O330" s="80" t="n">
        <v>43.75</v>
      </c>
      <c r="P330" s="47" t="n">
        <v>17</v>
      </c>
      <c r="Q330" s="66" t="s">
        <v>594</v>
      </c>
    </row>
    <row r="331" customFormat="false" ht="15" hidden="false" customHeight="false" outlineLevel="0" collapsed="false">
      <c r="A331" s="76" t="s">
        <v>193</v>
      </c>
      <c r="B331" s="76" t="s">
        <v>272</v>
      </c>
      <c r="C331" s="77" t="n">
        <v>2022</v>
      </c>
      <c r="D331" s="77" t="n">
        <v>1</v>
      </c>
      <c r="E331" s="78" t="n">
        <v>44651</v>
      </c>
      <c r="F331" s="76" t="s">
        <v>236</v>
      </c>
      <c r="G331" s="76" t="s">
        <v>237</v>
      </c>
      <c r="H331" s="76" t="s">
        <v>238</v>
      </c>
      <c r="I331" s="79" t="n">
        <v>212.167</v>
      </c>
      <c r="J331" s="79" t="n">
        <v>165.116</v>
      </c>
      <c r="K331" s="80" t="n">
        <v>0.01</v>
      </c>
      <c r="L331" s="79" t="n">
        <v>323.334</v>
      </c>
      <c r="M331" s="79" t="n">
        <v>515.477</v>
      </c>
      <c r="N331" s="80"/>
      <c r="O331" s="80" t="n">
        <v>119.699996948242</v>
      </c>
      <c r="P331" s="47" t="n">
        <v>18</v>
      </c>
      <c r="Q331" s="66" t="s">
        <v>595</v>
      </c>
    </row>
    <row r="332" customFormat="false" ht="15" hidden="false" customHeight="false" outlineLevel="0" collapsed="false">
      <c r="A332" s="76" t="s">
        <v>193</v>
      </c>
      <c r="B332" s="76" t="s">
        <v>274</v>
      </c>
      <c r="C332" s="77" t="n">
        <v>2021</v>
      </c>
      <c r="D332" s="77" t="n">
        <v>4</v>
      </c>
      <c r="E332" s="78" t="n">
        <v>44561</v>
      </c>
      <c r="F332" s="76" t="s">
        <v>236</v>
      </c>
      <c r="G332" s="76" t="s">
        <v>237</v>
      </c>
      <c r="H332" s="76" t="s">
        <v>238</v>
      </c>
      <c r="I332" s="79" t="n">
        <v>193.596</v>
      </c>
      <c r="J332" s="79" t="n">
        <v>151.1</v>
      </c>
      <c r="K332" s="80"/>
      <c r="L332" s="79"/>
      <c r="M332" s="79" t="n">
        <v>815.798</v>
      </c>
      <c r="N332" s="80"/>
      <c r="O332" s="80" t="n">
        <v>131.5</v>
      </c>
      <c r="P332" s="47" t="n">
        <v>19</v>
      </c>
      <c r="Q332" s="66" t="s">
        <v>596</v>
      </c>
    </row>
    <row r="333" customFormat="false" ht="15" hidden="false" customHeight="false" outlineLevel="0" collapsed="false">
      <c r="A333" s="76" t="s">
        <v>193</v>
      </c>
      <c r="B333" s="76" t="s">
        <v>276</v>
      </c>
      <c r="C333" s="77" t="n">
        <v>2021</v>
      </c>
      <c r="D333" s="77" t="n">
        <v>3</v>
      </c>
      <c r="E333" s="78" t="n">
        <v>44469</v>
      </c>
      <c r="F333" s="76" t="s">
        <v>236</v>
      </c>
      <c r="G333" s="76" t="s">
        <v>237</v>
      </c>
      <c r="H333" s="76" t="s">
        <v>238</v>
      </c>
      <c r="I333" s="79" t="n">
        <v>172.347</v>
      </c>
      <c r="J333" s="79" t="n">
        <v>134.822</v>
      </c>
      <c r="K333" s="80"/>
      <c r="L333" s="79" t="n">
        <v>314.543</v>
      </c>
      <c r="M333" s="79" t="n">
        <v>853.15</v>
      </c>
      <c r="N333" s="80"/>
      <c r="O333" s="80" t="n">
        <v>112.650001525879</v>
      </c>
      <c r="P333" s="47" t="n">
        <v>20</v>
      </c>
      <c r="Q333" s="66" t="s">
        <v>597</v>
      </c>
    </row>
    <row r="334" customFormat="false" ht="15" hidden="false" customHeight="false" outlineLevel="0" collapsed="false">
      <c r="A334" s="76" t="s">
        <v>193</v>
      </c>
      <c r="B334" s="76" t="s">
        <v>278</v>
      </c>
      <c r="C334" s="77" t="n">
        <v>2021</v>
      </c>
      <c r="D334" s="77" t="n">
        <v>2</v>
      </c>
      <c r="E334" s="78" t="n">
        <v>44377</v>
      </c>
      <c r="F334" s="76" t="s">
        <v>236</v>
      </c>
      <c r="G334" s="76" t="s">
        <v>237</v>
      </c>
      <c r="H334" s="76" t="s">
        <v>238</v>
      </c>
      <c r="I334" s="79" t="n">
        <v>152.428</v>
      </c>
      <c r="J334" s="79" t="n">
        <v>117.399</v>
      </c>
      <c r="K334" s="80" t="n">
        <v>-0.02</v>
      </c>
      <c r="L334" s="79" t="n">
        <v>308.263</v>
      </c>
      <c r="M334" s="79" t="n">
        <v>801.096</v>
      </c>
      <c r="N334" s="80"/>
      <c r="O334" s="80" t="n">
        <v>105.839996337891</v>
      </c>
      <c r="P334" s="47" t="n">
        <v>21</v>
      </c>
      <c r="Q334" s="66" t="s">
        <v>598</v>
      </c>
    </row>
    <row r="335" customFormat="false" ht="15" hidden="false" customHeight="false" outlineLevel="0" collapsed="false">
      <c r="A335" s="76" t="s">
        <v>193</v>
      </c>
      <c r="B335" s="76" t="s">
        <v>280</v>
      </c>
      <c r="C335" s="77" t="n">
        <v>2021</v>
      </c>
      <c r="D335" s="77" t="n">
        <v>1</v>
      </c>
      <c r="E335" s="78" t="n">
        <v>44286</v>
      </c>
      <c r="F335" s="76" t="s">
        <v>236</v>
      </c>
      <c r="G335" s="76" t="s">
        <v>237</v>
      </c>
      <c r="H335" s="76" t="s">
        <v>238</v>
      </c>
      <c r="I335" s="79" t="n">
        <v>138.055</v>
      </c>
      <c r="J335" s="79" t="n">
        <v>105.971</v>
      </c>
      <c r="K335" s="80" t="n">
        <v>-0.03</v>
      </c>
      <c r="L335" s="79" t="n">
        <v>305.947</v>
      </c>
      <c r="M335" s="79" t="n">
        <v>804.04</v>
      </c>
      <c r="N335" s="80"/>
      <c r="O335" s="80" t="n">
        <v>70.2600021362305</v>
      </c>
      <c r="P335" s="47" t="n">
        <v>22</v>
      </c>
      <c r="Q335" s="66" t="s">
        <v>599</v>
      </c>
    </row>
    <row r="336" customFormat="false" ht="15" hidden="false" customHeight="false" outlineLevel="0" collapsed="false">
      <c r="A336" s="76" t="s">
        <v>193</v>
      </c>
      <c r="B336" s="76" t="s">
        <v>282</v>
      </c>
      <c r="C336" s="77" t="n">
        <v>2020</v>
      </c>
      <c r="D336" s="77" t="n">
        <v>4</v>
      </c>
      <c r="E336" s="78" t="n">
        <v>44196</v>
      </c>
      <c r="F336" s="76" t="s">
        <v>236</v>
      </c>
      <c r="G336" s="76" t="s">
        <v>237</v>
      </c>
      <c r="H336" s="76" t="s">
        <v>238</v>
      </c>
      <c r="I336" s="79" t="n">
        <v>125.926</v>
      </c>
      <c r="J336" s="79" t="n">
        <v>96.861</v>
      </c>
      <c r="K336" s="80" t="n">
        <v>-0.02</v>
      </c>
      <c r="L336" s="79"/>
      <c r="M336" s="79" t="n">
        <v>816.94</v>
      </c>
      <c r="N336" s="80"/>
      <c r="O336" s="80" t="n">
        <v>75.9899978637695</v>
      </c>
      <c r="P336" s="47" t="n">
        <v>23</v>
      </c>
      <c r="Q336" s="66" t="s">
        <v>600</v>
      </c>
    </row>
    <row r="337" customFormat="false" ht="15" hidden="false" customHeight="false" outlineLevel="0" collapsed="false">
      <c r="A337" s="76" t="s">
        <v>193</v>
      </c>
      <c r="B337" s="76" t="s">
        <v>284</v>
      </c>
      <c r="C337" s="77" t="n">
        <v>2020</v>
      </c>
      <c r="D337" s="77" t="n">
        <v>3</v>
      </c>
      <c r="E337" s="78" t="n">
        <v>44104</v>
      </c>
      <c r="F337" s="76" t="s">
        <v>236</v>
      </c>
      <c r="G337" s="76" t="s">
        <v>237</v>
      </c>
      <c r="H337" s="76" t="s">
        <v>238</v>
      </c>
      <c r="I337" s="79" t="n">
        <v>114.162</v>
      </c>
      <c r="J337" s="79" t="n">
        <v>87.157</v>
      </c>
      <c r="K337" s="80" t="n">
        <v>-0.02</v>
      </c>
      <c r="L337" s="79" t="n">
        <v>301.689</v>
      </c>
      <c r="M337" s="79" t="n">
        <v>826.447</v>
      </c>
      <c r="N337" s="80"/>
      <c r="O337" s="80" t="n">
        <v>41.060001373291</v>
      </c>
      <c r="P337" s="47" t="n">
        <v>24</v>
      </c>
      <c r="Q337" s="66" t="s">
        <v>601</v>
      </c>
    </row>
    <row r="338" customFormat="false" ht="15" hidden="false" customHeight="false" outlineLevel="0" collapsed="false">
      <c r="A338" s="76" t="s">
        <v>172</v>
      </c>
      <c r="B338" s="76" t="s">
        <v>383</v>
      </c>
      <c r="C338" s="77" t="n">
        <v>2027</v>
      </c>
      <c r="D338" s="77" t="n">
        <v>2</v>
      </c>
      <c r="E338" s="78" t="n">
        <v>46234</v>
      </c>
      <c r="F338" s="76" t="s">
        <v>236</v>
      </c>
      <c r="G338" s="76" t="s">
        <v>237</v>
      </c>
      <c r="H338" s="76" t="s">
        <v>238</v>
      </c>
      <c r="I338" s="79" t="n">
        <v>302970</v>
      </c>
      <c r="J338" s="79" t="n">
        <v>226241</v>
      </c>
      <c r="K338" s="80" t="n">
        <v>2.22</v>
      </c>
      <c r="L338" s="79" t="n">
        <v>24397.5</v>
      </c>
      <c r="M338" s="79" t="n">
        <v>228984</v>
      </c>
      <c r="N338" s="80" t="n">
        <v>0.25</v>
      </c>
      <c r="O338" s="80" t="n">
        <v>200.75</v>
      </c>
      <c r="P338" s="47" t="n">
        <v>1</v>
      </c>
      <c r="Q338" s="66" t="s">
        <v>602</v>
      </c>
    </row>
    <row r="339" customFormat="false" ht="15" hidden="false" customHeight="false" outlineLevel="0" collapsed="false">
      <c r="A339" s="76" t="s">
        <v>172</v>
      </c>
      <c r="B339" s="76" t="s">
        <v>385</v>
      </c>
      <c r="C339" s="77" t="n">
        <v>2027</v>
      </c>
      <c r="D339" s="77" t="n">
        <v>1</v>
      </c>
      <c r="E339" s="78" t="n">
        <v>46142</v>
      </c>
      <c r="F339" s="76" t="s">
        <v>236</v>
      </c>
      <c r="G339" s="76" t="s">
        <v>237</v>
      </c>
      <c r="H339" s="76" t="s">
        <v>238</v>
      </c>
      <c r="I339" s="79" t="n">
        <v>81615</v>
      </c>
      <c r="J339" s="79" t="n">
        <v>61157</v>
      </c>
      <c r="K339" s="80" t="n">
        <v>1.87</v>
      </c>
      <c r="L339" s="79" t="n">
        <v>24391</v>
      </c>
      <c r="M339" s="79" t="n">
        <v>195474</v>
      </c>
      <c r="N339" s="80" t="n">
        <v>0.01</v>
      </c>
      <c r="O339" s="80" t="n">
        <v>199.570007324219</v>
      </c>
      <c r="P339" s="47" t="n">
        <v>2</v>
      </c>
      <c r="Q339" s="66" t="s">
        <v>603</v>
      </c>
    </row>
    <row r="340" customFormat="false" ht="15" hidden="false" customHeight="false" outlineLevel="0" collapsed="false">
      <c r="A340" s="76" t="s">
        <v>172</v>
      </c>
      <c r="B340" s="76" t="s">
        <v>387</v>
      </c>
      <c r="C340" s="77" t="n">
        <v>2026</v>
      </c>
      <c r="D340" s="77" t="n">
        <v>4</v>
      </c>
      <c r="E340" s="78" t="n">
        <v>46053</v>
      </c>
      <c r="F340" s="76" t="s">
        <v>236</v>
      </c>
      <c r="G340" s="76" t="s">
        <v>237</v>
      </c>
      <c r="H340" s="76" t="s">
        <v>238</v>
      </c>
      <c r="I340" s="79" t="n">
        <v>68127</v>
      </c>
      <c r="J340" s="79" t="n">
        <v>51093</v>
      </c>
      <c r="K340" s="80" t="n">
        <v>1.62</v>
      </c>
      <c r="L340" s="79" t="n">
        <v>24432</v>
      </c>
      <c r="M340" s="79" t="n">
        <v>157293</v>
      </c>
      <c r="N340" s="80" t="n">
        <v>0.01</v>
      </c>
      <c r="O340" s="80" t="n">
        <v>191.130004882813</v>
      </c>
      <c r="P340" s="47" t="n">
        <v>3</v>
      </c>
      <c r="Q340" s="66" t="s">
        <v>604</v>
      </c>
    </row>
    <row r="341" customFormat="false" ht="15" hidden="false" customHeight="false" outlineLevel="0" collapsed="false">
      <c r="A341" s="76" t="s">
        <v>172</v>
      </c>
      <c r="B341" s="76" t="s">
        <v>286</v>
      </c>
      <c r="C341" s="77" t="n">
        <v>2026</v>
      </c>
      <c r="D341" s="77" t="n">
        <v>3</v>
      </c>
      <c r="E341" s="78" t="n">
        <v>45961</v>
      </c>
      <c r="F341" s="76" t="s">
        <v>236</v>
      </c>
      <c r="G341" s="76" t="s">
        <v>237</v>
      </c>
      <c r="H341" s="76" t="s">
        <v>238</v>
      </c>
      <c r="I341" s="79" t="n">
        <v>57006</v>
      </c>
      <c r="J341" s="79" t="n">
        <v>41849</v>
      </c>
      <c r="K341" s="80" t="n">
        <v>1.3</v>
      </c>
      <c r="L341" s="79" t="n">
        <v>24483</v>
      </c>
      <c r="M341" s="79" t="n">
        <v>118897</v>
      </c>
      <c r="N341" s="80" t="n">
        <v>0.01</v>
      </c>
      <c r="O341" s="80" t="n">
        <v>202.490005493164</v>
      </c>
      <c r="P341" s="47" t="n">
        <v>4</v>
      </c>
      <c r="Q341" s="66" t="s">
        <v>605</v>
      </c>
    </row>
    <row r="342" customFormat="false" ht="15" hidden="false" customHeight="false" outlineLevel="0" collapsed="false">
      <c r="A342" s="76" t="s">
        <v>172</v>
      </c>
      <c r="B342" s="76" t="s">
        <v>235</v>
      </c>
      <c r="C342" s="77" t="n">
        <v>2026</v>
      </c>
      <c r="D342" s="77" t="n">
        <v>2</v>
      </c>
      <c r="E342" s="78" t="n">
        <v>45869</v>
      </c>
      <c r="F342" s="76" t="s">
        <v>236</v>
      </c>
      <c r="G342" s="76" t="s">
        <v>237</v>
      </c>
      <c r="H342" s="76" t="s">
        <v>238</v>
      </c>
      <c r="I342" s="79" t="n">
        <v>46743</v>
      </c>
      <c r="J342" s="79" t="n">
        <v>33853</v>
      </c>
      <c r="K342" s="80" t="n">
        <v>1.05</v>
      </c>
      <c r="L342" s="79" t="n">
        <v>24532</v>
      </c>
      <c r="M342" s="79" t="n">
        <v>100131</v>
      </c>
      <c r="N342" s="80" t="n">
        <v>0.01</v>
      </c>
      <c r="O342" s="80" t="n">
        <v>177.869995117188</v>
      </c>
      <c r="P342" s="47" t="n">
        <v>5</v>
      </c>
      <c r="Q342" s="66" t="s">
        <v>606</v>
      </c>
    </row>
    <row r="343" customFormat="false" ht="15" hidden="false" customHeight="false" outlineLevel="0" collapsed="false">
      <c r="A343" s="76" t="s">
        <v>172</v>
      </c>
      <c r="B343" s="76" t="s">
        <v>240</v>
      </c>
      <c r="C343" s="77" t="n">
        <v>2026</v>
      </c>
      <c r="D343" s="77" t="n">
        <v>1</v>
      </c>
      <c r="E343" s="78" t="n">
        <v>45777</v>
      </c>
      <c r="F343" s="76" t="s">
        <v>236</v>
      </c>
      <c r="G343" s="76" t="s">
        <v>237</v>
      </c>
      <c r="H343" s="76" t="s">
        <v>238</v>
      </c>
      <c r="I343" s="79" t="n">
        <v>44062</v>
      </c>
      <c r="J343" s="79" t="n">
        <v>26668</v>
      </c>
      <c r="K343" s="80" t="n">
        <v>0.81</v>
      </c>
      <c r="L343" s="79" t="n">
        <v>24611</v>
      </c>
      <c r="M343" s="79" t="n">
        <v>83843</v>
      </c>
      <c r="N343" s="80" t="n">
        <v>0.01</v>
      </c>
      <c r="O343" s="80" t="n">
        <v>108.919998168945</v>
      </c>
      <c r="P343" s="47" t="n">
        <v>6</v>
      </c>
      <c r="Q343" s="66" t="s">
        <v>607</v>
      </c>
    </row>
    <row r="344" customFormat="false" ht="15" hidden="false" customHeight="false" outlineLevel="0" collapsed="false">
      <c r="A344" s="76" t="s">
        <v>172</v>
      </c>
      <c r="B344" s="76" t="s">
        <v>242</v>
      </c>
      <c r="C344" s="77" t="n">
        <v>2025</v>
      </c>
      <c r="D344" s="77" t="n">
        <v>4</v>
      </c>
      <c r="E344" s="78" t="n">
        <v>45688</v>
      </c>
      <c r="F344" s="76" t="s">
        <v>236</v>
      </c>
      <c r="G344" s="76" t="s">
        <v>237</v>
      </c>
      <c r="H344" s="76" t="s">
        <v>238</v>
      </c>
      <c r="I344" s="79" t="n">
        <v>39331</v>
      </c>
      <c r="J344" s="79" t="n">
        <v>28723</v>
      </c>
      <c r="K344" s="80" t="n">
        <v>0.89</v>
      </c>
      <c r="L344" s="79"/>
      <c r="M344" s="79" t="n">
        <v>79327</v>
      </c>
      <c r="N344" s="80" t="n">
        <v>0.01</v>
      </c>
      <c r="O344" s="80" t="n">
        <v>120.069999694824</v>
      </c>
      <c r="P344" s="47" t="n">
        <v>7</v>
      </c>
      <c r="Q344" s="66" t="s">
        <v>608</v>
      </c>
    </row>
    <row r="345" customFormat="false" ht="15" hidden="false" customHeight="false" outlineLevel="0" collapsed="false">
      <c r="A345" s="76" t="s">
        <v>172</v>
      </c>
      <c r="B345" s="76" t="s">
        <v>244</v>
      </c>
      <c r="C345" s="77" t="n">
        <v>2025</v>
      </c>
      <c r="D345" s="77" t="n">
        <v>3</v>
      </c>
      <c r="E345" s="78" t="n">
        <v>45596</v>
      </c>
      <c r="F345" s="76" t="s">
        <v>236</v>
      </c>
      <c r="G345" s="76" t="s">
        <v>237</v>
      </c>
      <c r="H345" s="76" t="s">
        <v>238</v>
      </c>
      <c r="I345" s="79" t="n">
        <v>35082</v>
      </c>
      <c r="J345" s="79" t="n">
        <v>26156</v>
      </c>
      <c r="K345" s="80" t="n">
        <v>0.81</v>
      </c>
      <c r="L345" s="79" t="n">
        <v>24774</v>
      </c>
      <c r="M345" s="79" t="n">
        <v>65899</v>
      </c>
      <c r="N345" s="80" t="n">
        <v>0.01</v>
      </c>
      <c r="O345" s="80" t="n">
        <v>132.759994506836</v>
      </c>
      <c r="P345" s="47" t="n">
        <v>8</v>
      </c>
      <c r="Q345" s="66" t="s">
        <v>609</v>
      </c>
    </row>
    <row r="346" customFormat="false" ht="15" hidden="false" customHeight="false" outlineLevel="0" collapsed="false">
      <c r="A346" s="76" t="s">
        <v>172</v>
      </c>
      <c r="B346" s="76" t="s">
        <v>246</v>
      </c>
      <c r="C346" s="77" t="n">
        <v>2025</v>
      </c>
      <c r="D346" s="77" t="n">
        <v>2</v>
      </c>
      <c r="E346" s="78" t="n">
        <v>45501</v>
      </c>
      <c r="F346" s="76" t="s">
        <v>236</v>
      </c>
      <c r="G346" s="76" t="s">
        <v>237</v>
      </c>
      <c r="H346" s="76" t="s">
        <v>238</v>
      </c>
      <c r="I346" s="79" t="n">
        <v>30040</v>
      </c>
      <c r="J346" s="79" t="n">
        <v>22574</v>
      </c>
      <c r="K346" s="80"/>
      <c r="L346" s="79" t="n">
        <v>24848</v>
      </c>
      <c r="M346" s="79" t="n">
        <v>58157</v>
      </c>
      <c r="N346" s="80" t="n">
        <v>0.01</v>
      </c>
      <c r="O346" s="80" t="n">
        <v>113.059997558594</v>
      </c>
      <c r="P346" s="47" t="n">
        <v>9</v>
      </c>
      <c r="Q346" s="66" t="s">
        <v>610</v>
      </c>
    </row>
    <row r="347" customFormat="false" ht="15" hidden="false" customHeight="false" outlineLevel="0" collapsed="false">
      <c r="A347" s="76" t="s">
        <v>172</v>
      </c>
      <c r="B347" s="76" t="s">
        <v>248</v>
      </c>
      <c r="C347" s="77" t="n">
        <v>2025</v>
      </c>
      <c r="D347" s="77" t="n">
        <v>1</v>
      </c>
      <c r="E347" s="78" t="n">
        <v>45410</v>
      </c>
      <c r="F347" s="76" t="s">
        <v>236</v>
      </c>
      <c r="G347" s="76" t="s">
        <v>237</v>
      </c>
      <c r="H347" s="76" t="s">
        <v>238</v>
      </c>
      <c r="I347" s="79" t="n">
        <v>26044</v>
      </c>
      <c r="J347" s="79" t="n">
        <v>20406</v>
      </c>
      <c r="K347" s="80"/>
      <c r="L347" s="79" t="n">
        <v>24890</v>
      </c>
      <c r="M347" s="79" t="n">
        <v>49142</v>
      </c>
      <c r="N347" s="80"/>
      <c r="O347" s="80" t="n">
        <v>87.7350006103516</v>
      </c>
      <c r="P347" s="47" t="n">
        <v>10</v>
      </c>
      <c r="Q347" s="66" t="s">
        <v>611</v>
      </c>
    </row>
    <row r="348" customFormat="false" ht="15" hidden="false" customHeight="false" outlineLevel="0" collapsed="false">
      <c r="A348" s="76" t="s">
        <v>172</v>
      </c>
      <c r="B348" s="76" t="s">
        <v>250</v>
      </c>
      <c r="C348" s="77" t="n">
        <v>2024</v>
      </c>
      <c r="D348" s="77" t="n">
        <v>4</v>
      </c>
      <c r="E348" s="78" t="n">
        <v>45322</v>
      </c>
      <c r="F348" s="76" t="s">
        <v>236</v>
      </c>
      <c r="G348" s="76" t="s">
        <v>237</v>
      </c>
      <c r="H348" s="76" t="s">
        <v>238</v>
      </c>
      <c r="I348" s="79" t="n">
        <v>22103</v>
      </c>
      <c r="J348" s="79" t="n">
        <v>16791</v>
      </c>
      <c r="K348" s="80" t="n">
        <v>0.52</v>
      </c>
      <c r="L348" s="79" t="n">
        <v>24940</v>
      </c>
      <c r="M348" s="79" t="n">
        <v>42978</v>
      </c>
      <c r="N348" s="80" t="n">
        <v>0.004</v>
      </c>
      <c r="O348" s="80" t="n">
        <v>61.5270004272461</v>
      </c>
      <c r="P348" s="47" t="n">
        <v>11</v>
      </c>
      <c r="Q348" s="66" t="s">
        <v>612</v>
      </c>
    </row>
    <row r="349" customFormat="false" ht="15" hidden="false" customHeight="false" outlineLevel="0" collapsed="false">
      <c r="A349" s="76" t="s">
        <v>172</v>
      </c>
      <c r="B349" s="76" t="s">
        <v>252</v>
      </c>
      <c r="C349" s="77" t="n">
        <v>2024</v>
      </c>
      <c r="D349" s="77" t="n">
        <v>3</v>
      </c>
      <c r="E349" s="78" t="n">
        <v>45230</v>
      </c>
      <c r="F349" s="76" t="s">
        <v>236</v>
      </c>
      <c r="G349" s="76" t="s">
        <v>237</v>
      </c>
      <c r="H349" s="76" t="s">
        <v>238</v>
      </c>
      <c r="I349" s="79" t="n">
        <v>18120</v>
      </c>
      <c r="J349" s="79" t="n">
        <v>13400</v>
      </c>
      <c r="K349" s="80" t="n">
        <v>0.4</v>
      </c>
      <c r="L349" s="79" t="n">
        <v>24897.5</v>
      </c>
      <c r="M349" s="79" t="n">
        <v>33265</v>
      </c>
      <c r="N349" s="80" t="n">
        <v>0.004</v>
      </c>
      <c r="O349" s="80" t="n">
        <v>40.7799987792969</v>
      </c>
      <c r="P349" s="47" t="n">
        <v>12</v>
      </c>
      <c r="Q349" s="66" t="s">
        <v>613</v>
      </c>
    </row>
    <row r="350" customFormat="false" ht="15" hidden="false" customHeight="false" outlineLevel="0" collapsed="false">
      <c r="A350" s="76" t="s">
        <v>172</v>
      </c>
      <c r="B350" s="76" t="s">
        <v>254</v>
      </c>
      <c r="C350" s="77" t="n">
        <v>2024</v>
      </c>
      <c r="D350" s="77" t="n">
        <v>2</v>
      </c>
      <c r="E350" s="78" t="n">
        <v>45138</v>
      </c>
      <c r="F350" s="76" t="s">
        <v>236</v>
      </c>
      <c r="G350" s="76" t="s">
        <v>237</v>
      </c>
      <c r="H350" s="76" t="s">
        <v>238</v>
      </c>
      <c r="I350" s="79" t="n">
        <v>13507</v>
      </c>
      <c r="J350" s="79" t="n">
        <v>9462</v>
      </c>
      <c r="K350" s="80" t="n">
        <v>0.27</v>
      </c>
      <c r="L350" s="79" t="n">
        <v>24994</v>
      </c>
      <c r="M350" s="79" t="n">
        <v>27501</v>
      </c>
      <c r="N350" s="80" t="n">
        <v>0.004</v>
      </c>
      <c r="O350" s="80" t="n">
        <v>46.7290000915527</v>
      </c>
      <c r="P350" s="47" t="n">
        <v>13</v>
      </c>
      <c r="Q350" s="66" t="s">
        <v>614</v>
      </c>
    </row>
    <row r="351" customFormat="false" ht="15" hidden="false" customHeight="false" outlineLevel="0" collapsed="false">
      <c r="A351" s="76" t="s">
        <v>172</v>
      </c>
      <c r="B351" s="76" t="s">
        <v>256</v>
      </c>
      <c r="C351" s="77" t="n">
        <v>2024</v>
      </c>
      <c r="D351" s="77" t="n">
        <v>1</v>
      </c>
      <c r="E351" s="78" t="n">
        <v>45046</v>
      </c>
      <c r="F351" s="76" t="s">
        <v>236</v>
      </c>
      <c r="G351" s="76" t="s">
        <v>237</v>
      </c>
      <c r="H351" s="76" t="s">
        <v>238</v>
      </c>
      <c r="I351" s="79" t="n">
        <v>7192</v>
      </c>
      <c r="J351" s="79" t="n">
        <v>4648</v>
      </c>
      <c r="K351" s="80" t="n">
        <v>0.11</v>
      </c>
      <c r="L351" s="79" t="n">
        <v>24900</v>
      </c>
      <c r="M351" s="79" t="n">
        <v>24520</v>
      </c>
      <c r="N351" s="80" t="n">
        <v>0.004</v>
      </c>
      <c r="O351" s="80" t="n">
        <v>27.7490005493164</v>
      </c>
      <c r="P351" s="47" t="n">
        <v>14</v>
      </c>
      <c r="Q351" s="66" t="s">
        <v>615</v>
      </c>
    </row>
    <row r="352" customFormat="false" ht="15" hidden="false" customHeight="false" outlineLevel="0" collapsed="false">
      <c r="A352" s="76" t="s">
        <v>172</v>
      </c>
      <c r="B352" s="76" t="s">
        <v>258</v>
      </c>
      <c r="C352" s="77" t="n">
        <v>2023</v>
      </c>
      <c r="D352" s="77" t="n">
        <v>4</v>
      </c>
      <c r="E352" s="78" t="n">
        <v>44957</v>
      </c>
      <c r="F352" s="76" t="s">
        <v>236</v>
      </c>
      <c r="G352" s="76" t="s">
        <v>237</v>
      </c>
      <c r="H352" s="76" t="s">
        <v>238</v>
      </c>
      <c r="I352" s="79" t="n">
        <v>6051</v>
      </c>
      <c r="J352" s="79" t="n">
        <v>3833</v>
      </c>
      <c r="K352" s="80" t="n">
        <v>0.09</v>
      </c>
      <c r="L352" s="79"/>
      <c r="M352" s="79" t="n">
        <v>22101</v>
      </c>
      <c r="N352" s="80" t="n">
        <v>0.004</v>
      </c>
      <c r="O352" s="80" t="n">
        <v>19.5370006561279</v>
      </c>
      <c r="P352" s="47" t="n">
        <v>15</v>
      </c>
      <c r="Q352" s="66" t="s">
        <v>616</v>
      </c>
    </row>
    <row r="353" customFormat="false" ht="15" hidden="false" customHeight="false" outlineLevel="0" collapsed="false">
      <c r="A353" s="76" t="s">
        <v>172</v>
      </c>
      <c r="B353" s="76" t="s">
        <v>260</v>
      </c>
      <c r="C353" s="77" t="n">
        <v>2023</v>
      </c>
      <c r="D353" s="77" t="n">
        <v>3</v>
      </c>
      <c r="E353" s="78" t="n">
        <v>44865</v>
      </c>
      <c r="F353" s="76" t="s">
        <v>236</v>
      </c>
      <c r="G353" s="76" t="s">
        <v>237</v>
      </c>
      <c r="H353" s="76" t="s">
        <v>238</v>
      </c>
      <c r="I353" s="79" t="n">
        <v>5931</v>
      </c>
      <c r="J353" s="79" t="n">
        <v>3177</v>
      </c>
      <c r="K353" s="80" t="n">
        <v>0.06</v>
      </c>
      <c r="L353" s="79" t="n">
        <v>24990</v>
      </c>
      <c r="M353" s="79" t="n">
        <v>21349</v>
      </c>
      <c r="N353" s="80" t="n">
        <v>0.004</v>
      </c>
      <c r="O353" s="80" t="n">
        <v>13.4969997406006</v>
      </c>
      <c r="P353" s="47" t="n">
        <v>16</v>
      </c>
      <c r="Q353" s="66" t="s">
        <v>617</v>
      </c>
    </row>
    <row r="354" customFormat="false" ht="15" hidden="false" customHeight="false" outlineLevel="0" collapsed="false">
      <c r="A354" s="76" t="s">
        <v>172</v>
      </c>
      <c r="B354" s="76" t="s">
        <v>262</v>
      </c>
      <c r="C354" s="77" t="n">
        <v>2023</v>
      </c>
      <c r="D354" s="77" t="n">
        <v>2</v>
      </c>
      <c r="E354" s="78" t="n">
        <v>44773</v>
      </c>
      <c r="F354" s="76" t="s">
        <v>236</v>
      </c>
      <c r="G354" s="76" t="s">
        <v>237</v>
      </c>
      <c r="H354" s="76" t="s">
        <v>238</v>
      </c>
      <c r="I354" s="79" t="n">
        <v>6704</v>
      </c>
      <c r="J354" s="79" t="n">
        <v>2915</v>
      </c>
      <c r="K354" s="80" t="n">
        <v>0.05</v>
      </c>
      <c r="L354" s="79" t="n">
        <v>25160</v>
      </c>
      <c r="M354" s="79" t="n">
        <v>23851</v>
      </c>
      <c r="N354" s="80" t="n">
        <v>0.004</v>
      </c>
      <c r="O354" s="80" t="n">
        <v>18.1630001068115</v>
      </c>
      <c r="P354" s="47" t="n">
        <v>17</v>
      </c>
      <c r="Q354" s="66" t="s">
        <v>618</v>
      </c>
    </row>
    <row r="355" customFormat="false" ht="15" hidden="false" customHeight="false" outlineLevel="0" collapsed="false">
      <c r="A355" s="76" t="s">
        <v>172</v>
      </c>
      <c r="B355" s="76" t="s">
        <v>264</v>
      </c>
      <c r="C355" s="77" t="n">
        <v>2023</v>
      </c>
      <c r="D355" s="77" t="n">
        <v>1</v>
      </c>
      <c r="E355" s="78" t="n">
        <v>44681</v>
      </c>
      <c r="F355" s="76" t="s">
        <v>236</v>
      </c>
      <c r="G355" s="76" t="s">
        <v>237</v>
      </c>
      <c r="H355" s="76" t="s">
        <v>238</v>
      </c>
      <c r="I355" s="79" t="n">
        <v>8288</v>
      </c>
      <c r="J355" s="79" t="n">
        <v>5431</v>
      </c>
      <c r="K355" s="80" t="n">
        <v>0.14</v>
      </c>
      <c r="L355" s="79" t="n">
        <v>25370</v>
      </c>
      <c r="M355" s="79" t="n">
        <v>26320</v>
      </c>
      <c r="N355" s="80" t="n">
        <v>0.004</v>
      </c>
      <c r="O355" s="80" t="n">
        <v>18.5470008850098</v>
      </c>
      <c r="P355" s="47" t="n">
        <v>18</v>
      </c>
      <c r="Q355" s="66" t="s">
        <v>619</v>
      </c>
    </row>
    <row r="356" customFormat="false" ht="15" hidden="false" customHeight="false" outlineLevel="0" collapsed="false">
      <c r="A356" s="76" t="s">
        <v>172</v>
      </c>
      <c r="B356" s="76" t="s">
        <v>266</v>
      </c>
      <c r="C356" s="77" t="n">
        <v>2022</v>
      </c>
      <c r="D356" s="77" t="n">
        <v>4</v>
      </c>
      <c r="E356" s="78" t="n">
        <v>44592</v>
      </c>
      <c r="F356" s="76" t="s">
        <v>236</v>
      </c>
      <c r="G356" s="76" t="s">
        <v>237</v>
      </c>
      <c r="H356" s="76" t="s">
        <v>238</v>
      </c>
      <c r="I356" s="79" t="n">
        <v>7643</v>
      </c>
      <c r="J356" s="79" t="n">
        <v>4999</v>
      </c>
      <c r="K356" s="80" t="n">
        <v>0.13</v>
      </c>
      <c r="L356" s="79"/>
      <c r="M356" s="79" t="n">
        <v>26612</v>
      </c>
      <c r="N356" s="80" t="n">
        <v>0.004</v>
      </c>
      <c r="O356" s="80" t="n">
        <v>24.4860000610352</v>
      </c>
      <c r="P356" s="47" t="n">
        <v>19</v>
      </c>
      <c r="Q356" s="66" t="s">
        <v>620</v>
      </c>
    </row>
    <row r="357" customFormat="false" ht="15" hidden="false" customHeight="false" outlineLevel="0" collapsed="false">
      <c r="A357" s="76" t="s">
        <v>172</v>
      </c>
      <c r="B357" s="76" t="s">
        <v>268</v>
      </c>
      <c r="C357" s="77" t="n">
        <v>2022</v>
      </c>
      <c r="D357" s="77" t="n">
        <v>3</v>
      </c>
      <c r="E357" s="78" t="n">
        <v>44500</v>
      </c>
      <c r="F357" s="76" t="s">
        <v>236</v>
      </c>
      <c r="G357" s="76" t="s">
        <v>237</v>
      </c>
      <c r="H357" s="76" t="s">
        <v>238</v>
      </c>
      <c r="I357" s="79" t="n">
        <v>7103</v>
      </c>
      <c r="J357" s="79" t="n">
        <v>4631</v>
      </c>
      <c r="K357" s="80" t="n">
        <v>0.12</v>
      </c>
      <c r="L357" s="79" t="n">
        <v>25380</v>
      </c>
      <c r="M357" s="79" t="n">
        <v>23798</v>
      </c>
      <c r="N357" s="80" t="n">
        <v>0.004</v>
      </c>
      <c r="O357" s="80" t="n">
        <v>25.5669994354248</v>
      </c>
      <c r="P357" s="47" t="n">
        <v>20</v>
      </c>
      <c r="Q357" s="66" t="s">
        <v>621</v>
      </c>
    </row>
    <row r="358" customFormat="false" ht="15" hidden="false" customHeight="false" outlineLevel="0" collapsed="false">
      <c r="A358" s="76" t="s">
        <v>172</v>
      </c>
      <c r="B358" s="76" t="s">
        <v>270</v>
      </c>
      <c r="C358" s="77" t="n">
        <v>2022</v>
      </c>
      <c r="D358" s="77" t="n">
        <v>2</v>
      </c>
      <c r="E358" s="78" t="n">
        <v>44408</v>
      </c>
      <c r="F358" s="76" t="s">
        <v>236</v>
      </c>
      <c r="G358" s="76" t="s">
        <v>237</v>
      </c>
      <c r="H358" s="76" t="s">
        <v>238</v>
      </c>
      <c r="I358" s="79" t="n">
        <v>6507</v>
      </c>
      <c r="J358" s="79" t="n">
        <v>4215</v>
      </c>
      <c r="K358" s="80" t="n">
        <v>0.1</v>
      </c>
      <c r="L358" s="79" t="n">
        <v>25320</v>
      </c>
      <c r="M358" s="79" t="n">
        <v>21147</v>
      </c>
      <c r="N358" s="80" t="n">
        <v>0.004</v>
      </c>
      <c r="O358" s="80" t="n">
        <v>19.4990005493164</v>
      </c>
      <c r="P358" s="47" t="n">
        <v>21</v>
      </c>
      <c r="Q358" s="66" t="s">
        <v>622</v>
      </c>
    </row>
    <row r="359" customFormat="false" ht="15" hidden="false" customHeight="false" outlineLevel="0" collapsed="false">
      <c r="A359" s="76" t="s">
        <v>172</v>
      </c>
      <c r="B359" s="76" t="s">
        <v>272</v>
      </c>
      <c r="C359" s="77" t="n">
        <v>2022</v>
      </c>
      <c r="D359" s="77" t="n">
        <v>1</v>
      </c>
      <c r="E359" s="78" t="n">
        <v>44316</v>
      </c>
      <c r="F359" s="76" t="s">
        <v>236</v>
      </c>
      <c r="G359" s="76" t="s">
        <v>237</v>
      </c>
      <c r="H359" s="76" t="s">
        <v>238</v>
      </c>
      <c r="I359" s="79" t="n">
        <v>5661</v>
      </c>
      <c r="J359" s="79" t="n">
        <v>3629</v>
      </c>
      <c r="K359" s="80" t="n">
        <v>0.09</v>
      </c>
      <c r="L359" s="79" t="n">
        <v>25280</v>
      </c>
      <c r="M359" s="79" t="n">
        <v>18774</v>
      </c>
      <c r="N359" s="80" t="n">
        <v>0.004</v>
      </c>
      <c r="O359" s="80" t="n">
        <v>15.0094995498657</v>
      </c>
      <c r="P359" s="47" t="n">
        <v>22</v>
      </c>
      <c r="Q359" s="66" t="s">
        <v>623</v>
      </c>
    </row>
    <row r="360" customFormat="false" ht="15" hidden="false" customHeight="false" outlineLevel="0" collapsed="false">
      <c r="A360" s="76" t="s">
        <v>172</v>
      </c>
      <c r="B360" s="76" t="s">
        <v>274</v>
      </c>
      <c r="C360" s="77" t="n">
        <v>2021</v>
      </c>
      <c r="D360" s="77" t="n">
        <v>4</v>
      </c>
      <c r="E360" s="78" t="n">
        <v>44227</v>
      </c>
      <c r="F360" s="76" t="s">
        <v>236</v>
      </c>
      <c r="G360" s="76" t="s">
        <v>237</v>
      </c>
      <c r="H360" s="76" t="s">
        <v>238</v>
      </c>
      <c r="I360" s="79" t="n">
        <v>5003</v>
      </c>
      <c r="J360" s="79" t="n">
        <v>3156</v>
      </c>
      <c r="K360" s="80" t="n">
        <v>0.08</v>
      </c>
      <c r="L360" s="79"/>
      <c r="M360" s="79" t="n">
        <v>16893</v>
      </c>
      <c r="N360" s="80" t="n">
        <v>0.004</v>
      </c>
      <c r="O360" s="80" t="n">
        <v>12.9897499084473</v>
      </c>
      <c r="P360" s="47" t="n">
        <v>23</v>
      </c>
      <c r="Q360" s="66" t="s">
        <v>624</v>
      </c>
    </row>
    <row r="361" customFormat="false" ht="15" hidden="false" customHeight="false" outlineLevel="0" collapsed="false">
      <c r="A361" s="76" t="s">
        <v>172</v>
      </c>
      <c r="B361" s="76" t="s">
        <v>276</v>
      </c>
      <c r="C361" s="77" t="n">
        <v>2021</v>
      </c>
      <c r="D361" s="77" t="n">
        <v>3</v>
      </c>
      <c r="E361" s="78" t="n">
        <v>44135</v>
      </c>
      <c r="F361" s="76" t="s">
        <v>236</v>
      </c>
      <c r="G361" s="76" t="s">
        <v>237</v>
      </c>
      <c r="H361" s="76" t="s">
        <v>238</v>
      </c>
      <c r="I361" s="79" t="n">
        <v>4726</v>
      </c>
      <c r="J361" s="79" t="n">
        <v>2960</v>
      </c>
      <c r="K361" s="80" t="n">
        <v>0.07</v>
      </c>
      <c r="L361" s="79" t="n">
        <v>25200</v>
      </c>
      <c r="M361" s="79" t="n">
        <v>15334</v>
      </c>
      <c r="N361" s="80" t="n">
        <v>0.004</v>
      </c>
      <c r="O361" s="80" t="n">
        <v>12.5340003967285</v>
      </c>
      <c r="P361" s="47" t="n">
        <v>24</v>
      </c>
      <c r="Q361" s="66" t="s">
        <v>625</v>
      </c>
    </row>
    <row r="362" customFormat="false" ht="15" hidden="false" customHeight="false" outlineLevel="0" collapsed="false">
      <c r="A362" s="76" t="s">
        <v>172</v>
      </c>
      <c r="B362" s="76" t="s">
        <v>278</v>
      </c>
      <c r="C362" s="77" t="n">
        <v>2021</v>
      </c>
      <c r="D362" s="77" t="n">
        <v>2</v>
      </c>
      <c r="E362" s="78" t="n">
        <v>44043</v>
      </c>
      <c r="F362" s="76" t="s">
        <v>236</v>
      </c>
      <c r="G362" s="76" t="s">
        <v>237</v>
      </c>
      <c r="H362" s="76" t="s">
        <v>238</v>
      </c>
      <c r="I362" s="79" t="n">
        <v>3866</v>
      </c>
      <c r="J362" s="79" t="n">
        <v>2275</v>
      </c>
      <c r="K362" s="80" t="n">
        <v>0.05</v>
      </c>
      <c r="L362" s="79" t="n">
        <v>25040</v>
      </c>
      <c r="M362" s="79" t="n">
        <v>13914</v>
      </c>
      <c r="N362" s="80"/>
      <c r="O362" s="80" t="n">
        <v>10.6147499084473</v>
      </c>
      <c r="P362" s="47" t="n">
        <v>25</v>
      </c>
      <c r="Q362" s="66" t="s">
        <v>626</v>
      </c>
    </row>
    <row r="363" customFormat="false" ht="15" hidden="false" customHeight="false" outlineLevel="0" collapsed="false">
      <c r="A363" s="76" t="s">
        <v>205</v>
      </c>
      <c r="B363" s="76" t="s">
        <v>383</v>
      </c>
      <c r="C363" s="77" t="n">
        <v>2027</v>
      </c>
      <c r="D363" s="77" t="n">
        <v>2</v>
      </c>
      <c r="E363" s="78" t="n">
        <v>46234</v>
      </c>
      <c r="F363" s="76" t="s">
        <v>236</v>
      </c>
      <c r="G363" s="76" t="s">
        <v>237</v>
      </c>
      <c r="H363" s="76" t="s">
        <v>238</v>
      </c>
      <c r="I363" s="79" t="n">
        <v>805</v>
      </c>
      <c r="J363" s="79" t="n">
        <v>641</v>
      </c>
      <c r="K363" s="80" t="n">
        <v>1.05</v>
      </c>
      <c r="L363" s="79" t="n">
        <v>178.808</v>
      </c>
      <c r="M363" s="79" t="n">
        <v>6973</v>
      </c>
      <c r="N363" s="80"/>
      <c r="O363" s="80" t="n">
        <v>141.929992675781</v>
      </c>
      <c r="P363" s="47" t="n">
        <v>1</v>
      </c>
      <c r="Q363" s="66" t="s">
        <v>627</v>
      </c>
    </row>
    <row r="364" customFormat="false" ht="15" hidden="false" customHeight="false" outlineLevel="0" collapsed="false">
      <c r="A364" s="76" t="s">
        <v>205</v>
      </c>
      <c r="B364" s="76" t="s">
        <v>385</v>
      </c>
      <c r="C364" s="77" t="n">
        <v>2027</v>
      </c>
      <c r="D364" s="77" t="n">
        <v>1</v>
      </c>
      <c r="E364" s="78" t="n">
        <v>46142</v>
      </c>
      <c r="F364" s="76" t="s">
        <v>236</v>
      </c>
      <c r="G364" s="76" t="s">
        <v>237</v>
      </c>
      <c r="H364" s="76" t="s">
        <v>238</v>
      </c>
      <c r="I364" s="79" t="n">
        <v>765</v>
      </c>
      <c r="J364" s="79" t="n">
        <v>595</v>
      </c>
      <c r="K364" s="80" t="n">
        <v>0.91</v>
      </c>
      <c r="L364" s="79" t="n">
        <v>177.699</v>
      </c>
      <c r="M364" s="79" t="n">
        <v>6899</v>
      </c>
      <c r="N364" s="80"/>
      <c r="O364" s="80" t="n">
        <v>73.6500015258789</v>
      </c>
      <c r="P364" s="47" t="n">
        <v>2</v>
      </c>
      <c r="Q364" s="66" t="s">
        <v>628</v>
      </c>
    </row>
    <row r="365" customFormat="false" ht="15" hidden="false" customHeight="false" outlineLevel="0" collapsed="false">
      <c r="A365" s="76" t="s">
        <v>205</v>
      </c>
      <c r="B365" s="76" t="s">
        <v>387</v>
      </c>
      <c r="C365" s="77" t="n">
        <v>2026</v>
      </c>
      <c r="D365" s="77" t="n">
        <v>4</v>
      </c>
      <c r="E365" s="78" t="n">
        <v>46053</v>
      </c>
      <c r="F365" s="76" t="s">
        <v>236</v>
      </c>
      <c r="G365" s="76" t="s">
        <v>237</v>
      </c>
      <c r="H365" s="76" t="s">
        <v>238</v>
      </c>
      <c r="I365" s="79" t="n">
        <v>761</v>
      </c>
      <c r="J365" s="79" t="n">
        <v>593</v>
      </c>
      <c r="K365" s="80" t="n">
        <v>0.9</v>
      </c>
      <c r="L365" s="79" t="n">
        <v>180.45</v>
      </c>
      <c r="M365" s="79" t="n">
        <v>6999</v>
      </c>
      <c r="N365" s="80"/>
      <c r="O365" s="80" t="n">
        <v>84.4800033569336</v>
      </c>
      <c r="P365" s="47" t="n">
        <v>3</v>
      </c>
      <c r="Q365" s="66" t="s">
        <v>629</v>
      </c>
    </row>
    <row r="366" customFormat="false" ht="15" hidden="false" customHeight="false" outlineLevel="0" collapsed="false">
      <c r="A366" s="76" t="s">
        <v>205</v>
      </c>
      <c r="B366" s="76" t="s">
        <v>286</v>
      </c>
      <c r="C366" s="77" t="n">
        <v>2026</v>
      </c>
      <c r="D366" s="77" t="n">
        <v>3</v>
      </c>
      <c r="E366" s="78" t="n">
        <v>45961</v>
      </c>
      <c r="F366" s="76" t="s">
        <v>236</v>
      </c>
      <c r="G366" s="76" t="s">
        <v>237</v>
      </c>
      <c r="H366" s="76" t="s">
        <v>238</v>
      </c>
      <c r="I366" s="79" t="n">
        <v>742</v>
      </c>
      <c r="J366" s="79" t="n">
        <v>572</v>
      </c>
      <c r="K366" s="80" t="n">
        <v>0.82</v>
      </c>
      <c r="L366" s="79" t="n">
        <v>178.402</v>
      </c>
      <c r="M366" s="79" t="n">
        <v>6893</v>
      </c>
      <c r="N366" s="80"/>
      <c r="O366" s="80" t="n">
        <v>91.5299987792969</v>
      </c>
      <c r="P366" s="47" t="n">
        <v>4</v>
      </c>
      <c r="Q366" s="66" t="s">
        <v>630</v>
      </c>
    </row>
    <row r="367" customFormat="false" ht="15" hidden="false" customHeight="false" outlineLevel="0" collapsed="false">
      <c r="A367" s="76" t="s">
        <v>205</v>
      </c>
      <c r="B367" s="76" t="s">
        <v>235</v>
      </c>
      <c r="C367" s="77" t="n">
        <v>2026</v>
      </c>
      <c r="D367" s="77" t="n">
        <v>2</v>
      </c>
      <c r="E367" s="78" t="n">
        <v>45869</v>
      </c>
      <c r="F367" s="76" t="s">
        <v>236</v>
      </c>
      <c r="G367" s="76" t="s">
        <v>237</v>
      </c>
      <c r="H367" s="76" t="s">
        <v>238</v>
      </c>
      <c r="I367" s="79" t="n">
        <v>728</v>
      </c>
      <c r="J367" s="79" t="n">
        <v>560</v>
      </c>
      <c r="K367" s="80" t="n">
        <v>0.91</v>
      </c>
      <c r="L367" s="79" t="n">
        <v>180.966</v>
      </c>
      <c r="M367" s="79" t="n">
        <v>6754</v>
      </c>
      <c r="N367" s="80"/>
      <c r="O367" s="80" t="n">
        <v>97.8000030517578</v>
      </c>
      <c r="P367" s="47" t="n">
        <v>5</v>
      </c>
      <c r="Q367" s="66" t="s">
        <v>631</v>
      </c>
    </row>
    <row r="368" customFormat="false" ht="15" hidden="false" customHeight="false" outlineLevel="0" collapsed="false">
      <c r="A368" s="76" t="s">
        <v>205</v>
      </c>
      <c r="B368" s="76" t="s">
        <v>240</v>
      </c>
      <c r="C368" s="77" t="n">
        <v>2026</v>
      </c>
      <c r="D368" s="77" t="n">
        <v>1</v>
      </c>
      <c r="E368" s="78" t="n">
        <v>45777</v>
      </c>
      <c r="F368" s="76" t="s">
        <v>236</v>
      </c>
      <c r="G368" s="76" t="s">
        <v>237</v>
      </c>
      <c r="H368" s="76" t="s">
        <v>238</v>
      </c>
      <c r="I368" s="79" t="n">
        <v>688</v>
      </c>
      <c r="J368" s="79" t="n">
        <v>533</v>
      </c>
      <c r="K368" s="80" t="n">
        <v>0.86</v>
      </c>
      <c r="L368" s="79" t="n">
        <v>178.65825</v>
      </c>
      <c r="M368" s="79" t="n">
        <v>6567</v>
      </c>
      <c r="N368" s="80"/>
      <c r="O368" s="80" t="n">
        <v>112.160003662109</v>
      </c>
      <c r="P368" s="47" t="n">
        <v>6</v>
      </c>
      <c r="Q368" s="66" t="s">
        <v>632</v>
      </c>
    </row>
    <row r="369" customFormat="false" ht="15" hidden="false" customHeight="false" outlineLevel="0" collapsed="false">
      <c r="A369" s="76" t="s">
        <v>205</v>
      </c>
      <c r="B369" s="76" t="s">
        <v>242</v>
      </c>
      <c r="C369" s="77" t="n">
        <v>2025</v>
      </c>
      <c r="D369" s="77" t="n">
        <v>4</v>
      </c>
      <c r="E369" s="78" t="n">
        <v>45688</v>
      </c>
      <c r="F369" s="76" t="s">
        <v>236</v>
      </c>
      <c r="G369" s="76" t="s">
        <v>237</v>
      </c>
      <c r="H369" s="76" t="s">
        <v>238</v>
      </c>
      <c r="I369" s="79" t="n">
        <v>682</v>
      </c>
      <c r="J369" s="79" t="n">
        <v>524</v>
      </c>
      <c r="K369" s="80" t="n">
        <v>0.78</v>
      </c>
      <c r="L369" s="79" t="n">
        <v>175.086</v>
      </c>
      <c r="M369" s="79" t="n">
        <v>6405</v>
      </c>
      <c r="N369" s="80"/>
      <c r="O369" s="80" t="n">
        <v>94.2200012207031</v>
      </c>
      <c r="P369" s="47" t="n">
        <v>7</v>
      </c>
      <c r="Q369" s="66" t="s">
        <v>633</v>
      </c>
    </row>
    <row r="370" customFormat="false" ht="15" hidden="false" customHeight="false" outlineLevel="0" collapsed="false">
      <c r="A370" s="76" t="s">
        <v>205</v>
      </c>
      <c r="B370" s="76" t="s">
        <v>244</v>
      </c>
      <c r="C370" s="77" t="n">
        <v>2025</v>
      </c>
      <c r="D370" s="77" t="n">
        <v>3</v>
      </c>
      <c r="E370" s="78" t="n">
        <v>45596</v>
      </c>
      <c r="F370" s="76" t="s">
        <v>236</v>
      </c>
      <c r="G370" s="76" t="s">
        <v>237</v>
      </c>
      <c r="H370" s="76" t="s">
        <v>238</v>
      </c>
      <c r="I370" s="79" t="n">
        <v>665</v>
      </c>
      <c r="J370" s="79" t="n">
        <v>508</v>
      </c>
      <c r="K370" s="80" t="n">
        <v>0.67</v>
      </c>
      <c r="L370" s="79" t="n">
        <v>168.833</v>
      </c>
      <c r="M370" s="79" t="n">
        <v>6265</v>
      </c>
      <c r="N370" s="80"/>
      <c r="O370" s="80" t="n">
        <v>71.8899993896484</v>
      </c>
      <c r="P370" s="47" t="n">
        <v>8</v>
      </c>
      <c r="Q370" s="66" t="s">
        <v>634</v>
      </c>
    </row>
    <row r="371" customFormat="false" ht="15" hidden="false" customHeight="false" outlineLevel="0" collapsed="false">
      <c r="A371" s="76" t="s">
        <v>205</v>
      </c>
      <c r="B371" s="76" t="s">
        <v>246</v>
      </c>
      <c r="C371" s="77" t="n">
        <v>2025</v>
      </c>
      <c r="D371" s="77" t="n">
        <v>2</v>
      </c>
      <c r="E371" s="78" t="n">
        <v>45504</v>
      </c>
      <c r="F371" s="76" t="s">
        <v>236</v>
      </c>
      <c r="G371" s="76" t="s">
        <v>237</v>
      </c>
      <c r="H371" s="76" t="s">
        <v>238</v>
      </c>
      <c r="I371" s="79" t="n">
        <v>646</v>
      </c>
      <c r="J371" s="79" t="n">
        <v>491</v>
      </c>
      <c r="K371" s="80" t="n">
        <v>0.72</v>
      </c>
      <c r="L371" s="79" t="n">
        <v>166.631</v>
      </c>
      <c r="M371" s="79" t="n">
        <v>6133</v>
      </c>
      <c r="N371" s="80"/>
      <c r="O371" s="80" t="n">
        <v>93.9400024414062</v>
      </c>
      <c r="P371" s="47" t="n">
        <v>9</v>
      </c>
      <c r="Q371" s="66" t="s">
        <v>635</v>
      </c>
    </row>
    <row r="372" customFormat="false" ht="15" hidden="false" customHeight="false" outlineLevel="0" collapsed="false">
      <c r="A372" s="76" t="s">
        <v>205</v>
      </c>
      <c r="B372" s="76" t="s">
        <v>248</v>
      </c>
      <c r="C372" s="77" t="n">
        <v>2025</v>
      </c>
      <c r="D372" s="77" t="n">
        <v>1</v>
      </c>
      <c r="E372" s="78" t="n">
        <v>45412</v>
      </c>
      <c r="F372" s="76" t="s">
        <v>236</v>
      </c>
      <c r="G372" s="76" t="s">
        <v>237</v>
      </c>
      <c r="H372" s="76" t="s">
        <v>238</v>
      </c>
      <c r="I372" s="79" t="n">
        <v>617</v>
      </c>
      <c r="J372" s="79" t="n">
        <v>469</v>
      </c>
      <c r="K372" s="80" t="n">
        <v>0.65</v>
      </c>
      <c r="L372" s="79" t="n">
        <v>165.1695</v>
      </c>
      <c r="M372" s="79" t="n">
        <v>5953</v>
      </c>
      <c r="N372" s="80"/>
      <c r="O372" s="80" t="n">
        <v>92.9800033569336</v>
      </c>
      <c r="P372" s="47" t="n">
        <v>10</v>
      </c>
      <c r="Q372" s="66" t="s">
        <v>636</v>
      </c>
    </row>
    <row r="373" customFormat="false" ht="15" hidden="false" customHeight="false" outlineLevel="0" collapsed="false">
      <c r="A373" s="76" t="s">
        <v>205</v>
      </c>
      <c r="B373" s="76" t="s">
        <v>250</v>
      </c>
      <c r="C373" s="77" t="n">
        <v>2024</v>
      </c>
      <c r="D373" s="77" t="n">
        <v>4</v>
      </c>
      <c r="E373" s="78" t="n">
        <v>45322</v>
      </c>
      <c r="F373" s="76" t="s">
        <v>236</v>
      </c>
      <c r="G373" s="76" t="s">
        <v>237</v>
      </c>
      <c r="H373" s="76" t="s">
        <v>238</v>
      </c>
      <c r="I373" s="79" t="n">
        <v>605</v>
      </c>
      <c r="J373" s="79" t="n">
        <v>460</v>
      </c>
      <c r="K373" s="80" t="n">
        <v>0.63</v>
      </c>
      <c r="L373" s="79" t="n">
        <v>163.634</v>
      </c>
      <c r="M373" s="79" t="n">
        <v>5888</v>
      </c>
      <c r="N373" s="80"/>
      <c r="O373" s="80" t="n">
        <v>82.6500015258789</v>
      </c>
      <c r="P373" s="47" t="n">
        <v>11</v>
      </c>
      <c r="Q373" s="66" t="s">
        <v>637</v>
      </c>
    </row>
    <row r="374" customFormat="false" ht="15" hidden="false" customHeight="false" outlineLevel="0" collapsed="false">
      <c r="A374" s="76" t="s">
        <v>205</v>
      </c>
      <c r="B374" s="76" t="s">
        <v>252</v>
      </c>
      <c r="C374" s="77" t="n">
        <v>2024</v>
      </c>
      <c r="D374" s="77" t="n">
        <v>3</v>
      </c>
      <c r="E374" s="78" t="n">
        <v>45230</v>
      </c>
      <c r="F374" s="76" t="s">
        <v>236</v>
      </c>
      <c r="G374" s="76" t="s">
        <v>237</v>
      </c>
      <c r="H374" s="76" t="s">
        <v>238</v>
      </c>
      <c r="I374" s="79" t="n">
        <v>584</v>
      </c>
      <c r="J374" s="79" t="n">
        <v>439</v>
      </c>
      <c r="K374" s="80" t="n">
        <v>0.44</v>
      </c>
      <c r="L374" s="79" t="n">
        <v>162.142</v>
      </c>
      <c r="M374" s="79" t="n">
        <v>5730</v>
      </c>
      <c r="N374" s="80"/>
      <c r="O374" s="80" t="n">
        <v>67.4100036621094</v>
      </c>
      <c r="P374" s="47" t="n">
        <v>12</v>
      </c>
      <c r="Q374" s="66" t="s">
        <v>638</v>
      </c>
    </row>
    <row r="375" customFormat="false" ht="15" hidden="false" customHeight="false" outlineLevel="0" collapsed="false">
      <c r="A375" s="76" t="s">
        <v>205</v>
      </c>
      <c r="B375" s="76" t="s">
        <v>254</v>
      </c>
      <c r="C375" s="77" t="n">
        <v>2024</v>
      </c>
      <c r="D375" s="77" t="n">
        <v>2</v>
      </c>
      <c r="E375" s="78" t="n">
        <v>45138</v>
      </c>
      <c r="F375" s="76" t="s">
        <v>236</v>
      </c>
      <c r="G375" s="76" t="s">
        <v>237</v>
      </c>
      <c r="H375" s="76" t="s">
        <v>238</v>
      </c>
      <c r="I375" s="79" t="n">
        <v>556</v>
      </c>
      <c r="J375" s="79" t="n">
        <v>407</v>
      </c>
      <c r="K375" s="80" t="n">
        <v>0.31</v>
      </c>
      <c r="L375" s="79" t="n">
        <v>162.755</v>
      </c>
      <c r="M375" s="79" t="n">
        <v>5640</v>
      </c>
      <c r="N375" s="80"/>
      <c r="O375" s="80" t="n">
        <v>76.8600006103516</v>
      </c>
      <c r="P375" s="47" t="n">
        <v>13</v>
      </c>
      <c r="Q375" s="66" t="s">
        <v>639</v>
      </c>
    </row>
    <row r="376" customFormat="false" ht="15" hidden="false" customHeight="false" outlineLevel="0" collapsed="false">
      <c r="A376" s="76" t="s">
        <v>205</v>
      </c>
      <c r="B376" s="76" t="s">
        <v>256</v>
      </c>
      <c r="C376" s="77" t="n">
        <v>2024</v>
      </c>
      <c r="D376" s="77" t="n">
        <v>1</v>
      </c>
      <c r="E376" s="78" t="n">
        <v>45046</v>
      </c>
      <c r="F376" s="76" t="s">
        <v>236</v>
      </c>
      <c r="G376" s="76" t="s">
        <v>237</v>
      </c>
      <c r="H376" s="76" t="s">
        <v>238</v>
      </c>
      <c r="I376" s="79" t="n">
        <v>518</v>
      </c>
      <c r="J376" s="79" t="n">
        <v>376</v>
      </c>
      <c r="K376" s="80" t="n">
        <v>0.22</v>
      </c>
      <c r="L376" s="79" t="n">
        <v>161.323</v>
      </c>
      <c r="M376" s="79" t="n">
        <v>5534</v>
      </c>
      <c r="N376" s="80"/>
      <c r="O376" s="80" t="n">
        <v>68.5299987792969</v>
      </c>
      <c r="P376" s="47" t="n">
        <v>14</v>
      </c>
      <c r="Q376" s="66" t="s">
        <v>640</v>
      </c>
    </row>
    <row r="377" customFormat="false" ht="15" hidden="false" customHeight="false" outlineLevel="0" collapsed="false">
      <c r="A377" s="76" t="s">
        <v>205</v>
      </c>
      <c r="B377" s="76" t="s">
        <v>258</v>
      </c>
      <c r="C377" s="77" t="n">
        <v>2023</v>
      </c>
      <c r="D377" s="77" t="n">
        <v>4</v>
      </c>
      <c r="E377" s="78" t="n">
        <v>44957</v>
      </c>
      <c r="F377" s="76" t="s">
        <v>236</v>
      </c>
      <c r="G377" s="76" t="s">
        <v>237</v>
      </c>
      <c r="H377" s="76" t="s">
        <v>238</v>
      </c>
      <c r="I377" s="79" t="n">
        <v>510</v>
      </c>
      <c r="J377" s="79" t="n">
        <v>371</v>
      </c>
      <c r="K377" s="80" t="n">
        <v>0.3</v>
      </c>
      <c r="L377" s="79"/>
      <c r="M377" s="79" t="n">
        <v>5466</v>
      </c>
      <c r="N377" s="80"/>
      <c r="O377" s="80" t="n">
        <v>73.6100006103516</v>
      </c>
      <c r="P377" s="47" t="n">
        <v>15</v>
      </c>
      <c r="Q377" s="66" t="s">
        <v>641</v>
      </c>
    </row>
    <row r="378" customFormat="false" ht="15" hidden="false" customHeight="false" outlineLevel="0" collapsed="false">
      <c r="A378" s="76" t="s">
        <v>205</v>
      </c>
      <c r="B378" s="76" t="s">
        <v>260</v>
      </c>
      <c r="C378" s="77" t="n">
        <v>2023</v>
      </c>
      <c r="D378" s="77" t="n">
        <v>3</v>
      </c>
      <c r="E378" s="78" t="n">
        <v>44865</v>
      </c>
      <c r="F378" s="76" t="s">
        <v>236</v>
      </c>
      <c r="G378" s="76" t="s">
        <v>237</v>
      </c>
      <c r="H378" s="76" t="s">
        <v>238</v>
      </c>
      <c r="I378" s="79" t="n">
        <v>481.042</v>
      </c>
      <c r="J378" s="79" t="n">
        <v>343.389</v>
      </c>
      <c r="K378" s="80"/>
      <c r="L378" s="79" t="n">
        <v>158.708</v>
      </c>
      <c r="M378" s="79" t="n">
        <v>5407.612</v>
      </c>
      <c r="N378" s="80"/>
      <c r="O378" s="80" t="n">
        <v>56.1199989318848</v>
      </c>
      <c r="P378" s="47" t="n">
        <v>16</v>
      </c>
      <c r="Q378" s="66" t="s">
        <v>642</v>
      </c>
    </row>
    <row r="379" customFormat="false" ht="15" hidden="false" customHeight="false" outlineLevel="0" collapsed="false">
      <c r="A379" s="76" t="s">
        <v>205</v>
      </c>
      <c r="B379" s="76" t="s">
        <v>262</v>
      </c>
      <c r="C379" s="77" t="n">
        <v>2023</v>
      </c>
      <c r="D379" s="77" t="n">
        <v>2</v>
      </c>
      <c r="E379" s="78" t="n">
        <v>44773</v>
      </c>
      <c r="F379" s="76" t="s">
        <v>236</v>
      </c>
      <c r="G379" s="76" t="s">
        <v>237</v>
      </c>
      <c r="H379" s="76" t="s">
        <v>238</v>
      </c>
      <c r="I379" s="79" t="n">
        <v>452</v>
      </c>
      <c r="J379" s="79" t="n">
        <v>314</v>
      </c>
      <c r="K379" s="80" t="n">
        <v>-0.1</v>
      </c>
      <c r="L379" s="79" t="n">
        <v>157.4</v>
      </c>
      <c r="M379" s="79" t="n">
        <v>5453.016</v>
      </c>
      <c r="N379" s="80"/>
      <c r="O379" s="80" t="n">
        <v>98.4499969482422</v>
      </c>
      <c r="P379" s="47" t="n">
        <v>17</v>
      </c>
      <c r="Q379" s="66" t="s">
        <v>643</v>
      </c>
    </row>
    <row r="380" customFormat="false" ht="15" hidden="false" customHeight="false" outlineLevel="0" collapsed="false">
      <c r="A380" s="76" t="s">
        <v>205</v>
      </c>
      <c r="B380" s="76" t="s">
        <v>264</v>
      </c>
      <c r="C380" s="77" t="n">
        <v>2023</v>
      </c>
      <c r="D380" s="77" t="n">
        <v>1</v>
      </c>
      <c r="E380" s="78" t="n">
        <v>44681</v>
      </c>
      <c r="F380" s="76" t="s">
        <v>236</v>
      </c>
      <c r="G380" s="76" t="s">
        <v>237</v>
      </c>
      <c r="H380" s="76" t="s">
        <v>238</v>
      </c>
      <c r="I380" s="79" t="n">
        <v>415</v>
      </c>
      <c r="J380" s="79" t="n">
        <v>284</v>
      </c>
      <c r="K380" s="80" t="n">
        <v>-0.27</v>
      </c>
      <c r="L380" s="79" t="n">
        <v>155.875</v>
      </c>
      <c r="M380" s="79" t="n">
        <v>5472.694</v>
      </c>
      <c r="N380" s="80"/>
      <c r="O380" s="80" t="n">
        <v>119.309997558594</v>
      </c>
      <c r="P380" s="47" t="n">
        <v>18</v>
      </c>
      <c r="Q380" s="66" t="s">
        <v>644</v>
      </c>
    </row>
    <row r="381" customFormat="false" ht="15" hidden="false" customHeight="false" outlineLevel="0" collapsed="false">
      <c r="A381" s="76" t="s">
        <v>205</v>
      </c>
      <c r="B381" s="76" t="s">
        <v>266</v>
      </c>
      <c r="C381" s="77" t="n">
        <v>2022</v>
      </c>
      <c r="D381" s="77" t="n">
        <v>4</v>
      </c>
      <c r="E381" s="78" t="n">
        <v>44592</v>
      </c>
      <c r="F381" s="76" t="s">
        <v>236</v>
      </c>
      <c r="G381" s="76" t="s">
        <v>237</v>
      </c>
      <c r="H381" s="76" t="s">
        <v>238</v>
      </c>
      <c r="I381" s="79" t="n">
        <v>383.015</v>
      </c>
      <c r="J381" s="79" t="n">
        <v>263.513</v>
      </c>
      <c r="K381" s="80" t="n">
        <v>-0.18</v>
      </c>
      <c r="L381" s="79"/>
      <c r="M381" s="79" t="n">
        <v>5922</v>
      </c>
      <c r="N381" s="80"/>
      <c r="O381" s="80" t="n">
        <v>197.889999389648</v>
      </c>
      <c r="P381" s="47" t="n">
        <v>19</v>
      </c>
      <c r="Q381" s="66" t="s">
        <v>645</v>
      </c>
    </row>
    <row r="382" customFormat="false" ht="15" hidden="false" customHeight="false" outlineLevel="0" collapsed="false">
      <c r="A382" s="76" t="s">
        <v>205</v>
      </c>
      <c r="B382" s="76" t="s">
        <v>268</v>
      </c>
      <c r="C382" s="77" t="n">
        <v>2022</v>
      </c>
      <c r="D382" s="77" t="n">
        <v>3</v>
      </c>
      <c r="E382" s="78" t="n">
        <v>44500</v>
      </c>
      <c r="F382" s="76" t="s">
        <v>236</v>
      </c>
      <c r="G382" s="76" t="s">
        <v>237</v>
      </c>
      <c r="H382" s="76" t="s">
        <v>238</v>
      </c>
      <c r="I382" s="79" t="n">
        <v>350.68</v>
      </c>
      <c r="J382" s="79" t="n">
        <v>241.006</v>
      </c>
      <c r="K382" s="80" t="n">
        <v>-0.07</v>
      </c>
      <c r="L382" s="79" t="n">
        <v>153.756</v>
      </c>
      <c r="M382" s="79" t="n">
        <v>5984.555</v>
      </c>
      <c r="N382" s="80"/>
      <c r="O382" s="80" t="n">
        <v>247.179992675781</v>
      </c>
      <c r="P382" s="47" t="n">
        <v>20</v>
      </c>
      <c r="Q382" s="66" t="s">
        <v>646</v>
      </c>
    </row>
    <row r="383" customFormat="false" ht="15" hidden="false" customHeight="false" outlineLevel="0" collapsed="false">
      <c r="A383" s="76" t="s">
        <v>205</v>
      </c>
      <c r="B383" s="76" t="s">
        <v>270</v>
      </c>
      <c r="C383" s="77" t="n">
        <v>2022</v>
      </c>
      <c r="D383" s="77" t="n">
        <v>2</v>
      </c>
      <c r="E383" s="78" t="n">
        <v>44408</v>
      </c>
      <c r="F383" s="76" t="s">
        <v>236</v>
      </c>
      <c r="G383" s="76" t="s">
        <v>237</v>
      </c>
      <c r="H383" s="76" t="s">
        <v>238</v>
      </c>
      <c r="I383" s="79" t="n">
        <v>315.5</v>
      </c>
      <c r="J383" s="79" t="n">
        <v>214.394</v>
      </c>
      <c r="K383" s="80" t="n">
        <v>-0.11</v>
      </c>
      <c r="L383" s="79" t="n">
        <v>151.357</v>
      </c>
      <c r="M383" s="79" t="n">
        <v>6042.19</v>
      </c>
      <c r="N383" s="80"/>
      <c r="O383" s="80" t="n">
        <v>247.789993286133</v>
      </c>
      <c r="P383" s="47" t="n">
        <v>21</v>
      </c>
      <c r="Q383" s="66" t="s">
        <v>647</v>
      </c>
    </row>
    <row r="384" customFormat="false" ht="15" hidden="false" customHeight="false" outlineLevel="0" collapsed="false">
      <c r="A384" s="76" t="s">
        <v>205</v>
      </c>
      <c r="B384" s="76" t="s">
        <v>272</v>
      </c>
      <c r="C384" s="77" t="n">
        <v>2022</v>
      </c>
      <c r="D384" s="77" t="n">
        <v>1</v>
      </c>
      <c r="E384" s="78" t="n">
        <v>44316</v>
      </c>
      <c r="F384" s="76" t="s">
        <v>236</v>
      </c>
      <c r="G384" s="76" t="s">
        <v>237</v>
      </c>
      <c r="H384" s="76" t="s">
        <v>238</v>
      </c>
      <c r="I384" s="79" t="n">
        <v>251.006</v>
      </c>
      <c r="J384" s="79" t="n">
        <v>184.883</v>
      </c>
      <c r="K384" s="80" t="n">
        <v>-0.1</v>
      </c>
      <c r="L384" s="79" t="n">
        <v>131.777</v>
      </c>
      <c r="M384" s="79" t="n">
        <v>682.778</v>
      </c>
      <c r="N384" s="80"/>
      <c r="O384" s="80" t="n">
        <v>269.700012207031</v>
      </c>
      <c r="P384" s="47" t="n">
        <v>22</v>
      </c>
      <c r="Q384" s="66" t="s">
        <v>648</v>
      </c>
    </row>
    <row r="385" customFormat="false" ht="15" hidden="false" customHeight="false" outlineLevel="0" collapsed="false">
      <c r="A385" s="76" t="s">
        <v>205</v>
      </c>
      <c r="B385" s="76" t="s">
        <v>274</v>
      </c>
      <c r="C385" s="77" t="n">
        <v>2021</v>
      </c>
      <c r="D385" s="77" t="n">
        <v>4</v>
      </c>
      <c r="E385" s="78" t="n">
        <v>44227</v>
      </c>
      <c r="F385" s="76" t="s">
        <v>236</v>
      </c>
      <c r="G385" s="76" t="s">
        <v>237</v>
      </c>
      <c r="H385" s="76" t="s">
        <v>238</v>
      </c>
      <c r="I385" s="79" t="n">
        <v>234.74</v>
      </c>
      <c r="J385" s="79" t="n">
        <v>173.6</v>
      </c>
      <c r="K385" s="80" t="n">
        <v>0.06</v>
      </c>
      <c r="L385" s="79"/>
      <c r="M385" s="79" t="n">
        <v>694.043</v>
      </c>
      <c r="N385" s="80"/>
      <c r="O385" s="80" t="n">
        <v>259.010009765625</v>
      </c>
      <c r="P385" s="47" t="n">
        <v>23</v>
      </c>
      <c r="Q385" s="66" t="s">
        <v>649</v>
      </c>
    </row>
    <row r="386" customFormat="false" ht="15" hidden="false" customHeight="false" outlineLevel="0" collapsed="false">
      <c r="A386" s="76" t="s">
        <v>205</v>
      </c>
      <c r="B386" s="76" t="s">
        <v>276</v>
      </c>
      <c r="C386" s="77" t="n">
        <v>2021</v>
      </c>
      <c r="D386" s="77" t="n">
        <v>3</v>
      </c>
      <c r="E386" s="78" t="n">
        <v>44135</v>
      </c>
      <c r="F386" s="76" t="s">
        <v>236</v>
      </c>
      <c r="G386" s="76" t="s">
        <v>237</v>
      </c>
      <c r="H386" s="76" t="s">
        <v>238</v>
      </c>
      <c r="I386" s="79" t="n">
        <v>217.379</v>
      </c>
      <c r="J386" s="79" t="n">
        <v>160.471</v>
      </c>
      <c r="K386" s="80" t="n">
        <v>0.04</v>
      </c>
      <c r="L386" s="79" t="n">
        <v>128.813</v>
      </c>
      <c r="M386" s="79" t="n">
        <v>680.648</v>
      </c>
      <c r="N386" s="80"/>
      <c r="O386" s="80" t="n">
        <v>209.830001831055</v>
      </c>
      <c r="P386" s="47" t="n">
        <v>24</v>
      </c>
      <c r="Q386" s="66" t="s">
        <v>650</v>
      </c>
    </row>
    <row r="387" customFormat="false" ht="15" hidden="false" customHeight="false" outlineLevel="0" collapsed="false">
      <c r="A387" s="76" t="s">
        <v>208</v>
      </c>
      <c r="B387" s="76" t="s">
        <v>235</v>
      </c>
      <c r="C387" s="77" t="n">
        <v>2026</v>
      </c>
      <c r="D387" s="77" t="n">
        <v>2</v>
      </c>
      <c r="E387" s="78" t="n">
        <v>46203</v>
      </c>
      <c r="F387" s="76" t="s">
        <v>236</v>
      </c>
      <c r="G387" s="76" t="s">
        <v>237</v>
      </c>
      <c r="H387" s="76" t="s">
        <v>238</v>
      </c>
      <c r="I387" s="79" t="n">
        <v>1935.464</v>
      </c>
      <c r="J387" s="79" t="n">
        <v>1638.594</v>
      </c>
      <c r="K387" s="80" t="n">
        <v>0.41</v>
      </c>
      <c r="L387" s="79" t="n">
        <v>2568.694</v>
      </c>
      <c r="M387" s="79" t="n">
        <v>9774.194</v>
      </c>
      <c r="N387" s="80"/>
      <c r="O387" s="80" t="n">
        <v>116.669998168945</v>
      </c>
      <c r="P387" s="47" t="n">
        <v>1</v>
      </c>
      <c r="Q387" s="66" t="s">
        <v>651</v>
      </c>
    </row>
    <row r="388" customFormat="false" ht="15" hidden="false" customHeight="false" outlineLevel="0" collapsed="false">
      <c r="A388" s="76" t="s">
        <v>208</v>
      </c>
      <c r="B388" s="76" t="s">
        <v>240</v>
      </c>
      <c r="C388" s="77" t="n">
        <v>2026</v>
      </c>
      <c r="D388" s="77" t="n">
        <v>1</v>
      </c>
      <c r="E388" s="78" t="n">
        <v>46112</v>
      </c>
      <c r="F388" s="76" t="s">
        <v>236</v>
      </c>
      <c r="G388" s="76" t="s">
        <v>237</v>
      </c>
      <c r="H388" s="76" t="s">
        <v>238</v>
      </c>
      <c r="I388" s="79" t="n">
        <v>1632.583</v>
      </c>
      <c r="J388" s="79" t="n">
        <v>1416.785</v>
      </c>
      <c r="K388" s="80" t="n">
        <v>0.33</v>
      </c>
      <c r="L388" s="79" t="n">
        <v>2570.924</v>
      </c>
      <c r="M388" s="79" t="n">
        <v>8449.663</v>
      </c>
      <c r="N388" s="80"/>
      <c r="O388" s="80" t="n">
        <v>146.279998779297</v>
      </c>
      <c r="P388" s="47" t="n">
        <v>2</v>
      </c>
      <c r="Q388" s="66" t="s">
        <v>652</v>
      </c>
    </row>
    <row r="389" customFormat="false" ht="15" hidden="false" customHeight="false" outlineLevel="0" collapsed="false">
      <c r="A389" s="76" t="s">
        <v>208</v>
      </c>
      <c r="B389" s="76" t="s">
        <v>242</v>
      </c>
      <c r="C389" s="77" t="n">
        <v>2025</v>
      </c>
      <c r="D389" s="77" t="n">
        <v>4</v>
      </c>
      <c r="E389" s="78" t="n">
        <v>46022</v>
      </c>
      <c r="F389" s="76" t="s">
        <v>236</v>
      </c>
      <c r="G389" s="76" t="s">
        <v>237</v>
      </c>
      <c r="H389" s="76" t="s">
        <v>238</v>
      </c>
      <c r="I389" s="79" t="n">
        <v>1406.802</v>
      </c>
      <c r="J389" s="79" t="n">
        <v>1190.836</v>
      </c>
      <c r="K389" s="80" t="n">
        <v>0.25</v>
      </c>
      <c r="L389" s="79" t="n">
        <v>2573.497</v>
      </c>
      <c r="M389" s="79" t="n">
        <v>7387.268</v>
      </c>
      <c r="N389" s="80"/>
      <c r="O389" s="80" t="n">
        <v>177.75</v>
      </c>
      <c r="P389" s="47" t="n">
        <v>3</v>
      </c>
      <c r="Q389" s="66" t="s">
        <v>653</v>
      </c>
    </row>
    <row r="390" customFormat="false" ht="15" hidden="false" customHeight="false" outlineLevel="0" collapsed="false">
      <c r="A390" s="76" t="s">
        <v>208</v>
      </c>
      <c r="B390" s="76" t="s">
        <v>244</v>
      </c>
      <c r="C390" s="77" t="n">
        <v>2025</v>
      </c>
      <c r="D390" s="77" t="n">
        <v>3</v>
      </c>
      <c r="E390" s="78" t="n">
        <v>45930</v>
      </c>
      <c r="F390" s="76" t="s">
        <v>236</v>
      </c>
      <c r="G390" s="76" t="s">
        <v>237</v>
      </c>
      <c r="H390" s="76" t="s">
        <v>238</v>
      </c>
      <c r="I390" s="79" t="n">
        <v>1181.092</v>
      </c>
      <c r="J390" s="79" t="n">
        <v>973.785</v>
      </c>
      <c r="K390" s="80" t="n">
        <v>0.21</v>
      </c>
      <c r="L390" s="79" t="n">
        <v>2567.309786</v>
      </c>
      <c r="M390" s="79" t="n">
        <v>6590.457</v>
      </c>
      <c r="N390" s="80"/>
      <c r="O390" s="80" t="n">
        <v>182.419998168945</v>
      </c>
      <c r="P390" s="47" t="n">
        <v>4</v>
      </c>
      <c r="Q390" s="66" t="s">
        <v>654</v>
      </c>
    </row>
    <row r="391" customFormat="false" ht="15" hidden="false" customHeight="false" outlineLevel="0" collapsed="false">
      <c r="A391" s="76" t="s">
        <v>208</v>
      </c>
      <c r="B391" s="76" t="s">
        <v>246</v>
      </c>
      <c r="C391" s="77" t="n">
        <v>2025</v>
      </c>
      <c r="D391" s="77" t="n">
        <v>2</v>
      </c>
      <c r="E391" s="78" t="n">
        <v>45838</v>
      </c>
      <c r="F391" s="76" t="s">
        <v>236</v>
      </c>
      <c r="G391" s="76" t="s">
        <v>237</v>
      </c>
      <c r="H391" s="76" t="s">
        <v>238</v>
      </c>
      <c r="I391" s="79" t="n">
        <v>1003.697</v>
      </c>
      <c r="J391" s="79" t="n">
        <v>810.763</v>
      </c>
      <c r="K391" s="80" t="n">
        <v>0.16</v>
      </c>
      <c r="L391" s="79" t="n">
        <v>2559.176657</v>
      </c>
      <c r="M391" s="79" t="n">
        <v>5928.901</v>
      </c>
      <c r="N391" s="80"/>
      <c r="O391" s="80" t="n">
        <v>136.320007324219</v>
      </c>
      <c r="P391" s="47" t="n">
        <v>5</v>
      </c>
      <c r="Q391" s="66" t="s">
        <v>655</v>
      </c>
    </row>
    <row r="392" customFormat="false" ht="15" hidden="false" customHeight="false" outlineLevel="0" collapsed="false">
      <c r="A392" s="76" t="s">
        <v>208</v>
      </c>
      <c r="B392" s="76" t="s">
        <v>248</v>
      </c>
      <c r="C392" s="77" t="n">
        <v>2025</v>
      </c>
      <c r="D392" s="77" t="n">
        <v>1</v>
      </c>
      <c r="E392" s="78" t="n">
        <v>45747</v>
      </c>
      <c r="F392" s="76" t="s">
        <v>236</v>
      </c>
      <c r="G392" s="76" t="s">
        <v>237</v>
      </c>
      <c r="H392" s="76" t="s">
        <v>238</v>
      </c>
      <c r="I392" s="79" t="n">
        <v>883.855</v>
      </c>
      <c r="J392" s="79" t="n">
        <v>710.885</v>
      </c>
      <c r="K392" s="80" t="n">
        <v>0.13</v>
      </c>
      <c r="L392" s="79" t="n">
        <v>2488.99575</v>
      </c>
      <c r="M392" s="79" t="n">
        <v>5424.155</v>
      </c>
      <c r="N392" s="80"/>
      <c r="O392" s="80" t="n">
        <v>84.4000015258789</v>
      </c>
      <c r="P392" s="47" t="n">
        <v>6</v>
      </c>
      <c r="Q392" s="66" t="s">
        <v>656</v>
      </c>
    </row>
    <row r="393" customFormat="false" ht="15" hidden="false" customHeight="false" outlineLevel="0" collapsed="false">
      <c r="A393" s="76" t="s">
        <v>208</v>
      </c>
      <c r="B393" s="76" t="s">
        <v>250</v>
      </c>
      <c r="C393" s="77" t="n">
        <v>2024</v>
      </c>
      <c r="D393" s="77" t="n">
        <v>4</v>
      </c>
      <c r="E393" s="78" t="n">
        <v>45657</v>
      </c>
      <c r="F393" s="76" t="s">
        <v>236</v>
      </c>
      <c r="G393" s="76" t="s">
        <v>237</v>
      </c>
      <c r="H393" s="76" t="s">
        <v>238</v>
      </c>
      <c r="I393" s="79" t="n">
        <v>827.519</v>
      </c>
      <c r="J393" s="79" t="n">
        <v>652.986</v>
      </c>
      <c r="K393" s="80" t="n">
        <v>0.14</v>
      </c>
      <c r="L393" s="79" t="n">
        <v>2450.818</v>
      </c>
      <c r="M393" s="79" t="n">
        <v>5003.275</v>
      </c>
      <c r="N393" s="80"/>
      <c r="O393" s="80" t="n">
        <v>75.629997253418</v>
      </c>
      <c r="P393" s="47" t="n">
        <v>7</v>
      </c>
      <c r="Q393" s="66" t="s">
        <v>657</v>
      </c>
    </row>
    <row r="394" customFormat="false" ht="15" hidden="false" customHeight="false" outlineLevel="0" collapsed="false">
      <c r="A394" s="76" t="s">
        <v>208</v>
      </c>
      <c r="B394" s="76" t="s">
        <v>252</v>
      </c>
      <c r="C394" s="77" t="n">
        <v>2024</v>
      </c>
      <c r="D394" s="77" t="n">
        <v>3</v>
      </c>
      <c r="E394" s="78" t="n">
        <v>45565</v>
      </c>
      <c r="F394" s="76" t="s">
        <v>236</v>
      </c>
      <c r="G394" s="76" t="s">
        <v>237</v>
      </c>
      <c r="H394" s="76" t="s">
        <v>238</v>
      </c>
      <c r="I394" s="79" t="n">
        <v>725.516</v>
      </c>
      <c r="J394" s="79" t="n">
        <v>578.877</v>
      </c>
      <c r="K394" s="80" t="n">
        <v>0.1</v>
      </c>
      <c r="L394" s="79" t="n">
        <v>2405.56475</v>
      </c>
      <c r="M394" s="79" t="n">
        <v>4498.143</v>
      </c>
      <c r="N394" s="80"/>
      <c r="O394" s="80" t="n">
        <v>37.2000007629395</v>
      </c>
      <c r="P394" s="47" t="n">
        <v>8</v>
      </c>
      <c r="Q394" s="66" t="s">
        <v>658</v>
      </c>
    </row>
    <row r="395" customFormat="false" ht="15" hidden="false" customHeight="false" outlineLevel="0" collapsed="false">
      <c r="A395" s="76" t="s">
        <v>208</v>
      </c>
      <c r="B395" s="76" t="s">
        <v>254</v>
      </c>
      <c r="C395" s="77" t="n">
        <v>2024</v>
      </c>
      <c r="D395" s="77" t="n">
        <v>2</v>
      </c>
      <c r="E395" s="78" t="n">
        <v>45473</v>
      </c>
      <c r="F395" s="76" t="s">
        <v>236</v>
      </c>
      <c r="G395" s="76" t="s">
        <v>237</v>
      </c>
      <c r="H395" s="76" t="s">
        <v>238</v>
      </c>
      <c r="I395" s="79" t="n">
        <v>678.134</v>
      </c>
      <c r="J395" s="79" t="n">
        <v>549.572</v>
      </c>
      <c r="K395" s="80" t="n">
        <v>0.09</v>
      </c>
      <c r="L395" s="79" t="n">
        <v>2375.5255</v>
      </c>
      <c r="M395" s="79" t="n">
        <v>4050.524</v>
      </c>
      <c r="N395" s="80"/>
      <c r="O395" s="80" t="n">
        <v>25.3299999237061</v>
      </c>
      <c r="P395" s="47" t="n">
        <v>9</v>
      </c>
      <c r="Q395" s="66" t="s">
        <v>659</v>
      </c>
    </row>
    <row r="396" customFormat="false" ht="15" hidden="false" customHeight="false" outlineLevel="0" collapsed="false">
      <c r="A396" s="76" t="s">
        <v>208</v>
      </c>
      <c r="B396" s="76" t="s">
        <v>256</v>
      </c>
      <c r="C396" s="77" t="n">
        <v>2024</v>
      </c>
      <c r="D396" s="77" t="n">
        <v>1</v>
      </c>
      <c r="E396" s="78" t="n">
        <v>45382</v>
      </c>
      <c r="F396" s="76" t="s">
        <v>236</v>
      </c>
      <c r="G396" s="76" t="s">
        <v>237</v>
      </c>
      <c r="H396" s="76" t="s">
        <v>238</v>
      </c>
      <c r="I396" s="79" t="n">
        <v>634.338</v>
      </c>
      <c r="J396" s="79" t="n">
        <v>518.082</v>
      </c>
      <c r="K396" s="80" t="n">
        <v>0.08</v>
      </c>
      <c r="L396" s="79" t="n">
        <v>2343.594</v>
      </c>
      <c r="M396" s="79" t="n">
        <v>3775.227</v>
      </c>
      <c r="N396" s="80"/>
      <c r="O396" s="80" t="n">
        <v>23.0100002288818</v>
      </c>
      <c r="P396" s="47" t="n">
        <v>10</v>
      </c>
      <c r="Q396" s="66" t="s">
        <v>660</v>
      </c>
    </row>
    <row r="397" customFormat="false" ht="15" hidden="false" customHeight="false" outlineLevel="0" collapsed="false">
      <c r="A397" s="76" t="s">
        <v>208</v>
      </c>
      <c r="B397" s="76" t="s">
        <v>258</v>
      </c>
      <c r="C397" s="77" t="n">
        <v>2023</v>
      </c>
      <c r="D397" s="77" t="n">
        <v>4</v>
      </c>
      <c r="E397" s="78" t="n">
        <v>45291</v>
      </c>
      <c r="F397" s="76" t="s">
        <v>236</v>
      </c>
      <c r="G397" s="76" t="s">
        <v>237</v>
      </c>
      <c r="H397" s="76" t="s">
        <v>238</v>
      </c>
      <c r="I397" s="79" t="n">
        <v>608.35</v>
      </c>
      <c r="J397" s="79" t="n">
        <v>499.711</v>
      </c>
      <c r="K397" s="80" t="n">
        <v>0.08</v>
      </c>
      <c r="L397" s="79" t="n">
        <v>2297.927</v>
      </c>
      <c r="M397" s="79" t="n">
        <v>3475.561</v>
      </c>
      <c r="N397" s="80"/>
      <c r="O397" s="80" t="n">
        <v>17.170000076294</v>
      </c>
      <c r="P397" s="47" t="n">
        <v>11</v>
      </c>
      <c r="Q397" s="66" t="s">
        <v>661</v>
      </c>
    </row>
    <row r="398" customFormat="false" ht="15" hidden="false" customHeight="false" outlineLevel="0" collapsed="false">
      <c r="A398" s="76" t="s">
        <v>208</v>
      </c>
      <c r="B398" s="76" t="s">
        <v>260</v>
      </c>
      <c r="C398" s="77" t="n">
        <v>2023</v>
      </c>
      <c r="D398" s="77" t="n">
        <v>3</v>
      </c>
      <c r="E398" s="78" t="n">
        <v>45199</v>
      </c>
      <c r="F398" s="76" t="s">
        <v>236</v>
      </c>
      <c r="G398" s="76" t="s">
        <v>237</v>
      </c>
      <c r="H398" s="76" t="s">
        <v>238</v>
      </c>
      <c r="I398" s="79" t="n">
        <v>558.159</v>
      </c>
      <c r="J398" s="79" t="n">
        <v>450.237</v>
      </c>
      <c r="K398" s="80" t="n">
        <v>0.07</v>
      </c>
      <c r="L398" s="79" t="n">
        <v>2233.60875</v>
      </c>
      <c r="M398" s="79" t="n">
        <v>3190.015</v>
      </c>
      <c r="N398" s="80"/>
      <c r="O398" s="80" t="n">
        <v>16</v>
      </c>
      <c r="P398" s="47" t="n">
        <v>12</v>
      </c>
      <c r="Q398" s="66" t="s">
        <v>662</v>
      </c>
    </row>
    <row r="399" customFormat="false" ht="15" hidden="false" customHeight="false" outlineLevel="0" collapsed="false">
      <c r="A399" s="76" t="s">
        <v>208</v>
      </c>
      <c r="B399" s="76" t="s">
        <v>262</v>
      </c>
      <c r="C399" s="77" t="n">
        <v>2023</v>
      </c>
      <c r="D399" s="77" t="n">
        <v>2</v>
      </c>
      <c r="E399" s="78" t="n">
        <v>45107</v>
      </c>
      <c r="F399" s="76" t="s">
        <v>236</v>
      </c>
      <c r="G399" s="76" t="s">
        <v>237</v>
      </c>
      <c r="H399" s="76" t="s">
        <v>238</v>
      </c>
      <c r="I399" s="79" t="n">
        <v>533.317</v>
      </c>
      <c r="J399" s="79" t="n">
        <v>426.418</v>
      </c>
      <c r="K399" s="80" t="n">
        <v>0.05</v>
      </c>
      <c r="L399" s="79" t="n">
        <v>2278.155</v>
      </c>
      <c r="M399" s="79" t="n">
        <v>2955.474</v>
      </c>
      <c r="N399" s="80"/>
      <c r="O399" s="80" t="n">
        <v>15.3299999237061</v>
      </c>
      <c r="P399" s="47" t="n">
        <v>13</v>
      </c>
      <c r="Q399" s="66" t="s">
        <v>663</v>
      </c>
    </row>
    <row r="400" customFormat="false" ht="15" hidden="false" customHeight="false" outlineLevel="0" collapsed="false">
      <c r="A400" s="76" t="s">
        <v>208</v>
      </c>
      <c r="B400" s="76" t="s">
        <v>264</v>
      </c>
      <c r="C400" s="77" t="n">
        <v>2023</v>
      </c>
      <c r="D400" s="77" t="n">
        <v>1</v>
      </c>
      <c r="E400" s="78" t="n">
        <v>45016</v>
      </c>
      <c r="F400" s="76" t="s">
        <v>236</v>
      </c>
      <c r="G400" s="76" t="s">
        <v>237</v>
      </c>
      <c r="H400" s="76" t="s">
        <v>238</v>
      </c>
      <c r="I400" s="79" t="n">
        <v>525.186</v>
      </c>
      <c r="J400" s="79" t="n">
        <v>417.541</v>
      </c>
      <c r="K400" s="80" t="n">
        <v>0.05</v>
      </c>
      <c r="L400" s="79" t="n">
        <v>2217.439</v>
      </c>
      <c r="M400" s="79" t="n">
        <v>2723.733</v>
      </c>
      <c r="N400" s="80"/>
      <c r="O400" s="80" t="n">
        <v>8.44999980926514</v>
      </c>
      <c r="P400" s="47" t="n">
        <v>14</v>
      </c>
      <c r="Q400" s="66" t="s">
        <v>664</v>
      </c>
    </row>
    <row r="401" customFormat="false" ht="15" hidden="false" customHeight="false" outlineLevel="0" collapsed="false">
      <c r="A401" s="76" t="s">
        <v>208</v>
      </c>
      <c r="B401" s="76" t="s">
        <v>266</v>
      </c>
      <c r="C401" s="77" t="n">
        <v>2022</v>
      </c>
      <c r="D401" s="77" t="n">
        <v>4</v>
      </c>
      <c r="E401" s="78" t="n">
        <v>44926</v>
      </c>
      <c r="F401" s="76" t="s">
        <v>236</v>
      </c>
      <c r="G401" s="76" t="s">
        <v>237</v>
      </c>
      <c r="H401" s="76" t="s">
        <v>238</v>
      </c>
      <c r="I401" s="79" t="n">
        <v>508.624</v>
      </c>
      <c r="J401" s="79" t="n">
        <v>404.313</v>
      </c>
      <c r="K401" s="80" t="n">
        <v>0.04</v>
      </c>
      <c r="L401" s="79"/>
      <c r="M401" s="79" t="n">
        <v>2565.326</v>
      </c>
      <c r="N401" s="80"/>
      <c r="O401" s="80" t="n">
        <v>6.42000007629395</v>
      </c>
      <c r="P401" s="47" t="n">
        <v>15</v>
      </c>
      <c r="Q401" s="66" t="s">
        <v>665</v>
      </c>
    </row>
    <row r="402" customFormat="false" ht="15" hidden="false" customHeight="false" outlineLevel="0" collapsed="false">
      <c r="A402" s="76" t="s">
        <v>208</v>
      </c>
      <c r="B402" s="76" t="s">
        <v>268</v>
      </c>
      <c r="C402" s="77" t="n">
        <v>2022</v>
      </c>
      <c r="D402" s="77" t="n">
        <v>3</v>
      </c>
      <c r="E402" s="78" t="n">
        <v>44834</v>
      </c>
      <c r="F402" s="76" t="s">
        <v>236</v>
      </c>
      <c r="G402" s="76" t="s">
        <v>237</v>
      </c>
      <c r="H402" s="76" t="s">
        <v>238</v>
      </c>
      <c r="I402" s="79" t="n">
        <v>477.88</v>
      </c>
      <c r="J402" s="79" t="n">
        <v>370.269</v>
      </c>
      <c r="K402" s="80" t="n">
        <v>0.01</v>
      </c>
      <c r="L402" s="79" t="n">
        <v>2073.265</v>
      </c>
      <c r="M402" s="79" t="n">
        <v>2386.615</v>
      </c>
      <c r="N402" s="80"/>
      <c r="O402" s="80" t="n">
        <v>8.13000011444092</v>
      </c>
      <c r="P402" s="47" t="n">
        <v>16</v>
      </c>
      <c r="Q402" s="66" t="s">
        <v>666</v>
      </c>
    </row>
    <row r="403" customFormat="false" ht="15" hidden="false" customHeight="false" outlineLevel="0" collapsed="false">
      <c r="A403" s="76" t="s">
        <v>208</v>
      </c>
      <c r="B403" s="76" t="s">
        <v>270</v>
      </c>
      <c r="C403" s="77" t="n">
        <v>2022</v>
      </c>
      <c r="D403" s="77" t="n">
        <v>2</v>
      </c>
      <c r="E403" s="78" t="n">
        <v>44742</v>
      </c>
      <c r="F403" s="76" t="s">
        <v>236</v>
      </c>
      <c r="G403" s="76" t="s">
        <v>237</v>
      </c>
      <c r="H403" s="76" t="s">
        <v>238</v>
      </c>
      <c r="I403" s="79" t="n">
        <v>473.01</v>
      </c>
      <c r="J403" s="79" t="n">
        <v>370.786</v>
      </c>
      <c r="K403" s="80" t="n">
        <v>-0.01</v>
      </c>
      <c r="L403" s="79" t="n">
        <v>2054.799</v>
      </c>
      <c r="M403" s="79" t="n">
        <v>2348.824</v>
      </c>
      <c r="N403" s="80"/>
      <c r="O403" s="80" t="n">
        <v>9.06999969482422</v>
      </c>
      <c r="P403" s="47" t="n">
        <v>17</v>
      </c>
      <c r="Q403" s="66" t="s">
        <v>667</v>
      </c>
    </row>
    <row r="404" customFormat="false" ht="15" hidden="false" customHeight="false" outlineLevel="0" collapsed="false">
      <c r="A404" s="76" t="s">
        <v>208</v>
      </c>
      <c r="B404" s="76" t="s">
        <v>272</v>
      </c>
      <c r="C404" s="77" t="n">
        <v>2022</v>
      </c>
      <c r="D404" s="77" t="n">
        <v>1</v>
      </c>
      <c r="E404" s="78" t="n">
        <v>44651</v>
      </c>
      <c r="F404" s="76" t="s">
        <v>236</v>
      </c>
      <c r="G404" s="76" t="s">
        <v>237</v>
      </c>
      <c r="H404" s="76" t="s">
        <v>238</v>
      </c>
      <c r="I404" s="79" t="n">
        <v>446.357</v>
      </c>
      <c r="J404" s="79" t="n">
        <v>351.954</v>
      </c>
      <c r="K404" s="80" t="n">
        <v>0.02</v>
      </c>
      <c r="L404" s="79" t="n">
        <v>2036.307</v>
      </c>
      <c r="M404" s="79" t="n">
        <v>2364.746</v>
      </c>
      <c r="N404" s="80"/>
      <c r="O404" s="80" t="n">
        <v>13.7299995422363</v>
      </c>
      <c r="P404" s="47" t="n">
        <v>18</v>
      </c>
      <c r="Q404" s="66" t="s">
        <v>668</v>
      </c>
    </row>
    <row r="405" customFormat="false" ht="15" hidden="false" customHeight="false" outlineLevel="0" collapsed="false">
      <c r="A405" s="76" t="s">
        <v>208</v>
      </c>
      <c r="B405" s="76" t="s">
        <v>274</v>
      </c>
      <c r="C405" s="77" t="n">
        <v>2021</v>
      </c>
      <c r="D405" s="77" t="n">
        <v>4</v>
      </c>
      <c r="E405" s="78" t="n">
        <v>44561</v>
      </c>
      <c r="F405" s="76" t="s">
        <v>236</v>
      </c>
      <c r="G405" s="76" t="s">
        <v>237</v>
      </c>
      <c r="H405" s="76" t="s">
        <v>238</v>
      </c>
      <c r="I405" s="79" t="n">
        <v>432.867</v>
      </c>
      <c r="J405" s="79" t="n">
        <v>345.304</v>
      </c>
      <c r="K405" s="80" t="n">
        <v>0.02</v>
      </c>
      <c r="L405" s="79"/>
      <c r="M405" s="79" t="n">
        <v>2291.03</v>
      </c>
      <c r="N405" s="80"/>
      <c r="O405" s="80" t="n">
        <v>18.2099990844727</v>
      </c>
      <c r="P405" s="47" t="n">
        <v>19</v>
      </c>
      <c r="Q405" s="66" t="s">
        <v>669</v>
      </c>
    </row>
    <row r="406" customFormat="false" ht="15" hidden="false" customHeight="false" outlineLevel="0" collapsed="false">
      <c r="A406" s="76" t="s">
        <v>208</v>
      </c>
      <c r="B406" s="76" t="s">
        <v>276</v>
      </c>
      <c r="C406" s="77" t="n">
        <v>2021</v>
      </c>
      <c r="D406" s="77" t="n">
        <v>3</v>
      </c>
      <c r="E406" s="78" t="n">
        <v>44469</v>
      </c>
      <c r="F406" s="76" t="s">
        <v>236</v>
      </c>
      <c r="G406" s="76" t="s">
        <v>237</v>
      </c>
      <c r="H406" s="76" t="s">
        <v>238</v>
      </c>
      <c r="I406" s="79" t="n">
        <v>392.146</v>
      </c>
      <c r="J406" s="79" t="n">
        <v>305.342</v>
      </c>
      <c r="K406" s="80" t="n">
        <v>0.04</v>
      </c>
      <c r="L406" s="79" t="n">
        <v>1964.395</v>
      </c>
      <c r="M406" s="79" t="n">
        <v>2248.056</v>
      </c>
      <c r="N406" s="80"/>
      <c r="O406" s="80" t="n">
        <v>24.0400009155273</v>
      </c>
      <c r="P406" s="47" t="n">
        <v>20</v>
      </c>
      <c r="Q406" s="66" t="s">
        <v>670</v>
      </c>
    </row>
    <row r="407" customFormat="false" ht="15" hidden="false" customHeight="false" outlineLevel="0" collapsed="false">
      <c r="A407" s="76" t="s">
        <v>208</v>
      </c>
      <c r="B407" s="76" t="s">
        <v>278</v>
      </c>
      <c r="C407" s="77" t="n">
        <v>2021</v>
      </c>
      <c r="D407" s="77" t="n">
        <v>2</v>
      </c>
      <c r="E407" s="78" t="n">
        <v>44377</v>
      </c>
      <c r="F407" s="76" t="s">
        <v>236</v>
      </c>
      <c r="G407" s="76" t="s">
        <v>237</v>
      </c>
      <c r="H407" s="76" t="s">
        <v>238</v>
      </c>
      <c r="I407" s="79" t="n">
        <v>375.642</v>
      </c>
      <c r="J407" s="79" t="n">
        <v>284.716</v>
      </c>
      <c r="K407" s="80" t="n">
        <v>0.04</v>
      </c>
      <c r="L407" s="79" t="n">
        <v>1894.606</v>
      </c>
      <c r="M407" s="79" t="n">
        <v>2068.963</v>
      </c>
      <c r="N407" s="80"/>
      <c r="O407" s="80" t="n">
        <v>26.3600006103516</v>
      </c>
      <c r="P407" s="47" t="n">
        <v>21</v>
      </c>
      <c r="Q407" s="66" t="s">
        <v>671</v>
      </c>
    </row>
    <row r="408" customFormat="false" ht="15" hidden="false" customHeight="false" outlineLevel="0" collapsed="false">
      <c r="A408" s="76" t="s">
        <v>208</v>
      </c>
      <c r="B408" s="76" t="s">
        <v>280</v>
      </c>
      <c r="C408" s="77" t="n">
        <v>2021</v>
      </c>
      <c r="D408" s="77" t="n">
        <v>1</v>
      </c>
      <c r="E408" s="78" t="n">
        <v>44286</v>
      </c>
      <c r="F408" s="76" t="s">
        <v>236</v>
      </c>
      <c r="G408" s="76" t="s">
        <v>237</v>
      </c>
      <c r="H408" s="76" t="s">
        <v>238</v>
      </c>
      <c r="I408" s="79" t="n">
        <v>341.234</v>
      </c>
      <c r="J408" s="79" t="n">
        <v>267.123</v>
      </c>
      <c r="K408" s="80" t="n">
        <v>0.04</v>
      </c>
      <c r="L408" s="79" t="n">
        <v>1821.158</v>
      </c>
      <c r="M408" s="79" t="n">
        <v>1805.943</v>
      </c>
      <c r="N408" s="80"/>
      <c r="O408" s="80" t="n">
        <v>23.2900009155273</v>
      </c>
      <c r="P408" s="47" t="n">
        <v>22</v>
      </c>
      <c r="Q408" s="66" t="s">
        <v>672</v>
      </c>
    </row>
    <row r="409" customFormat="false" ht="15" hidden="false" customHeight="false" outlineLevel="0" collapsed="false">
      <c r="A409" s="76" t="s">
        <v>208</v>
      </c>
      <c r="B409" s="76" t="s">
        <v>282</v>
      </c>
      <c r="C409" s="77" t="n">
        <v>2020</v>
      </c>
      <c r="D409" s="77" t="n">
        <v>4</v>
      </c>
      <c r="E409" s="78" t="n">
        <v>44196</v>
      </c>
      <c r="F409" s="76" t="s">
        <v>236</v>
      </c>
      <c r="G409" s="76" t="s">
        <v>237</v>
      </c>
      <c r="H409" s="76" t="s">
        <v>238</v>
      </c>
      <c r="I409" s="79" t="n">
        <v>322.091</v>
      </c>
      <c r="J409" s="79" t="n">
        <v>251.588</v>
      </c>
      <c r="K409" s="80" t="n">
        <v>0.06</v>
      </c>
      <c r="L409" s="79"/>
      <c r="M409" s="79" t="n">
        <v>1522.55</v>
      </c>
      <c r="N409" s="80"/>
      <c r="O409" s="80" t="n">
        <v>23.5499992370606</v>
      </c>
      <c r="P409" s="47" t="n">
        <v>23</v>
      </c>
      <c r="Q409" s="66" t="s">
        <v>673</v>
      </c>
    </row>
    <row r="410" customFormat="false" ht="15" hidden="false" customHeight="false" outlineLevel="0" collapsed="false">
      <c r="A410" s="76" t="s">
        <v>208</v>
      </c>
      <c r="B410" s="76" t="s">
        <v>284</v>
      </c>
      <c r="C410" s="77" t="n">
        <v>2020</v>
      </c>
      <c r="D410" s="77" t="n">
        <v>3</v>
      </c>
      <c r="E410" s="78" t="n">
        <v>44104</v>
      </c>
      <c r="F410" s="76" t="s">
        <v>236</v>
      </c>
      <c r="G410" s="76" t="s">
        <v>237</v>
      </c>
      <c r="H410" s="76" t="s">
        <v>238</v>
      </c>
      <c r="I410" s="79" t="n">
        <v>289.366</v>
      </c>
      <c r="J410" s="79" t="n">
        <v>140.026</v>
      </c>
      <c r="K410" s="80" t="n">
        <v>0.06</v>
      </c>
      <c r="L410" s="79" t="n">
        <v>905.462</v>
      </c>
      <c r="M410" s="79" t="n">
        <v>1251.753</v>
      </c>
      <c r="N410" s="80"/>
      <c r="O410" s="80" t="n">
        <v>9.5</v>
      </c>
      <c r="P410" s="47" t="n">
        <v>24</v>
      </c>
      <c r="Q410" s="66" t="s">
        <v>674</v>
      </c>
    </row>
    <row r="411" customFormat="false" ht="15" hidden="false" customHeight="false" outlineLevel="0" collapsed="false">
      <c r="A411" s="76" t="s">
        <v>212</v>
      </c>
      <c r="B411" s="76" t="s">
        <v>286</v>
      </c>
      <c r="C411" s="77" t="n">
        <v>2026</v>
      </c>
      <c r="D411" s="77" t="n">
        <v>3</v>
      </c>
      <c r="E411" s="78" t="n">
        <v>46203</v>
      </c>
      <c r="F411" s="76" t="s">
        <v>236</v>
      </c>
      <c r="G411" s="76" t="s">
        <v>237</v>
      </c>
      <c r="H411" s="76" t="s">
        <v>238</v>
      </c>
      <c r="I411" s="79" t="n">
        <v>9947</v>
      </c>
      <c r="J411" s="79" t="n">
        <v>5277</v>
      </c>
      <c r="K411" s="80" t="n">
        <v>2.21</v>
      </c>
      <c r="L411" s="79" t="n">
        <v>1069</v>
      </c>
      <c r="M411" s="79" t="n">
        <v>27658</v>
      </c>
      <c r="N411" s="80" t="n">
        <v>0.92</v>
      </c>
      <c r="O411" s="80" t="n">
        <v>184.789993286133</v>
      </c>
      <c r="P411" s="47" t="n">
        <v>1</v>
      </c>
      <c r="Q411" s="66" t="s">
        <v>675</v>
      </c>
    </row>
    <row r="412" customFormat="false" ht="15" hidden="false" customHeight="false" outlineLevel="0" collapsed="false">
      <c r="A412" s="76" t="s">
        <v>212</v>
      </c>
      <c r="B412" s="76" t="s">
        <v>235</v>
      </c>
      <c r="C412" s="77" t="n">
        <v>2026</v>
      </c>
      <c r="D412" s="77" t="n">
        <v>2</v>
      </c>
      <c r="E412" s="78" t="n">
        <v>46112</v>
      </c>
      <c r="F412" s="76" t="s">
        <v>236</v>
      </c>
      <c r="G412" s="76" t="s">
        <v>237</v>
      </c>
      <c r="H412" s="76" t="s">
        <v>238</v>
      </c>
      <c r="I412" s="79" t="n">
        <v>10599</v>
      </c>
      <c r="J412" s="79" t="n">
        <v>5699</v>
      </c>
      <c r="K412" s="80" t="n">
        <v>2.65</v>
      </c>
      <c r="L412" s="79" t="n">
        <v>1072</v>
      </c>
      <c r="M412" s="79" t="n">
        <v>27278</v>
      </c>
      <c r="N412" s="80" t="n">
        <v>0.89</v>
      </c>
      <c r="O412" s="80" t="n">
        <v>128.779998779297</v>
      </c>
      <c r="P412" s="47" t="n">
        <v>2</v>
      </c>
      <c r="Q412" s="66" t="s">
        <v>676</v>
      </c>
    </row>
    <row r="413" customFormat="false" ht="15" hidden="false" customHeight="false" outlineLevel="0" collapsed="false">
      <c r="A413" s="76" t="s">
        <v>212</v>
      </c>
      <c r="B413" s="76" t="s">
        <v>240</v>
      </c>
      <c r="C413" s="77" t="n">
        <v>2026</v>
      </c>
      <c r="D413" s="77" t="n">
        <v>1</v>
      </c>
      <c r="E413" s="78" t="n">
        <v>46022</v>
      </c>
      <c r="F413" s="76" t="s">
        <v>236</v>
      </c>
      <c r="G413" s="76" t="s">
        <v>237</v>
      </c>
      <c r="H413" s="76" t="s">
        <v>238</v>
      </c>
      <c r="I413" s="79" t="n">
        <v>12252</v>
      </c>
      <c r="J413" s="79" t="n">
        <v>6684</v>
      </c>
      <c r="K413" s="80" t="n">
        <v>3.5</v>
      </c>
      <c r="L413" s="79" t="n">
        <v>1079</v>
      </c>
      <c r="M413" s="79" t="n">
        <v>23073</v>
      </c>
      <c r="N413" s="80" t="n">
        <v>0.89</v>
      </c>
      <c r="O413" s="80" t="n">
        <v>171.050003051758</v>
      </c>
      <c r="P413" s="47" t="n">
        <v>3</v>
      </c>
      <c r="Q413" s="66" t="s">
        <v>677</v>
      </c>
    </row>
    <row r="414" customFormat="false" ht="15" hidden="false" customHeight="false" outlineLevel="0" collapsed="false">
      <c r="A414" s="76" t="s">
        <v>212</v>
      </c>
      <c r="B414" s="76" t="s">
        <v>242</v>
      </c>
      <c r="C414" s="77" t="n">
        <v>2025</v>
      </c>
      <c r="D414" s="77" t="n">
        <v>4</v>
      </c>
      <c r="E414" s="78" t="n">
        <v>45930</v>
      </c>
      <c r="F414" s="76" t="s">
        <v>236</v>
      </c>
      <c r="G414" s="76" t="s">
        <v>237</v>
      </c>
      <c r="H414" s="76" t="s">
        <v>238</v>
      </c>
      <c r="I414" s="79" t="n">
        <v>11271</v>
      </c>
      <c r="J414" s="79" t="n">
        <v>6237</v>
      </c>
      <c r="K414" s="80" t="n">
        <v>3</v>
      </c>
      <c r="L414" s="79" t="n">
        <v>1078</v>
      </c>
      <c r="M414" s="79" t="n">
        <v>21206</v>
      </c>
      <c r="N414" s="80" t="n">
        <v>0.89</v>
      </c>
      <c r="O414" s="80" t="n">
        <v>166.360000610352</v>
      </c>
      <c r="P414" s="47" t="n">
        <v>4</v>
      </c>
      <c r="Q414" s="66" t="s">
        <v>678</v>
      </c>
    </row>
    <row r="415" customFormat="false" ht="15" hidden="false" customHeight="false" outlineLevel="0" collapsed="false">
      <c r="A415" s="76" t="s">
        <v>212</v>
      </c>
      <c r="B415" s="76" t="s">
        <v>244</v>
      </c>
      <c r="C415" s="77" t="n">
        <v>2025</v>
      </c>
      <c r="D415" s="77" t="n">
        <v>3</v>
      </c>
      <c r="E415" s="78" t="n">
        <v>45838</v>
      </c>
      <c r="F415" s="76" t="s">
        <v>236</v>
      </c>
      <c r="G415" s="76" t="s">
        <v>237</v>
      </c>
      <c r="H415" s="76" t="s">
        <v>238</v>
      </c>
      <c r="I415" s="79" t="n">
        <v>10365</v>
      </c>
      <c r="J415" s="79" t="n">
        <v>5759</v>
      </c>
      <c r="K415" s="80" t="n">
        <v>2.77</v>
      </c>
      <c r="L415" s="79" t="n">
        <v>1099</v>
      </c>
      <c r="M415" s="79" t="n">
        <v>27209</v>
      </c>
      <c r="N415" s="80" t="n">
        <v>0.89</v>
      </c>
      <c r="O415" s="80" t="n">
        <v>159.259994506836</v>
      </c>
      <c r="P415" s="47" t="n">
        <v>5</v>
      </c>
      <c r="Q415" s="66" t="s">
        <v>679</v>
      </c>
    </row>
    <row r="416" customFormat="false" ht="15" hidden="false" customHeight="false" outlineLevel="0" collapsed="false">
      <c r="A416" s="76" t="s">
        <v>212</v>
      </c>
      <c r="B416" s="76" t="s">
        <v>246</v>
      </c>
      <c r="C416" s="77" t="n">
        <v>2025</v>
      </c>
      <c r="D416" s="77" t="n">
        <v>2</v>
      </c>
      <c r="E416" s="78" t="n">
        <v>45747</v>
      </c>
      <c r="F416" s="76" t="s">
        <v>236</v>
      </c>
      <c r="G416" s="76" t="s">
        <v>237</v>
      </c>
      <c r="H416" s="76" t="s">
        <v>238</v>
      </c>
      <c r="I416" s="79" t="n">
        <v>10979</v>
      </c>
      <c r="J416" s="79" t="n">
        <v>6042</v>
      </c>
      <c r="K416" s="80" t="n">
        <v>2.85</v>
      </c>
      <c r="L416" s="79" t="n">
        <v>1115</v>
      </c>
      <c r="M416" s="79" t="n">
        <v>27728</v>
      </c>
      <c r="N416" s="80" t="n">
        <v>0.85</v>
      </c>
      <c r="O416" s="80" t="n">
        <v>153.610000610352</v>
      </c>
      <c r="P416" s="47" t="n">
        <v>6</v>
      </c>
      <c r="Q416" s="66" t="s">
        <v>680</v>
      </c>
    </row>
    <row r="417" customFormat="false" ht="15" hidden="false" customHeight="false" outlineLevel="0" collapsed="false">
      <c r="A417" s="76" t="s">
        <v>212</v>
      </c>
      <c r="B417" s="76" t="s">
        <v>248</v>
      </c>
      <c r="C417" s="77" t="n">
        <v>2025</v>
      </c>
      <c r="D417" s="77" t="n">
        <v>1</v>
      </c>
      <c r="E417" s="78" t="n">
        <v>45657</v>
      </c>
      <c r="F417" s="76" t="s">
        <v>236</v>
      </c>
      <c r="G417" s="76" t="s">
        <v>237</v>
      </c>
      <c r="H417" s="76" t="s">
        <v>238</v>
      </c>
      <c r="I417" s="79" t="n">
        <v>11669</v>
      </c>
      <c r="J417" s="79" t="n">
        <v>6508</v>
      </c>
      <c r="K417" s="80" t="n">
        <v>3.41</v>
      </c>
      <c r="L417" s="79" t="n">
        <v>1122</v>
      </c>
      <c r="M417" s="79" t="n">
        <v>26880</v>
      </c>
      <c r="N417" s="80" t="n">
        <v>0.85</v>
      </c>
      <c r="O417" s="80" t="n">
        <v>153.619995117188</v>
      </c>
      <c r="P417" s="47" t="n">
        <v>7</v>
      </c>
      <c r="Q417" s="66" t="s">
        <v>681</v>
      </c>
    </row>
    <row r="418" customFormat="false" ht="15" hidden="false" customHeight="false" outlineLevel="0" collapsed="false">
      <c r="A418" s="76" t="s">
        <v>212</v>
      </c>
      <c r="B418" s="76" t="s">
        <v>250</v>
      </c>
      <c r="C418" s="77" t="n">
        <v>2024</v>
      </c>
      <c r="D418" s="77" t="n">
        <v>4</v>
      </c>
      <c r="E418" s="78" t="n">
        <v>45565</v>
      </c>
      <c r="F418" s="76" t="s">
        <v>236</v>
      </c>
      <c r="G418" s="76" t="s">
        <v>237</v>
      </c>
      <c r="H418" s="76" t="s">
        <v>238</v>
      </c>
      <c r="I418" s="79" t="n">
        <v>10244</v>
      </c>
      <c r="J418" s="79" t="n">
        <v>5777</v>
      </c>
      <c r="K418" s="80" t="n">
        <v>2.69</v>
      </c>
      <c r="L418" s="79"/>
      <c r="M418" s="79" t="n">
        <v>26274</v>
      </c>
      <c r="N418" s="80" t="n">
        <v>0.85</v>
      </c>
      <c r="O418" s="80" t="n">
        <v>170.050003051758</v>
      </c>
      <c r="P418" s="47" t="n">
        <v>8</v>
      </c>
      <c r="Q418" s="66" t="s">
        <v>682</v>
      </c>
    </row>
    <row r="419" customFormat="false" ht="15" hidden="false" customHeight="false" outlineLevel="0" collapsed="false">
      <c r="A419" s="76" t="s">
        <v>212</v>
      </c>
      <c r="B419" s="76" t="s">
        <v>252</v>
      </c>
      <c r="C419" s="77" t="n">
        <v>2024</v>
      </c>
      <c r="D419" s="77" t="n">
        <v>3</v>
      </c>
      <c r="E419" s="78" t="n">
        <v>45466</v>
      </c>
      <c r="F419" s="76" t="s">
        <v>236</v>
      </c>
      <c r="G419" s="76" t="s">
        <v>237</v>
      </c>
      <c r="H419" s="76" t="s">
        <v>238</v>
      </c>
      <c r="I419" s="79" t="n">
        <v>9393</v>
      </c>
      <c r="J419" s="79"/>
      <c r="K419" s="80"/>
      <c r="L419" s="79" t="n">
        <v>1134</v>
      </c>
      <c r="M419" s="79" t="n">
        <v>24670</v>
      </c>
      <c r="N419" s="80" t="n">
        <v>0.85</v>
      </c>
      <c r="O419" s="80" t="n">
        <v>212.529998779297</v>
      </c>
      <c r="P419" s="47" t="n">
        <v>9</v>
      </c>
      <c r="Q419" s="66" t="s">
        <v>683</v>
      </c>
    </row>
    <row r="420" customFormat="false" ht="15" hidden="false" customHeight="false" outlineLevel="0" collapsed="false">
      <c r="A420" s="76" t="s">
        <v>212</v>
      </c>
      <c r="B420" s="76" t="s">
        <v>254</v>
      </c>
      <c r="C420" s="77" t="n">
        <v>2024</v>
      </c>
      <c r="D420" s="77" t="n">
        <v>2</v>
      </c>
      <c r="E420" s="78" t="n">
        <v>45375</v>
      </c>
      <c r="F420" s="76" t="s">
        <v>236</v>
      </c>
      <c r="G420" s="76" t="s">
        <v>237</v>
      </c>
      <c r="H420" s="76" t="s">
        <v>238</v>
      </c>
      <c r="I420" s="79" t="n">
        <v>9389</v>
      </c>
      <c r="J420" s="79"/>
      <c r="K420" s="80"/>
      <c r="L420" s="79" t="n">
        <v>1130</v>
      </c>
      <c r="M420" s="79" t="n">
        <v>24469</v>
      </c>
      <c r="N420" s="80"/>
      <c r="O420" s="80" t="n">
        <v>170.100006103516</v>
      </c>
      <c r="P420" s="47" t="n">
        <v>10</v>
      </c>
      <c r="Q420" s="66" t="s">
        <v>684</v>
      </c>
    </row>
    <row r="421" customFormat="false" ht="15" hidden="false" customHeight="false" outlineLevel="0" collapsed="false">
      <c r="A421" s="76" t="s">
        <v>212</v>
      </c>
      <c r="B421" s="76" t="s">
        <v>256</v>
      </c>
      <c r="C421" s="77" t="n">
        <v>2024</v>
      </c>
      <c r="D421" s="77" t="n">
        <v>1</v>
      </c>
      <c r="E421" s="78" t="n">
        <v>45291</v>
      </c>
      <c r="F421" s="76" t="s">
        <v>236</v>
      </c>
      <c r="G421" s="76" t="s">
        <v>237</v>
      </c>
      <c r="H421" s="76" t="s">
        <v>238</v>
      </c>
      <c r="I421" s="79" t="n">
        <v>9935</v>
      </c>
      <c r="J421" s="79" t="n">
        <v>5623</v>
      </c>
      <c r="K421" s="80" t="n">
        <v>2.75</v>
      </c>
      <c r="L421" s="79" t="n">
        <v>1125</v>
      </c>
      <c r="M421" s="79" t="n">
        <v>23058</v>
      </c>
      <c r="N421" s="80" t="n">
        <v>0.8</v>
      </c>
      <c r="O421" s="80" t="n">
        <v>144.630004882813</v>
      </c>
      <c r="P421" s="47" t="n">
        <v>11</v>
      </c>
      <c r="Q421" s="66" t="s">
        <v>685</v>
      </c>
    </row>
    <row r="422" customFormat="false" ht="15" hidden="false" customHeight="false" outlineLevel="0" collapsed="false">
      <c r="A422" s="76" t="s">
        <v>212</v>
      </c>
      <c r="B422" s="76" t="s">
        <v>258</v>
      </c>
      <c r="C422" s="77" t="n">
        <v>2023</v>
      </c>
      <c r="D422" s="77" t="n">
        <v>4</v>
      </c>
      <c r="E422" s="78" t="n">
        <v>45199</v>
      </c>
      <c r="F422" s="76" t="s">
        <v>236</v>
      </c>
      <c r="G422" s="76" t="s">
        <v>237</v>
      </c>
      <c r="H422" s="76" t="s">
        <v>238</v>
      </c>
      <c r="I422" s="79" t="n">
        <v>8631</v>
      </c>
      <c r="J422" s="79" t="n">
        <v>4751</v>
      </c>
      <c r="K422" s="80" t="n">
        <v>2.02</v>
      </c>
      <c r="L422" s="79" t="n">
        <v>1126</v>
      </c>
      <c r="M422" s="79" t="n">
        <v>21581</v>
      </c>
      <c r="N422" s="80" t="n">
        <v>0.8</v>
      </c>
      <c r="O422" s="80" t="n">
        <v>111.059997558594</v>
      </c>
      <c r="P422" s="47" t="n">
        <v>12</v>
      </c>
      <c r="Q422" s="66" t="s">
        <v>686</v>
      </c>
    </row>
    <row r="423" customFormat="false" ht="15" hidden="false" customHeight="false" outlineLevel="0" collapsed="false">
      <c r="A423" s="76" t="s">
        <v>212</v>
      </c>
      <c r="B423" s="76" t="s">
        <v>260</v>
      </c>
      <c r="C423" s="77" t="n">
        <v>2023</v>
      </c>
      <c r="D423" s="77" t="n">
        <v>3</v>
      </c>
      <c r="E423" s="78" t="n">
        <v>45107</v>
      </c>
      <c r="F423" s="76" t="s">
        <v>236</v>
      </c>
      <c r="G423" s="76" t="s">
        <v>237</v>
      </c>
      <c r="H423" s="76" t="s">
        <v>238</v>
      </c>
      <c r="I423" s="79" t="n">
        <v>8451</v>
      </c>
      <c r="J423" s="79" t="n">
        <v>4659</v>
      </c>
      <c r="K423" s="80" t="n">
        <v>1.87</v>
      </c>
      <c r="L423" s="79" t="n">
        <v>1124</v>
      </c>
      <c r="M423" s="79" t="n">
        <v>20670</v>
      </c>
      <c r="N423" s="80" t="n">
        <v>0.8</v>
      </c>
      <c r="O423" s="80" t="n">
        <v>119.040000915527</v>
      </c>
      <c r="P423" s="47" t="n">
        <v>13</v>
      </c>
      <c r="Q423" s="66" t="s">
        <v>687</v>
      </c>
    </row>
    <row r="424" customFormat="false" ht="15" hidden="false" customHeight="false" outlineLevel="0" collapsed="false">
      <c r="A424" s="76" t="s">
        <v>212</v>
      </c>
      <c r="B424" s="76" t="s">
        <v>262</v>
      </c>
      <c r="C424" s="77" t="n">
        <v>2023</v>
      </c>
      <c r="D424" s="77" t="n">
        <v>2</v>
      </c>
      <c r="E424" s="78" t="n">
        <v>45016</v>
      </c>
      <c r="F424" s="76" t="s">
        <v>236</v>
      </c>
      <c r="G424" s="76" t="s">
        <v>237</v>
      </c>
      <c r="H424" s="76" t="s">
        <v>238</v>
      </c>
      <c r="I424" s="79" t="n">
        <v>9275</v>
      </c>
      <c r="J424" s="79" t="n">
        <v>5122</v>
      </c>
      <c r="K424" s="80" t="n">
        <v>2.15</v>
      </c>
      <c r="L424" s="79" t="n">
        <v>1123</v>
      </c>
      <c r="M424" s="79" t="n">
        <v>19698</v>
      </c>
      <c r="N424" s="80" t="n">
        <v>0.75</v>
      </c>
      <c r="O424" s="80" t="n">
        <v>127.580001831055</v>
      </c>
      <c r="P424" s="47" t="n">
        <v>14</v>
      </c>
      <c r="Q424" s="66" t="s">
        <v>688</v>
      </c>
    </row>
    <row r="425" customFormat="false" ht="15" hidden="false" customHeight="false" outlineLevel="0" collapsed="false">
      <c r="A425" s="76" t="s">
        <v>212</v>
      </c>
      <c r="B425" s="76" t="s">
        <v>264</v>
      </c>
      <c r="C425" s="77" t="n">
        <v>2023</v>
      </c>
      <c r="D425" s="77" t="n">
        <v>1</v>
      </c>
      <c r="E425" s="78" t="n">
        <v>44926</v>
      </c>
      <c r="F425" s="76" t="s">
        <v>236</v>
      </c>
      <c r="G425" s="76" t="s">
        <v>237</v>
      </c>
      <c r="H425" s="76" t="s">
        <v>238</v>
      </c>
      <c r="I425" s="79" t="n">
        <v>9463</v>
      </c>
      <c r="J425" s="79" t="n">
        <v>5419</v>
      </c>
      <c r="K425" s="80" t="n">
        <v>2.37</v>
      </c>
      <c r="L425" s="79" t="n">
        <v>1131</v>
      </c>
      <c r="M425" s="79" t="n">
        <v>18810</v>
      </c>
      <c r="N425" s="80" t="n">
        <v>0.75</v>
      </c>
      <c r="O425" s="80" t="n">
        <v>109.940002441406</v>
      </c>
      <c r="P425" s="47" t="n">
        <v>15</v>
      </c>
      <c r="Q425" s="66" t="s">
        <v>689</v>
      </c>
    </row>
    <row r="426" customFormat="false" ht="15" hidden="false" customHeight="false" outlineLevel="0" collapsed="false">
      <c r="A426" s="76" t="s">
        <v>212</v>
      </c>
      <c r="B426" s="76" t="s">
        <v>266</v>
      </c>
      <c r="C426" s="77" t="n">
        <v>2022</v>
      </c>
      <c r="D426" s="77" t="n">
        <v>4</v>
      </c>
      <c r="E426" s="78" t="n">
        <v>44834</v>
      </c>
      <c r="F426" s="76" t="s">
        <v>236</v>
      </c>
      <c r="G426" s="76" t="s">
        <v>237</v>
      </c>
      <c r="H426" s="76" t="s">
        <v>238</v>
      </c>
      <c r="I426" s="79" t="n">
        <v>11395</v>
      </c>
      <c r="J426" s="79" t="n">
        <v>6527</v>
      </c>
      <c r="K426" s="80" t="n">
        <v>3.13</v>
      </c>
      <c r="L426" s="79"/>
      <c r="M426" s="79" t="n">
        <v>18013</v>
      </c>
      <c r="N426" s="80" t="n">
        <v>0.75</v>
      </c>
      <c r="O426" s="80" t="n">
        <v>112.980003356934</v>
      </c>
      <c r="P426" s="47" t="n">
        <v>16</v>
      </c>
      <c r="Q426" s="66" t="s">
        <v>690</v>
      </c>
    </row>
    <row r="427" customFormat="false" ht="15" hidden="false" customHeight="false" outlineLevel="0" collapsed="false">
      <c r="A427" s="76" t="s">
        <v>212</v>
      </c>
      <c r="B427" s="76" t="s">
        <v>268</v>
      </c>
      <c r="C427" s="77" t="n">
        <v>2022</v>
      </c>
      <c r="D427" s="77" t="n">
        <v>3</v>
      </c>
      <c r="E427" s="78" t="n">
        <v>44742</v>
      </c>
      <c r="F427" s="76" t="s">
        <v>236</v>
      </c>
      <c r="G427" s="76" t="s">
        <v>237</v>
      </c>
      <c r="H427" s="76" t="s">
        <v>238</v>
      </c>
      <c r="I427" s="79" t="n">
        <v>10936</v>
      </c>
      <c r="J427" s="79" t="n">
        <v>6120</v>
      </c>
      <c r="K427" s="80" t="n">
        <v>2.96</v>
      </c>
      <c r="L427" s="79" t="n">
        <v>1134</v>
      </c>
      <c r="M427" s="79" t="n">
        <v>16048</v>
      </c>
      <c r="N427" s="80" t="n">
        <v>0.75</v>
      </c>
      <c r="O427" s="80" t="n">
        <v>127.73999786377</v>
      </c>
      <c r="P427" s="47" t="n">
        <v>17</v>
      </c>
      <c r="Q427" s="66" t="s">
        <v>691</v>
      </c>
    </row>
    <row r="428" customFormat="false" ht="15" hidden="false" customHeight="false" outlineLevel="0" collapsed="false">
      <c r="A428" s="76" t="s">
        <v>212</v>
      </c>
      <c r="B428" s="76" t="s">
        <v>270</v>
      </c>
      <c r="C428" s="77" t="n">
        <v>2022</v>
      </c>
      <c r="D428" s="77" t="n">
        <v>2</v>
      </c>
      <c r="E428" s="78" t="n">
        <v>44651</v>
      </c>
      <c r="F428" s="76" t="s">
        <v>236</v>
      </c>
      <c r="G428" s="76" t="s">
        <v>237</v>
      </c>
      <c r="H428" s="76" t="s">
        <v>238</v>
      </c>
      <c r="I428" s="79" t="n">
        <v>11164</v>
      </c>
      <c r="J428" s="79" t="n">
        <v>6516</v>
      </c>
      <c r="K428" s="80" t="n">
        <v>3.21</v>
      </c>
      <c r="L428" s="79" t="n">
        <v>1140</v>
      </c>
      <c r="M428" s="79" t="n">
        <v>13328</v>
      </c>
      <c r="N428" s="80" t="n">
        <v>0.68</v>
      </c>
      <c r="O428" s="80" t="n">
        <v>152.820007324219</v>
      </c>
      <c r="P428" s="47" t="n">
        <v>18</v>
      </c>
      <c r="Q428" s="66" t="s">
        <v>692</v>
      </c>
    </row>
    <row r="429" customFormat="false" ht="15" hidden="false" customHeight="false" outlineLevel="0" collapsed="false">
      <c r="A429" s="76" t="s">
        <v>212</v>
      </c>
      <c r="B429" s="76" t="s">
        <v>272</v>
      </c>
      <c r="C429" s="77" t="n">
        <v>2022</v>
      </c>
      <c r="D429" s="77" t="n">
        <v>1</v>
      </c>
      <c r="E429" s="78" t="n">
        <v>44561</v>
      </c>
      <c r="F429" s="76" t="s">
        <v>236</v>
      </c>
      <c r="G429" s="76" t="s">
        <v>237</v>
      </c>
      <c r="H429" s="76" t="s">
        <v>238</v>
      </c>
      <c r="I429" s="79" t="n">
        <v>10705</v>
      </c>
      <c r="J429" s="79" t="n">
        <v>6402</v>
      </c>
      <c r="K429" s="80" t="n">
        <v>3.23</v>
      </c>
      <c r="L429" s="79" t="n">
        <v>1142</v>
      </c>
      <c r="M429" s="79" t="n">
        <v>11333</v>
      </c>
      <c r="N429" s="80" t="n">
        <v>0.68</v>
      </c>
      <c r="O429" s="80" t="n">
        <v>182.869995117188</v>
      </c>
      <c r="P429" s="47" t="n">
        <v>19</v>
      </c>
      <c r="Q429" s="66" t="s">
        <v>693</v>
      </c>
    </row>
    <row r="430" customFormat="false" ht="15" hidden="false" customHeight="false" outlineLevel="0" collapsed="false">
      <c r="A430" s="76" t="s">
        <v>212</v>
      </c>
      <c r="B430" s="76" t="s">
        <v>274</v>
      </c>
      <c r="C430" s="77" t="n">
        <v>2021</v>
      </c>
      <c r="D430" s="77" t="n">
        <v>4</v>
      </c>
      <c r="E430" s="78" t="n">
        <v>44469</v>
      </c>
      <c r="F430" s="76" t="s">
        <v>236</v>
      </c>
      <c r="G430" s="76" t="s">
        <v>237</v>
      </c>
      <c r="H430" s="76" t="s">
        <v>238</v>
      </c>
      <c r="I430" s="79" t="n">
        <v>9336</v>
      </c>
      <c r="J430" s="79" t="n">
        <v>5399</v>
      </c>
      <c r="K430" s="80" t="n">
        <v>2.55</v>
      </c>
      <c r="L430" s="79"/>
      <c r="M430" s="79" t="n">
        <v>9950</v>
      </c>
      <c r="N430" s="80" t="n">
        <v>0.68</v>
      </c>
      <c r="O430" s="80" t="n">
        <v>128.979995727539</v>
      </c>
      <c r="P430" s="47" t="n">
        <v>20</v>
      </c>
      <c r="Q430" s="66" t="s">
        <v>694</v>
      </c>
    </row>
    <row r="431" customFormat="false" ht="15" hidden="false" customHeight="false" outlineLevel="0" collapsed="false">
      <c r="A431" s="76" t="s">
        <v>212</v>
      </c>
      <c r="B431" s="76" t="s">
        <v>276</v>
      </c>
      <c r="C431" s="77" t="n">
        <v>2021</v>
      </c>
      <c r="D431" s="77" t="n">
        <v>3</v>
      </c>
      <c r="E431" s="78" t="n">
        <v>44377</v>
      </c>
      <c r="F431" s="76" t="s">
        <v>236</v>
      </c>
      <c r="G431" s="76" t="s">
        <v>237</v>
      </c>
      <c r="H431" s="76" t="s">
        <v>238</v>
      </c>
      <c r="I431" s="79" t="n">
        <v>8060</v>
      </c>
      <c r="J431" s="79" t="n">
        <v>4656</v>
      </c>
      <c r="K431" s="80" t="n">
        <v>1.92</v>
      </c>
      <c r="L431" s="79" t="n">
        <v>1145</v>
      </c>
      <c r="M431" s="79" t="n">
        <v>8177</v>
      </c>
      <c r="N431" s="80" t="n">
        <v>0.68</v>
      </c>
      <c r="O431" s="80" t="n">
        <v>142.929992675781</v>
      </c>
      <c r="P431" s="47" t="n">
        <v>21</v>
      </c>
      <c r="Q431" s="66" t="s">
        <v>695</v>
      </c>
    </row>
    <row r="432" customFormat="false" ht="15" hidden="false" customHeight="false" outlineLevel="0" collapsed="false">
      <c r="A432" s="76" t="s">
        <v>212</v>
      </c>
      <c r="B432" s="76" t="s">
        <v>278</v>
      </c>
      <c r="C432" s="77" t="n">
        <v>2021</v>
      </c>
      <c r="D432" s="77" t="n">
        <v>2</v>
      </c>
      <c r="E432" s="78" t="n">
        <v>44286</v>
      </c>
      <c r="F432" s="76" t="s">
        <v>236</v>
      </c>
      <c r="G432" s="76" t="s">
        <v>237</v>
      </c>
      <c r="H432" s="76" t="s">
        <v>238</v>
      </c>
      <c r="I432" s="79" t="n">
        <v>7935</v>
      </c>
      <c r="J432" s="79" t="n">
        <v>4503</v>
      </c>
      <c r="K432" s="80" t="n">
        <v>1.9</v>
      </c>
      <c r="L432" s="79" t="n">
        <v>1151</v>
      </c>
      <c r="M432" s="79" t="n">
        <v>7424</v>
      </c>
      <c r="N432" s="80" t="n">
        <v>0.65</v>
      </c>
      <c r="O432" s="80" t="n">
        <v>132.589996337891</v>
      </c>
      <c r="P432" s="47" t="n">
        <v>22</v>
      </c>
      <c r="Q432" s="66" t="s">
        <v>696</v>
      </c>
    </row>
    <row r="433" customFormat="false" ht="15" hidden="false" customHeight="false" outlineLevel="0" collapsed="false">
      <c r="A433" s="76" t="s">
        <v>212</v>
      </c>
      <c r="B433" s="76" t="s">
        <v>280</v>
      </c>
      <c r="C433" s="77" t="n">
        <v>2021</v>
      </c>
      <c r="D433" s="77" t="n">
        <v>1</v>
      </c>
      <c r="E433" s="78" t="n">
        <v>44196</v>
      </c>
      <c r="F433" s="76" t="s">
        <v>236</v>
      </c>
      <c r="G433" s="76" t="s">
        <v>237</v>
      </c>
      <c r="H433" s="76" t="s">
        <v>238</v>
      </c>
      <c r="I433" s="79" t="n">
        <v>8235</v>
      </c>
      <c r="J433" s="79" t="n">
        <v>4746</v>
      </c>
      <c r="K433" s="80" t="n">
        <v>2.17</v>
      </c>
      <c r="L433" s="79" t="n">
        <v>1156</v>
      </c>
      <c r="M433" s="79" t="n">
        <v>7380</v>
      </c>
      <c r="N433" s="80" t="n">
        <v>0.65</v>
      </c>
      <c r="O433" s="80" t="n">
        <v>152.339996337891</v>
      </c>
      <c r="P433" s="47" t="n">
        <v>23</v>
      </c>
      <c r="Q433" s="66" t="s">
        <v>697</v>
      </c>
    </row>
    <row r="434" customFormat="false" ht="15" hidden="false" customHeight="false" outlineLevel="0" collapsed="false">
      <c r="A434" s="76" t="s">
        <v>212</v>
      </c>
      <c r="B434" s="76" t="s">
        <v>282</v>
      </c>
      <c r="C434" s="77" t="n">
        <v>2020</v>
      </c>
      <c r="D434" s="77" t="n">
        <v>4</v>
      </c>
      <c r="E434" s="78" t="n">
        <v>44104</v>
      </c>
      <c r="F434" s="76" t="s">
        <v>236</v>
      </c>
      <c r="G434" s="76" t="s">
        <v>237</v>
      </c>
      <c r="H434" s="76" t="s">
        <v>238</v>
      </c>
      <c r="I434" s="79" t="n">
        <v>8346</v>
      </c>
      <c r="J434" s="79" t="n">
        <v>5580</v>
      </c>
      <c r="K434" s="80" t="n">
        <v>1.45</v>
      </c>
      <c r="L434" s="79"/>
      <c r="M434" s="79" t="n">
        <v>6077</v>
      </c>
      <c r="N434" s="80"/>
      <c r="O434" s="80" t="n">
        <v>117.680000305176</v>
      </c>
      <c r="P434" s="47" t="n">
        <v>24</v>
      </c>
      <c r="Q434" s="66" t="s">
        <v>698</v>
      </c>
    </row>
    <row r="435" customFormat="false" ht="15" hidden="false" customHeight="false" outlineLevel="0" collapsed="false">
      <c r="A435" s="76" t="s">
        <v>210</v>
      </c>
      <c r="B435" s="76" t="s">
        <v>383</v>
      </c>
      <c r="C435" s="77" t="n">
        <v>2027</v>
      </c>
      <c r="D435" s="77" t="n">
        <v>2</v>
      </c>
      <c r="E435" s="78" t="n">
        <v>46234</v>
      </c>
      <c r="F435" s="76" t="s">
        <v>236</v>
      </c>
      <c r="G435" s="76" t="s">
        <v>237</v>
      </c>
      <c r="H435" s="76" t="s">
        <v>238</v>
      </c>
      <c r="I435" s="79" t="n">
        <v>341.871</v>
      </c>
      <c r="J435" s="79" t="n">
        <v>183.764</v>
      </c>
      <c r="K435" s="80" t="n">
        <v>0.71</v>
      </c>
      <c r="L435" s="79" t="n">
        <v>100.8</v>
      </c>
      <c r="M435" s="79" t="n">
        <v>748.872</v>
      </c>
      <c r="N435" s="80"/>
      <c r="O435" s="80" t="n">
        <v>117.819999694824</v>
      </c>
      <c r="P435" s="47" t="n">
        <v>1</v>
      </c>
      <c r="Q435" s="66" t="s">
        <v>699</v>
      </c>
    </row>
    <row r="436" customFormat="false" ht="15" hidden="false" customHeight="false" outlineLevel="0" collapsed="false">
      <c r="A436" s="76" t="s">
        <v>210</v>
      </c>
      <c r="B436" s="76" t="s">
        <v>385</v>
      </c>
      <c r="C436" s="77" t="n">
        <v>2027</v>
      </c>
      <c r="D436" s="77" t="n">
        <v>1</v>
      </c>
      <c r="E436" s="78" t="n">
        <v>46142</v>
      </c>
      <c r="F436" s="76" t="s">
        <v>236</v>
      </c>
      <c r="G436" s="76" t="s">
        <v>237</v>
      </c>
      <c r="H436" s="76" t="s">
        <v>238</v>
      </c>
      <c r="I436" s="79" t="n">
        <v>291.018</v>
      </c>
      <c r="J436" s="79" t="n">
        <v>151.464</v>
      </c>
      <c r="K436" s="80" t="n">
        <v>0.51</v>
      </c>
      <c r="L436" s="79" t="n">
        <v>98</v>
      </c>
      <c r="M436" s="79" t="n">
        <v>573.322</v>
      </c>
      <c r="N436" s="80"/>
      <c r="O436" s="80" t="n">
        <v>105.050003051758</v>
      </c>
      <c r="P436" s="47" t="n">
        <v>2</v>
      </c>
      <c r="Q436" s="66" t="s">
        <v>700</v>
      </c>
    </row>
    <row r="437" customFormat="false" ht="15" hidden="false" customHeight="false" outlineLevel="0" collapsed="false">
      <c r="A437" s="76" t="s">
        <v>210</v>
      </c>
      <c r="B437" s="76" t="s">
        <v>387</v>
      </c>
      <c r="C437" s="77" t="n">
        <v>2026</v>
      </c>
      <c r="D437" s="77" t="n">
        <v>4</v>
      </c>
      <c r="E437" s="78" t="n">
        <v>46053</v>
      </c>
      <c r="F437" s="76" t="s">
        <v>236</v>
      </c>
      <c r="G437" s="76" t="s">
        <v>237</v>
      </c>
      <c r="H437" s="76" t="s">
        <v>238</v>
      </c>
      <c r="I437" s="79" t="n">
        <v>274.355</v>
      </c>
      <c r="J437" s="79" t="n">
        <v>138.272</v>
      </c>
      <c r="K437" s="80" t="n">
        <v>0.44</v>
      </c>
      <c r="L437" s="79" t="n">
        <v>92.6</v>
      </c>
      <c r="M437" s="79" t="n">
        <v>549.718</v>
      </c>
      <c r="N437" s="80"/>
      <c r="O437" s="80" t="n">
        <v>79.75</v>
      </c>
      <c r="P437" s="47" t="n">
        <v>3</v>
      </c>
      <c r="Q437" s="66" t="s">
        <v>701</v>
      </c>
    </row>
    <row r="438" customFormat="false" ht="15" hidden="false" customHeight="false" outlineLevel="0" collapsed="false">
      <c r="A438" s="76" t="s">
        <v>210</v>
      </c>
      <c r="B438" s="76" t="s">
        <v>286</v>
      </c>
      <c r="C438" s="77" t="n">
        <v>2026</v>
      </c>
      <c r="D438" s="77" t="n">
        <v>3</v>
      </c>
      <c r="E438" s="78" t="n">
        <v>45961</v>
      </c>
      <c r="F438" s="76" t="s">
        <v>236</v>
      </c>
      <c r="G438" s="76" t="s">
        <v>237</v>
      </c>
      <c r="H438" s="76" t="s">
        <v>238</v>
      </c>
      <c r="I438" s="79" t="n">
        <v>266.971</v>
      </c>
      <c r="J438" s="79" t="n">
        <v>138.478</v>
      </c>
      <c r="K438" s="80" t="n">
        <v>0.48</v>
      </c>
      <c r="L438" s="79" t="n">
        <v>87.7</v>
      </c>
      <c r="M438" s="79" t="n">
        <v>565.656</v>
      </c>
      <c r="N438" s="80"/>
      <c r="O438" s="80" t="n">
        <v>67.8600006103516</v>
      </c>
      <c r="P438" s="47" t="n">
        <v>4</v>
      </c>
      <c r="Q438" s="66" t="s">
        <v>702</v>
      </c>
    </row>
    <row r="439" customFormat="false" ht="15" hidden="false" customHeight="false" outlineLevel="0" collapsed="false">
      <c r="A439" s="76" t="s">
        <v>210</v>
      </c>
      <c r="B439" s="76" t="s">
        <v>235</v>
      </c>
      <c r="C439" s="77" t="n">
        <v>2026</v>
      </c>
      <c r="D439" s="77" t="n">
        <v>2</v>
      </c>
      <c r="E439" s="78" t="n">
        <v>45869</v>
      </c>
      <c r="F439" s="76" t="s">
        <v>236</v>
      </c>
      <c r="G439" s="76" t="s">
        <v>237</v>
      </c>
      <c r="H439" s="76" t="s">
        <v>238</v>
      </c>
      <c r="I439" s="79" t="n">
        <v>257.589</v>
      </c>
      <c r="J439" s="79" t="n">
        <v>134.105</v>
      </c>
      <c r="K439" s="80" t="n">
        <v>0.41</v>
      </c>
      <c r="L439" s="79" t="n">
        <v>86.7</v>
      </c>
      <c r="M439" s="79" t="n">
        <v>552.892</v>
      </c>
      <c r="N439" s="80"/>
      <c r="O439" s="80" t="n">
        <v>51.0999984741211</v>
      </c>
      <c r="P439" s="47" t="n">
        <v>5</v>
      </c>
      <c r="Q439" s="66" t="s">
        <v>703</v>
      </c>
    </row>
    <row r="440" customFormat="false" ht="15" hidden="false" customHeight="false" outlineLevel="0" collapsed="false">
      <c r="A440" s="76" t="s">
        <v>210</v>
      </c>
      <c r="B440" s="76" t="s">
        <v>240</v>
      </c>
      <c r="C440" s="77" t="n">
        <v>2026</v>
      </c>
      <c r="D440" s="77" t="n">
        <v>1</v>
      </c>
      <c r="E440" s="78" t="n">
        <v>45777</v>
      </c>
      <c r="F440" s="76" t="s">
        <v>236</v>
      </c>
      <c r="G440" s="76" t="s">
        <v>237</v>
      </c>
      <c r="H440" s="76" t="s">
        <v>238</v>
      </c>
      <c r="I440" s="79" t="n">
        <v>251.06</v>
      </c>
      <c r="J440" s="79" t="n">
        <v>131.142</v>
      </c>
      <c r="K440" s="80" t="n">
        <v>0.38</v>
      </c>
      <c r="L440" s="79" t="n">
        <v>89.579</v>
      </c>
      <c r="M440" s="79" t="n">
        <v>568.815</v>
      </c>
      <c r="N440" s="80"/>
      <c r="O440" s="80" t="n">
        <v>31.25</v>
      </c>
      <c r="P440" s="47" t="n">
        <v>6</v>
      </c>
      <c r="Q440" s="66" t="s">
        <v>704</v>
      </c>
    </row>
    <row r="441" customFormat="false" ht="15" hidden="false" customHeight="false" outlineLevel="0" collapsed="false">
      <c r="A441" s="76" t="s">
        <v>210</v>
      </c>
      <c r="B441" s="76" t="s">
        <v>242</v>
      </c>
      <c r="C441" s="77" t="n">
        <v>2025</v>
      </c>
      <c r="D441" s="77" t="n">
        <v>4</v>
      </c>
      <c r="E441" s="78" t="n">
        <v>45688</v>
      </c>
      <c r="F441" s="76" t="s">
        <v>236</v>
      </c>
      <c r="G441" s="76" t="s">
        <v>237</v>
      </c>
      <c r="H441" s="76" t="s">
        <v>238</v>
      </c>
      <c r="I441" s="79" t="n">
        <v>251</v>
      </c>
      <c r="J441" s="79" t="n">
        <v>130.4</v>
      </c>
      <c r="K441" s="80" t="n">
        <v>0.4</v>
      </c>
      <c r="L441" s="79"/>
      <c r="M441" s="79" t="n">
        <v>542.426</v>
      </c>
      <c r="N441" s="80"/>
      <c r="O441" s="80" t="n">
        <v>66.9599990844727</v>
      </c>
      <c r="P441" s="47" t="n">
        <v>7</v>
      </c>
      <c r="Q441" s="66" t="s">
        <v>705</v>
      </c>
    </row>
    <row r="442" customFormat="false" ht="15" hidden="false" customHeight="false" outlineLevel="0" collapsed="false">
      <c r="A442" s="76" t="s">
        <v>210</v>
      </c>
      <c r="B442" s="76" t="s">
        <v>244</v>
      </c>
      <c r="C442" s="77" t="n">
        <v>2025</v>
      </c>
      <c r="D442" s="77" t="n">
        <v>3</v>
      </c>
      <c r="E442" s="78" t="n">
        <v>45596</v>
      </c>
      <c r="F442" s="76" t="s">
        <v>236</v>
      </c>
      <c r="G442" s="76" t="s">
        <v>237</v>
      </c>
      <c r="H442" s="76" t="s">
        <v>238</v>
      </c>
      <c r="I442" s="79" t="n">
        <v>236.825</v>
      </c>
      <c r="J442" s="79" t="n">
        <v>120.82</v>
      </c>
      <c r="K442" s="80" t="n">
        <v>0.26</v>
      </c>
      <c r="L442" s="79" t="n">
        <v>75.319</v>
      </c>
      <c r="M442" s="79" t="n">
        <v>-139.684</v>
      </c>
      <c r="N442" s="80"/>
      <c r="O442" s="80" t="n">
        <v>44.189998626709</v>
      </c>
      <c r="P442" s="47" t="n">
        <v>8</v>
      </c>
      <c r="Q442" s="66" t="s">
        <v>706</v>
      </c>
    </row>
    <row r="443" customFormat="false" ht="15" hidden="false" customHeight="false" outlineLevel="0" collapsed="false">
      <c r="A443" s="76" t="s">
        <v>210</v>
      </c>
      <c r="B443" s="76" t="s">
        <v>246</v>
      </c>
      <c r="C443" s="77" t="n">
        <v>2025</v>
      </c>
      <c r="D443" s="77" t="n">
        <v>2</v>
      </c>
      <c r="E443" s="78" t="n">
        <v>45501</v>
      </c>
      <c r="F443" s="76" t="s">
        <v>236</v>
      </c>
      <c r="G443" s="76" t="s">
        <v>237</v>
      </c>
      <c r="H443" s="76" t="s">
        <v>238</v>
      </c>
      <c r="I443" s="79" t="n">
        <v>215.355</v>
      </c>
      <c r="J443" s="79" t="n">
        <v>105.464</v>
      </c>
      <c r="K443" s="80"/>
      <c r="L443" s="79" t="n">
        <v>65.281</v>
      </c>
      <c r="M443" s="79" t="n">
        <v>-141.437</v>
      </c>
      <c r="N443" s="80"/>
      <c r="O443" s="80" t="n">
        <v>30.9899997711182</v>
      </c>
      <c r="P443" s="47" t="n">
        <v>9</v>
      </c>
      <c r="Q443" s="66" t="s">
        <v>707</v>
      </c>
    </row>
    <row r="444" customFormat="false" ht="15" hidden="false" customHeight="false" outlineLevel="0" collapsed="false">
      <c r="A444" s="76" t="s">
        <v>210</v>
      </c>
      <c r="B444" s="76" t="s">
        <v>248</v>
      </c>
      <c r="C444" s="77" t="n">
        <v>2025</v>
      </c>
      <c r="D444" s="77" t="n">
        <v>1</v>
      </c>
      <c r="E444" s="78" t="n">
        <v>45410</v>
      </c>
      <c r="F444" s="76" t="s">
        <v>236</v>
      </c>
      <c r="G444" s="76" t="s">
        <v>237</v>
      </c>
      <c r="H444" s="76" t="s">
        <v>238</v>
      </c>
      <c r="I444" s="79" t="n">
        <v>206.105</v>
      </c>
      <c r="J444" s="79" t="n">
        <v>99.592</v>
      </c>
      <c r="K444" s="80"/>
      <c r="L444" s="79" t="n">
        <v>64.509</v>
      </c>
      <c r="M444" s="79" t="n">
        <v>-313.098</v>
      </c>
      <c r="N444" s="80"/>
      <c r="O444" s="80" t="n">
        <v>35.7700004577637</v>
      </c>
      <c r="P444" s="47" t="n">
        <v>10</v>
      </c>
      <c r="Q444" s="66" t="s">
        <v>708</v>
      </c>
    </row>
    <row r="445" customFormat="false" ht="15" hidden="false" customHeight="false" outlineLevel="0" collapsed="false">
      <c r="A445" s="76" t="s">
        <v>210</v>
      </c>
      <c r="B445" s="76" t="s">
        <v>250</v>
      </c>
      <c r="C445" s="77" t="n">
        <v>2024</v>
      </c>
      <c r="D445" s="77" t="n">
        <v>4</v>
      </c>
      <c r="E445" s="78" t="n">
        <v>45322</v>
      </c>
      <c r="F445" s="76" t="s">
        <v>236</v>
      </c>
      <c r="G445" s="76" t="s">
        <v>237</v>
      </c>
      <c r="H445" s="76" t="s">
        <v>238</v>
      </c>
      <c r="I445" s="79" t="n">
        <v>192.948</v>
      </c>
      <c r="J445" s="79" t="n">
        <v>91.095</v>
      </c>
      <c r="K445" s="80" t="n">
        <v>-0.06</v>
      </c>
      <c r="L445" s="79" t="n">
        <v>64.127</v>
      </c>
      <c r="M445" s="79" t="n">
        <v>-307.434</v>
      </c>
      <c r="N445" s="80"/>
      <c r="O445" s="80" t="n">
        <v>19.8400001525879</v>
      </c>
      <c r="P445" s="47" t="n">
        <v>11</v>
      </c>
      <c r="Q445" s="66" t="s">
        <v>709</v>
      </c>
    </row>
    <row r="446" customFormat="false" ht="15" hidden="false" customHeight="false" outlineLevel="0" collapsed="false">
      <c r="A446" s="76" t="s">
        <v>210</v>
      </c>
      <c r="B446" s="76" t="s">
        <v>252</v>
      </c>
      <c r="C446" s="77" t="n">
        <v>2024</v>
      </c>
      <c r="D446" s="77" t="n">
        <v>3</v>
      </c>
      <c r="E446" s="78" t="n">
        <v>45228</v>
      </c>
      <c r="F446" s="76" t="s">
        <v>236</v>
      </c>
      <c r="G446" s="76" t="s">
        <v>237</v>
      </c>
      <c r="H446" s="76" t="s">
        <v>238</v>
      </c>
      <c r="I446" s="79" t="n">
        <v>200.899</v>
      </c>
      <c r="J446" s="79" t="n">
        <v>92.966</v>
      </c>
      <c r="K446" s="80"/>
      <c r="L446" s="79" t="n">
        <v>64.216</v>
      </c>
      <c r="M446" s="79" t="n">
        <v>334.439</v>
      </c>
      <c r="N446" s="80"/>
      <c r="O446" s="80" t="n">
        <v>14.5</v>
      </c>
      <c r="P446" s="47" t="n">
        <v>12</v>
      </c>
      <c r="Q446" s="66" t="s">
        <v>710</v>
      </c>
    </row>
    <row r="447" customFormat="false" ht="15" hidden="false" customHeight="false" outlineLevel="0" collapsed="false">
      <c r="A447" s="76" t="s">
        <v>210</v>
      </c>
      <c r="B447" s="76" t="s">
        <v>254</v>
      </c>
      <c r="C447" s="77" t="n">
        <v>2024</v>
      </c>
      <c r="D447" s="77" t="n">
        <v>2</v>
      </c>
      <c r="E447" s="78" t="n">
        <v>45138</v>
      </c>
      <c r="F447" s="76" t="s">
        <v>236</v>
      </c>
      <c r="G447" s="76" t="s">
        <v>237</v>
      </c>
      <c r="H447" s="76" t="s">
        <v>238</v>
      </c>
      <c r="I447" s="79" t="n">
        <v>238.372</v>
      </c>
      <c r="J447" s="79" t="n">
        <v>96.219</v>
      </c>
      <c r="K447" s="80" t="n">
        <v>0.11</v>
      </c>
      <c r="L447" s="79" t="n">
        <v>64.005</v>
      </c>
      <c r="M447" s="79" t="n">
        <v>366.835</v>
      </c>
      <c r="N447" s="80"/>
      <c r="O447" s="80" t="n">
        <v>29.2000007629395</v>
      </c>
      <c r="P447" s="47" t="n">
        <v>13</v>
      </c>
      <c r="Q447" s="66" t="s">
        <v>711</v>
      </c>
    </row>
    <row r="448" customFormat="false" ht="15" hidden="false" customHeight="false" outlineLevel="0" collapsed="false">
      <c r="A448" s="76" t="s">
        <v>210</v>
      </c>
      <c r="B448" s="76" t="s">
        <v>256</v>
      </c>
      <c r="C448" s="77" t="n">
        <v>2024</v>
      </c>
      <c r="D448" s="77" t="n">
        <v>1</v>
      </c>
      <c r="E448" s="78" t="n">
        <v>45046</v>
      </c>
      <c r="F448" s="76" t="s">
        <v>236</v>
      </c>
      <c r="G448" s="76" t="s">
        <v>237</v>
      </c>
      <c r="H448" s="76" t="s">
        <v>238</v>
      </c>
      <c r="I448" s="79" t="n">
        <v>236.539</v>
      </c>
      <c r="J448" s="79" t="n">
        <v>98.561</v>
      </c>
      <c r="K448" s="80" t="n">
        <v>0.02</v>
      </c>
      <c r="L448" s="79" t="n">
        <v>63.924</v>
      </c>
      <c r="M448" s="79" t="n">
        <v>733.028</v>
      </c>
      <c r="N448" s="80"/>
      <c r="O448" s="80" t="n">
        <v>19.4899997711182</v>
      </c>
      <c r="P448" s="47" t="n">
        <v>14</v>
      </c>
      <c r="Q448" s="66" t="s">
        <v>712</v>
      </c>
    </row>
    <row r="449" customFormat="false" ht="15" hidden="false" customHeight="false" outlineLevel="0" collapsed="false">
      <c r="A449" s="76" t="s">
        <v>210</v>
      </c>
      <c r="B449" s="76" t="s">
        <v>258</v>
      </c>
      <c r="C449" s="77" t="n">
        <v>2023</v>
      </c>
      <c r="D449" s="77" t="n">
        <v>4</v>
      </c>
      <c r="E449" s="78" t="n">
        <v>44957</v>
      </c>
      <c r="F449" s="76" t="s">
        <v>236</v>
      </c>
      <c r="G449" s="76" t="s">
        <v>237</v>
      </c>
      <c r="H449" s="76" t="s">
        <v>238</v>
      </c>
      <c r="I449" s="79" t="n">
        <v>167.512</v>
      </c>
      <c r="J449" s="79" t="n">
        <v>99.192</v>
      </c>
      <c r="K449" s="80" t="n">
        <v>0.47</v>
      </c>
      <c r="L449" s="79"/>
      <c r="M449" s="79" t="n">
        <v>755.852</v>
      </c>
      <c r="N449" s="80"/>
      <c r="O449" s="80" t="n">
        <v>33.0299987792969</v>
      </c>
      <c r="P449" s="47" t="n">
        <v>15</v>
      </c>
      <c r="Q449" s="66" t="s">
        <v>713</v>
      </c>
    </row>
    <row r="450" customFormat="false" ht="15" hidden="false" customHeight="false" outlineLevel="0" collapsed="false">
      <c r="A450" s="76" t="s">
        <v>210</v>
      </c>
      <c r="B450" s="76" t="s">
        <v>260</v>
      </c>
      <c r="C450" s="77" t="n">
        <v>2023</v>
      </c>
      <c r="D450" s="77" t="n">
        <v>3</v>
      </c>
      <c r="E450" s="78" t="n">
        <v>44865</v>
      </c>
      <c r="F450" s="76" t="s">
        <v>236</v>
      </c>
      <c r="G450" s="76" t="s">
        <v>237</v>
      </c>
      <c r="H450" s="76" t="s">
        <v>238</v>
      </c>
      <c r="I450" s="79" t="n">
        <v>177.618</v>
      </c>
      <c r="J450" s="79" t="n">
        <v>114.569</v>
      </c>
      <c r="K450" s="80" t="n">
        <v>0.65</v>
      </c>
      <c r="L450" s="79" t="n">
        <v>63.855</v>
      </c>
      <c r="M450" s="79" t="n">
        <v>792.412</v>
      </c>
      <c r="N450" s="80"/>
      <c r="O450" s="80" t="n">
        <v>27.6900005340576</v>
      </c>
      <c r="P450" s="47" t="n">
        <v>16</v>
      </c>
      <c r="Q450" s="66" t="s">
        <v>714</v>
      </c>
    </row>
    <row r="451" customFormat="false" ht="15" hidden="false" customHeight="false" outlineLevel="0" collapsed="false">
      <c r="A451" s="76" t="s">
        <v>210</v>
      </c>
      <c r="B451" s="76" t="s">
        <v>262</v>
      </c>
      <c r="C451" s="77" t="n">
        <v>2023</v>
      </c>
      <c r="D451" s="77" t="n">
        <v>2</v>
      </c>
      <c r="E451" s="78" t="n">
        <v>44773</v>
      </c>
      <c r="F451" s="76" t="s">
        <v>236</v>
      </c>
      <c r="G451" s="76" t="s">
        <v>237</v>
      </c>
      <c r="H451" s="76" t="s">
        <v>238</v>
      </c>
      <c r="I451" s="79" t="n">
        <v>209.254</v>
      </c>
      <c r="J451" s="79" t="n">
        <v>134.771</v>
      </c>
      <c r="K451" s="80" t="n">
        <v>0.87</v>
      </c>
      <c r="L451" s="79" t="n">
        <v>63.977</v>
      </c>
      <c r="M451" s="79" t="n">
        <v>798.858</v>
      </c>
      <c r="N451" s="80"/>
      <c r="O451" s="80" t="n">
        <v>62.3300018310547</v>
      </c>
      <c r="P451" s="47" t="n">
        <v>17</v>
      </c>
      <c r="Q451" s="66" t="s">
        <v>715</v>
      </c>
    </row>
    <row r="452" customFormat="false" ht="15" hidden="false" customHeight="false" outlineLevel="0" collapsed="false">
      <c r="A452" s="76" t="s">
        <v>210</v>
      </c>
      <c r="B452" s="76" t="s">
        <v>264</v>
      </c>
      <c r="C452" s="77" t="n">
        <v>2023</v>
      </c>
      <c r="D452" s="77" t="n">
        <v>1</v>
      </c>
      <c r="E452" s="78" t="n">
        <v>44681</v>
      </c>
      <c r="F452" s="76" t="s">
        <v>236</v>
      </c>
      <c r="G452" s="76" t="s">
        <v>237</v>
      </c>
      <c r="H452" s="76" t="s">
        <v>238</v>
      </c>
      <c r="I452" s="79" t="n">
        <v>202.149</v>
      </c>
      <c r="J452" s="79" t="n">
        <v>129.205</v>
      </c>
      <c r="K452" s="80" t="n">
        <v>0.8</v>
      </c>
      <c r="L452" s="79" t="n">
        <v>64.553</v>
      </c>
      <c r="M452" s="79" t="n">
        <v>734.983</v>
      </c>
      <c r="N452" s="80"/>
      <c r="O452" s="80" t="n">
        <v>59.5999984741211</v>
      </c>
      <c r="P452" s="47" t="n">
        <v>18</v>
      </c>
      <c r="Q452" s="66" t="s">
        <v>716</v>
      </c>
    </row>
    <row r="453" customFormat="false" ht="15" hidden="false" customHeight="false" outlineLevel="0" collapsed="false">
      <c r="A453" s="76" t="s">
        <v>210</v>
      </c>
      <c r="B453" s="76" t="s">
        <v>266</v>
      </c>
      <c r="C453" s="77" t="n">
        <v>2022</v>
      </c>
      <c r="D453" s="77" t="n">
        <v>4</v>
      </c>
      <c r="E453" s="78" t="n">
        <v>44592</v>
      </c>
      <c r="F453" s="76" t="s">
        <v>236</v>
      </c>
      <c r="G453" s="76" t="s">
        <v>237</v>
      </c>
      <c r="H453" s="76" t="s">
        <v>238</v>
      </c>
      <c r="I453" s="79" t="n">
        <v>190.55</v>
      </c>
      <c r="J453" s="79" t="n">
        <v>121.051</v>
      </c>
      <c r="K453" s="80" t="n">
        <v>0.7</v>
      </c>
      <c r="L453" s="79"/>
      <c r="M453" s="79" t="n">
        <v>737.584</v>
      </c>
      <c r="N453" s="80"/>
      <c r="O453" s="80" t="n">
        <v>71.0999984741211</v>
      </c>
      <c r="P453" s="47" t="n">
        <v>19</v>
      </c>
      <c r="Q453" s="66" t="s">
        <v>717</v>
      </c>
    </row>
    <row r="454" customFormat="false" ht="15" hidden="false" customHeight="false" outlineLevel="0" collapsed="false">
      <c r="A454" s="76" t="s">
        <v>210</v>
      </c>
      <c r="B454" s="76" t="s">
        <v>268</v>
      </c>
      <c r="C454" s="77" t="n">
        <v>2022</v>
      </c>
      <c r="D454" s="77" t="n">
        <v>3</v>
      </c>
      <c r="E454" s="78" t="n">
        <v>44500</v>
      </c>
      <c r="F454" s="76" t="s">
        <v>236</v>
      </c>
      <c r="G454" s="76" t="s">
        <v>237</v>
      </c>
      <c r="H454" s="76" t="s">
        <v>238</v>
      </c>
      <c r="I454" s="79" t="n">
        <v>194.932</v>
      </c>
      <c r="J454" s="79" t="n">
        <v>122.391</v>
      </c>
      <c r="K454" s="80" t="n">
        <v>0.74</v>
      </c>
      <c r="L454" s="79" t="n">
        <v>65.299</v>
      </c>
      <c r="M454" s="79" t="n">
        <v>718.194</v>
      </c>
      <c r="N454" s="80"/>
      <c r="O454" s="80" t="n">
        <v>85.0299987792969</v>
      </c>
      <c r="P454" s="47" t="n">
        <v>20</v>
      </c>
      <c r="Q454" s="66" t="s">
        <v>718</v>
      </c>
    </row>
    <row r="455" customFormat="false" ht="15" hidden="false" customHeight="false" outlineLevel="0" collapsed="false">
      <c r="A455" s="76" t="s">
        <v>210</v>
      </c>
      <c r="B455" s="76" t="s">
        <v>270</v>
      </c>
      <c r="C455" s="77" t="n">
        <v>2022</v>
      </c>
      <c r="D455" s="77" t="n">
        <v>2</v>
      </c>
      <c r="E455" s="78" t="n">
        <v>44408</v>
      </c>
      <c r="F455" s="76" t="s">
        <v>236</v>
      </c>
      <c r="G455" s="76" t="s">
        <v>237</v>
      </c>
      <c r="H455" s="76" t="s">
        <v>238</v>
      </c>
      <c r="I455" s="79" t="n">
        <v>185.004</v>
      </c>
      <c r="J455" s="79" t="n">
        <v>114.134</v>
      </c>
      <c r="K455" s="80" t="n">
        <v>0.65</v>
      </c>
      <c r="L455" s="79" t="n">
        <v>65.584</v>
      </c>
      <c r="M455" s="79" t="n">
        <v>708.417</v>
      </c>
      <c r="N455" s="80"/>
      <c r="O455" s="80" t="n">
        <v>61.9099998474121</v>
      </c>
      <c r="P455" s="47" t="n">
        <v>21</v>
      </c>
      <c r="Q455" s="66" t="s">
        <v>719</v>
      </c>
    </row>
    <row r="456" customFormat="false" ht="15" hidden="false" customHeight="false" outlineLevel="0" collapsed="false">
      <c r="A456" s="76" t="s">
        <v>210</v>
      </c>
      <c r="B456" s="76" t="s">
        <v>272</v>
      </c>
      <c r="C456" s="77" t="n">
        <v>2022</v>
      </c>
      <c r="D456" s="77" t="n">
        <v>1</v>
      </c>
      <c r="E456" s="78" t="n">
        <v>44316</v>
      </c>
      <c r="F456" s="76" t="s">
        <v>236</v>
      </c>
      <c r="G456" s="76" t="s">
        <v>237</v>
      </c>
      <c r="H456" s="76" t="s">
        <v>238</v>
      </c>
      <c r="I456" s="79" t="n">
        <v>170.372</v>
      </c>
      <c r="J456" s="79" t="n">
        <v>103.563</v>
      </c>
      <c r="K456" s="80" t="n">
        <v>0.53</v>
      </c>
      <c r="L456" s="79" t="n">
        <v>66.11</v>
      </c>
      <c r="M456" s="79" t="n">
        <v>704.277</v>
      </c>
      <c r="N456" s="80"/>
      <c r="O456" s="80" t="n">
        <v>67.7399978637695</v>
      </c>
      <c r="P456" s="47" t="n">
        <v>22</v>
      </c>
      <c r="Q456" s="66" t="s">
        <v>720</v>
      </c>
    </row>
    <row r="457" customFormat="false" ht="15" hidden="false" customHeight="false" outlineLevel="0" collapsed="false">
      <c r="A457" s="76" t="s">
        <v>210</v>
      </c>
      <c r="B457" s="76" t="s">
        <v>274</v>
      </c>
      <c r="C457" s="77" t="n">
        <v>2021</v>
      </c>
      <c r="D457" s="77" t="n">
        <v>4</v>
      </c>
      <c r="E457" s="78" t="n">
        <v>44227</v>
      </c>
      <c r="F457" s="76" t="s">
        <v>236</v>
      </c>
      <c r="G457" s="76" t="s">
        <v>237</v>
      </c>
      <c r="H457" s="76" t="s">
        <v>238</v>
      </c>
      <c r="I457" s="79" t="n">
        <v>164.673</v>
      </c>
      <c r="J457" s="79" t="n">
        <v>98.869</v>
      </c>
      <c r="K457" s="80" t="n">
        <v>0.51</v>
      </c>
      <c r="L457" s="79"/>
      <c r="M457" s="79" t="n">
        <v>698.743</v>
      </c>
      <c r="N457" s="80"/>
      <c r="O457" s="80" t="n">
        <v>70.9499969482422</v>
      </c>
      <c r="P457" s="47" t="n">
        <v>23</v>
      </c>
      <c r="Q457" s="66" t="s">
        <v>721</v>
      </c>
    </row>
    <row r="458" customFormat="false" ht="15" hidden="false" customHeight="false" outlineLevel="0" collapsed="false">
      <c r="A458" s="76" t="s">
        <v>210</v>
      </c>
      <c r="B458" s="76" t="s">
        <v>276</v>
      </c>
      <c r="C458" s="77" t="n">
        <v>2021</v>
      </c>
      <c r="D458" s="77" t="n">
        <v>3</v>
      </c>
      <c r="E458" s="78" t="n">
        <v>44135</v>
      </c>
      <c r="F458" s="76" t="s">
        <v>236</v>
      </c>
      <c r="G458" s="76" t="s">
        <v>237</v>
      </c>
      <c r="H458" s="76" t="s">
        <v>238</v>
      </c>
      <c r="I458" s="79" t="n">
        <v>154.082</v>
      </c>
      <c r="J458" s="79" t="n">
        <v>92.263</v>
      </c>
      <c r="K458" s="80" t="n">
        <v>0.47</v>
      </c>
      <c r="L458" s="79" t="n">
        <v>65.967</v>
      </c>
      <c r="M458" s="79" t="n">
        <v>676.391</v>
      </c>
      <c r="N458" s="80"/>
      <c r="O458" s="80" t="n">
        <v>54.8899993896484</v>
      </c>
      <c r="P458" s="47" t="n">
        <v>24</v>
      </c>
      <c r="Q458" s="66" t="s">
        <v>722</v>
      </c>
    </row>
    <row r="459" customFormat="false" ht="15" hidden="false" customHeight="false" outlineLevel="0" collapsed="false">
      <c r="A459" s="76" t="s">
        <v>184</v>
      </c>
      <c r="B459" s="76" t="s">
        <v>235</v>
      </c>
      <c r="C459" s="77" t="n">
        <v>2026</v>
      </c>
      <c r="D459" s="77" t="n">
        <v>2</v>
      </c>
      <c r="E459" s="78" t="n">
        <v>46203</v>
      </c>
      <c r="F459" s="76" t="s">
        <v>236</v>
      </c>
      <c r="G459" s="76" t="s">
        <v>237</v>
      </c>
      <c r="H459" s="76" t="s">
        <v>238</v>
      </c>
      <c r="I459" s="79" t="n">
        <v>1328.99</v>
      </c>
      <c r="J459" s="79" t="n">
        <v>794.618</v>
      </c>
      <c r="K459" s="80" t="n">
        <v>2.47</v>
      </c>
      <c r="L459" s="79" t="n">
        <v>157.693</v>
      </c>
      <c r="M459" s="79" t="n">
        <v>3437.162</v>
      </c>
      <c r="N459" s="80" t="n">
        <v>0.13</v>
      </c>
      <c r="O459" s="80" t="n">
        <v>483.839996337891</v>
      </c>
      <c r="P459" s="47" t="n">
        <v>1</v>
      </c>
      <c r="Q459" s="66" t="s">
        <v>723</v>
      </c>
    </row>
    <row r="460" customFormat="false" ht="15" hidden="false" customHeight="false" outlineLevel="0" collapsed="false">
      <c r="A460" s="76" t="s">
        <v>184</v>
      </c>
      <c r="B460" s="76" t="s">
        <v>240</v>
      </c>
      <c r="C460" s="77" t="n">
        <v>2026</v>
      </c>
      <c r="D460" s="77" t="n">
        <v>1</v>
      </c>
      <c r="E460" s="78" t="n">
        <v>46112</v>
      </c>
      <c r="F460" s="76" t="s">
        <v>236</v>
      </c>
      <c r="G460" s="76" t="s">
        <v>237</v>
      </c>
      <c r="H460" s="76" t="s">
        <v>238</v>
      </c>
      <c r="I460" s="79" t="n">
        <v>1282.494</v>
      </c>
      <c r="J460" s="79" t="n">
        <v>780.949</v>
      </c>
      <c r="K460" s="80" t="n">
        <v>2.56</v>
      </c>
      <c r="L460" s="79" t="n">
        <v>157.636</v>
      </c>
      <c r="M460" s="79" t="n">
        <v>3143.816</v>
      </c>
      <c r="N460" s="80" t="n">
        <v>0.13</v>
      </c>
      <c r="O460" s="80" t="n">
        <v>296.459991455078</v>
      </c>
      <c r="P460" s="47" t="n">
        <v>2</v>
      </c>
      <c r="Q460" s="66" t="s">
        <v>724</v>
      </c>
    </row>
    <row r="461" customFormat="false" ht="15" hidden="false" customHeight="false" outlineLevel="0" collapsed="false">
      <c r="A461" s="76" t="s">
        <v>184</v>
      </c>
      <c r="B461" s="76" t="s">
        <v>242</v>
      </c>
      <c r="C461" s="77" t="n">
        <v>2025</v>
      </c>
      <c r="D461" s="77" t="n">
        <v>4</v>
      </c>
      <c r="E461" s="78" t="n">
        <v>46022</v>
      </c>
      <c r="F461" s="76" t="s">
        <v>236</v>
      </c>
      <c r="G461" s="76" t="s">
        <v>237</v>
      </c>
      <c r="H461" s="76" t="s">
        <v>238</v>
      </c>
      <c r="I461" s="79" t="n">
        <v>1083.337</v>
      </c>
      <c r="J461" s="79" t="n">
        <v>619.69</v>
      </c>
      <c r="K461" s="80" t="n">
        <v>1.8</v>
      </c>
      <c r="L461" s="79" t="n">
        <v>157.651</v>
      </c>
      <c r="M461" s="79" t="n">
        <v>2795.752</v>
      </c>
      <c r="N461" s="80" t="n">
        <v>0.12</v>
      </c>
      <c r="O461" s="80" t="n">
        <v>193.559997558594</v>
      </c>
      <c r="P461" s="47" t="n">
        <v>3</v>
      </c>
      <c r="Q461" s="66" t="s">
        <v>725</v>
      </c>
    </row>
    <row r="462" customFormat="false" ht="15" hidden="false" customHeight="false" outlineLevel="0" collapsed="false">
      <c r="A462" s="76" t="s">
        <v>184</v>
      </c>
      <c r="B462" s="76" t="s">
        <v>244</v>
      </c>
      <c r="C462" s="77" t="n">
        <v>2025</v>
      </c>
      <c r="D462" s="77" t="n">
        <v>3</v>
      </c>
      <c r="E462" s="78" t="n">
        <v>45930</v>
      </c>
      <c r="F462" s="76" t="s">
        <v>236</v>
      </c>
      <c r="G462" s="76" t="s">
        <v>237</v>
      </c>
      <c r="H462" s="76" t="s">
        <v>238</v>
      </c>
      <c r="I462" s="79" t="n">
        <v>769.21</v>
      </c>
      <c r="J462" s="79" t="n">
        <v>449.306</v>
      </c>
      <c r="K462" s="80" t="n">
        <v>0.85</v>
      </c>
      <c r="L462" s="79" t="n">
        <v>159.097</v>
      </c>
      <c r="M462" s="79" t="n">
        <v>2717.275</v>
      </c>
      <c r="N462" s="80" t="n">
        <v>0.12</v>
      </c>
      <c r="O462" s="80" t="n">
        <v>137.639999389648</v>
      </c>
      <c r="P462" s="47" t="n">
        <v>4</v>
      </c>
      <c r="Q462" s="66" t="s">
        <v>726</v>
      </c>
    </row>
    <row r="463" customFormat="false" ht="15" hidden="false" customHeight="false" outlineLevel="0" collapsed="false">
      <c r="A463" s="76" t="s">
        <v>184</v>
      </c>
      <c r="B463" s="76" t="s">
        <v>246</v>
      </c>
      <c r="C463" s="77" t="n">
        <v>2025</v>
      </c>
      <c r="D463" s="77" t="n">
        <v>2</v>
      </c>
      <c r="E463" s="78" t="n">
        <v>45838</v>
      </c>
      <c r="F463" s="76" t="s">
        <v>236</v>
      </c>
      <c r="G463" s="76" t="s">
        <v>237</v>
      </c>
      <c r="H463" s="76" t="s">
        <v>238</v>
      </c>
      <c r="I463" s="79" t="n">
        <v>651.797</v>
      </c>
      <c r="J463" s="79" t="n">
        <v>373.012</v>
      </c>
      <c r="K463" s="80" t="n">
        <v>0.57</v>
      </c>
      <c r="L463" s="79" t="n">
        <v>160.135</v>
      </c>
      <c r="M463" s="79" t="n">
        <v>2837.301</v>
      </c>
      <c r="N463" s="80" t="n">
        <v>0.12</v>
      </c>
      <c r="O463" s="80" t="n">
        <v>89.9199981689453</v>
      </c>
      <c r="P463" s="47" t="n">
        <v>5</v>
      </c>
      <c r="Q463" s="66" t="s">
        <v>727</v>
      </c>
    </row>
    <row r="464" customFormat="false" ht="15" hidden="false" customHeight="false" outlineLevel="0" collapsed="false">
      <c r="A464" s="76" t="s">
        <v>184</v>
      </c>
      <c r="B464" s="76" t="s">
        <v>248</v>
      </c>
      <c r="C464" s="77" t="n">
        <v>2025</v>
      </c>
      <c r="D464" s="77" t="n">
        <v>1</v>
      </c>
      <c r="E464" s="78" t="n">
        <v>45747</v>
      </c>
      <c r="F464" s="76" t="s">
        <v>236</v>
      </c>
      <c r="G464" s="76" t="s">
        <v>237</v>
      </c>
      <c r="H464" s="76" t="s">
        <v>238</v>
      </c>
      <c r="I464" s="79" t="n">
        <v>685.68</v>
      </c>
      <c r="J464" s="79" t="n">
        <v>415.336</v>
      </c>
      <c r="K464" s="80" t="n">
        <v>0.75</v>
      </c>
      <c r="L464" s="79" t="n">
        <v>161.996</v>
      </c>
      <c r="M464" s="79" t="n">
        <v>2797.499</v>
      </c>
      <c r="N464" s="80" t="n">
        <v>0.12</v>
      </c>
      <c r="O464" s="80" t="n">
        <v>82.5999984741211</v>
      </c>
      <c r="P464" s="47" t="n">
        <v>6</v>
      </c>
      <c r="Q464" s="66" t="s">
        <v>728</v>
      </c>
    </row>
    <row r="465" customFormat="false" ht="15" hidden="false" customHeight="false" outlineLevel="0" collapsed="false">
      <c r="A465" s="76" t="s">
        <v>184</v>
      </c>
      <c r="B465" s="76" t="s">
        <v>250</v>
      </c>
      <c r="C465" s="77" t="n">
        <v>2024</v>
      </c>
      <c r="D465" s="77" t="n">
        <v>4</v>
      </c>
      <c r="E465" s="78" t="n">
        <v>45657</v>
      </c>
      <c r="F465" s="76" t="s">
        <v>236</v>
      </c>
      <c r="G465" s="76" t="s">
        <v>237</v>
      </c>
      <c r="H465" s="76" t="s">
        <v>238</v>
      </c>
      <c r="I465" s="79" t="n">
        <v>752.884</v>
      </c>
      <c r="J465" s="79" t="n">
        <v>447.288</v>
      </c>
      <c r="K465" s="80" t="n">
        <v>0.95</v>
      </c>
      <c r="L465" s="79"/>
      <c r="M465" s="79" t="n">
        <v>2819.294</v>
      </c>
      <c r="N465" s="80" t="n">
        <v>0.12</v>
      </c>
      <c r="O465" s="80" t="n">
        <v>125.919998168945</v>
      </c>
      <c r="P465" s="47" t="n">
        <v>7</v>
      </c>
      <c r="Q465" s="66" t="s">
        <v>729</v>
      </c>
    </row>
    <row r="466" customFormat="false" ht="15" hidden="false" customHeight="false" outlineLevel="0" collapsed="false">
      <c r="A466" s="76" t="s">
        <v>184</v>
      </c>
      <c r="B466" s="76" t="s">
        <v>252</v>
      </c>
      <c r="C466" s="77" t="n">
        <v>2024</v>
      </c>
      <c r="D466" s="77" t="n">
        <v>3</v>
      </c>
      <c r="E466" s="78" t="n">
        <v>45565</v>
      </c>
      <c r="F466" s="76" t="s">
        <v>236</v>
      </c>
      <c r="G466" s="76" t="s">
        <v>237</v>
      </c>
      <c r="H466" s="76" t="s">
        <v>238</v>
      </c>
      <c r="I466" s="79" t="n">
        <v>737.298</v>
      </c>
      <c r="J466" s="79" t="n">
        <v>436.514</v>
      </c>
      <c r="K466" s="80" t="n">
        <v>0.9</v>
      </c>
      <c r="L466" s="79" t="n">
        <v>164.253</v>
      </c>
      <c r="M466" s="79" t="n">
        <v>2902.542</v>
      </c>
      <c r="N466" s="80" t="n">
        <v>0.12</v>
      </c>
      <c r="O466" s="80" t="n">
        <v>133.929992675781</v>
      </c>
      <c r="P466" s="47" t="n">
        <v>8</v>
      </c>
      <c r="Q466" s="66" t="s">
        <v>730</v>
      </c>
    </row>
    <row r="467" customFormat="false" ht="15" hidden="false" customHeight="false" outlineLevel="0" collapsed="false">
      <c r="A467" s="76" t="s">
        <v>184</v>
      </c>
      <c r="B467" s="76" t="s">
        <v>254</v>
      </c>
      <c r="C467" s="77" t="n">
        <v>2024</v>
      </c>
      <c r="D467" s="77" t="n">
        <v>2</v>
      </c>
      <c r="E467" s="78" t="n">
        <v>45473</v>
      </c>
      <c r="F467" s="76" t="s">
        <v>236</v>
      </c>
      <c r="G467" s="76" t="s">
        <v>237</v>
      </c>
      <c r="H467" s="76" t="s">
        <v>238</v>
      </c>
      <c r="I467" s="79" t="n">
        <v>729.879</v>
      </c>
      <c r="J467" s="79" t="n">
        <v>425.844</v>
      </c>
      <c r="K467" s="80"/>
      <c r="L467" s="79" t="n">
        <v>163.47</v>
      </c>
      <c r="M467" s="79" t="n">
        <v>2730.812</v>
      </c>
      <c r="N467" s="80" t="n">
        <v>0.12</v>
      </c>
      <c r="O467" s="80" t="n">
        <v>148.289993286133</v>
      </c>
      <c r="P467" s="47" t="n">
        <v>9</v>
      </c>
      <c r="Q467" s="66" t="s">
        <v>731</v>
      </c>
    </row>
    <row r="468" customFormat="false" ht="15" hidden="false" customHeight="false" outlineLevel="0" collapsed="false">
      <c r="A468" s="76" t="s">
        <v>184</v>
      </c>
      <c r="B468" s="76" t="s">
        <v>256</v>
      </c>
      <c r="C468" s="77" t="n">
        <v>2024</v>
      </c>
      <c r="D468" s="77" t="n">
        <v>1</v>
      </c>
      <c r="E468" s="78" t="n">
        <v>45382</v>
      </c>
      <c r="F468" s="76" t="s">
        <v>236</v>
      </c>
      <c r="G468" s="76" t="s">
        <v>237</v>
      </c>
      <c r="H468" s="76" t="s">
        <v>238</v>
      </c>
      <c r="I468" s="79" t="n">
        <v>599.819</v>
      </c>
      <c r="J468" s="79" t="n">
        <v>339.282</v>
      </c>
      <c r="K468" s="80"/>
      <c r="L468" s="79" t="n">
        <v>162.348</v>
      </c>
      <c r="M468" s="79" t="n">
        <v>2557.829</v>
      </c>
      <c r="N468" s="80"/>
      <c r="O468" s="80" t="n">
        <v>112.830001831055</v>
      </c>
      <c r="P468" s="47" t="n">
        <v>10</v>
      </c>
      <c r="Q468" s="66" t="s">
        <v>732</v>
      </c>
    </row>
    <row r="469" customFormat="false" ht="15" hidden="false" customHeight="false" outlineLevel="0" collapsed="false">
      <c r="A469" s="76" t="s">
        <v>184</v>
      </c>
      <c r="B469" s="76" t="s">
        <v>258</v>
      </c>
      <c r="C469" s="77" t="n">
        <v>2023</v>
      </c>
      <c r="D469" s="77" t="n">
        <v>4</v>
      </c>
      <c r="E469" s="78" t="n">
        <v>45291</v>
      </c>
      <c r="F469" s="76" t="s">
        <v>236</v>
      </c>
      <c r="G469" s="76" t="s">
        <v>237</v>
      </c>
      <c r="H469" s="76" t="s">
        <v>238</v>
      </c>
      <c r="I469" s="79" t="n">
        <v>670.599</v>
      </c>
      <c r="J469" s="79" t="n">
        <v>379.544</v>
      </c>
      <c r="K469" s="80" t="n">
        <v>0.79</v>
      </c>
      <c r="L469" s="79" t="n">
        <v>164.304</v>
      </c>
      <c r="M469" s="79" t="n">
        <v>2525.897</v>
      </c>
      <c r="N469" s="80" t="n">
        <v>0.11</v>
      </c>
      <c r="O469" s="80" t="n">
        <v>108.519996643066</v>
      </c>
      <c r="P469" s="47" t="n">
        <v>11</v>
      </c>
      <c r="Q469" s="66" t="s">
        <v>733</v>
      </c>
    </row>
    <row r="470" customFormat="false" ht="15" hidden="false" customHeight="false" outlineLevel="0" collapsed="false">
      <c r="A470" s="76" t="s">
        <v>184</v>
      </c>
      <c r="B470" s="76" t="s">
        <v>260</v>
      </c>
      <c r="C470" s="77" t="n">
        <v>2023</v>
      </c>
      <c r="D470" s="77" t="n">
        <v>3</v>
      </c>
      <c r="E470" s="78" t="n">
        <v>45199</v>
      </c>
      <c r="F470" s="76" t="s">
        <v>236</v>
      </c>
      <c r="G470" s="76" t="s">
        <v>237</v>
      </c>
      <c r="H470" s="76" t="s">
        <v>238</v>
      </c>
      <c r="I470" s="79" t="n">
        <v>703.732</v>
      </c>
      <c r="J470" s="79" t="n">
        <v>398.291</v>
      </c>
      <c r="K470" s="80" t="n">
        <v>0.8</v>
      </c>
      <c r="L470" s="79" t="n">
        <v>166.41675</v>
      </c>
      <c r="M470" s="79" t="n">
        <v>2441.3</v>
      </c>
      <c r="N470" s="80" t="n">
        <v>0.11</v>
      </c>
      <c r="O470" s="80" t="n">
        <v>100.459999084473</v>
      </c>
      <c r="P470" s="47" t="n">
        <v>12</v>
      </c>
      <c r="Q470" s="66" t="s">
        <v>734</v>
      </c>
    </row>
    <row r="471" customFormat="false" ht="15" hidden="false" customHeight="false" outlineLevel="0" collapsed="false">
      <c r="A471" s="76" t="s">
        <v>184</v>
      </c>
      <c r="B471" s="76" t="s">
        <v>262</v>
      </c>
      <c r="C471" s="77" t="n">
        <v>2023</v>
      </c>
      <c r="D471" s="77" t="n">
        <v>2</v>
      </c>
      <c r="E471" s="78" t="n">
        <v>45107</v>
      </c>
      <c r="F471" s="76" t="s">
        <v>236</v>
      </c>
      <c r="G471" s="76" t="s">
        <v>237</v>
      </c>
      <c r="H471" s="76" t="s">
        <v>238</v>
      </c>
      <c r="I471" s="79" t="n">
        <v>684.437</v>
      </c>
      <c r="J471" s="79" t="n">
        <v>402.492</v>
      </c>
      <c r="K471" s="80" t="n">
        <v>0.79</v>
      </c>
      <c r="L471" s="79" t="n">
        <v>164.751</v>
      </c>
      <c r="M471" s="79" t="n">
        <v>2434.883</v>
      </c>
      <c r="N471" s="80" t="n">
        <v>0.11</v>
      </c>
      <c r="O471" s="80" t="n">
        <v>111.330001831055</v>
      </c>
      <c r="P471" s="47" t="n">
        <v>13</v>
      </c>
      <c r="Q471" s="66" t="s">
        <v>735</v>
      </c>
    </row>
    <row r="472" customFormat="false" ht="15" hidden="false" customHeight="false" outlineLevel="0" collapsed="false">
      <c r="A472" s="76" t="s">
        <v>184</v>
      </c>
      <c r="B472" s="76" t="s">
        <v>264</v>
      </c>
      <c r="C472" s="77" t="n">
        <v>2023</v>
      </c>
      <c r="D472" s="77" t="n">
        <v>1</v>
      </c>
      <c r="E472" s="78" t="n">
        <v>45016</v>
      </c>
      <c r="F472" s="76" t="s">
        <v>236</v>
      </c>
      <c r="G472" s="76" t="s">
        <v>237</v>
      </c>
      <c r="H472" s="76" t="s">
        <v>238</v>
      </c>
      <c r="I472" s="79" t="n">
        <v>617.529</v>
      </c>
      <c r="J472" s="79" t="n">
        <v>356.42</v>
      </c>
      <c r="K472" s="80" t="n">
        <v>0.55</v>
      </c>
      <c r="L472" s="79" t="n">
        <v>166.308</v>
      </c>
      <c r="M472" s="79" t="n">
        <v>2449.462</v>
      </c>
      <c r="N472" s="80" t="n">
        <v>0.11</v>
      </c>
      <c r="O472" s="80" t="n">
        <v>107.510002136231</v>
      </c>
      <c r="P472" s="47" t="n">
        <v>14</v>
      </c>
      <c r="Q472" s="66" t="s">
        <v>736</v>
      </c>
    </row>
    <row r="473" customFormat="false" ht="15" hidden="false" customHeight="false" outlineLevel="0" collapsed="false">
      <c r="A473" s="76" t="s">
        <v>184</v>
      </c>
      <c r="B473" s="76" t="s">
        <v>266</v>
      </c>
      <c r="C473" s="77" t="n">
        <v>2022</v>
      </c>
      <c r="D473" s="77" t="n">
        <v>4</v>
      </c>
      <c r="E473" s="78" t="n">
        <v>44926</v>
      </c>
      <c r="F473" s="76" t="s">
        <v>236</v>
      </c>
      <c r="G473" s="76" t="s">
        <v>237</v>
      </c>
      <c r="H473" s="76" t="s">
        <v>238</v>
      </c>
      <c r="I473" s="79" t="n">
        <v>731.836</v>
      </c>
      <c r="J473" s="79" t="n">
        <v>420.45</v>
      </c>
      <c r="K473" s="80" t="n">
        <v>0.92</v>
      </c>
      <c r="L473" s="79"/>
      <c r="M473" s="79" t="n">
        <v>2451.294</v>
      </c>
      <c r="N473" s="80" t="n">
        <v>0.11</v>
      </c>
      <c r="O473" s="80" t="n">
        <v>87.3499984741211</v>
      </c>
      <c r="P473" s="47" t="n">
        <v>15</v>
      </c>
      <c r="Q473" s="66" t="s">
        <v>737</v>
      </c>
    </row>
    <row r="474" customFormat="false" ht="15" hidden="false" customHeight="false" outlineLevel="0" collapsed="false">
      <c r="A474" s="76" t="s">
        <v>184</v>
      </c>
      <c r="B474" s="76" t="s">
        <v>268</v>
      </c>
      <c r="C474" s="77" t="n">
        <v>2022</v>
      </c>
      <c r="D474" s="77" t="n">
        <v>3</v>
      </c>
      <c r="E474" s="78" t="n">
        <v>44834</v>
      </c>
      <c r="F474" s="76" t="s">
        <v>236</v>
      </c>
      <c r="G474" s="76" t="s">
        <v>237</v>
      </c>
      <c r="H474" s="76" t="s">
        <v>238</v>
      </c>
      <c r="I474" s="79" t="n">
        <v>827.073</v>
      </c>
      <c r="J474" s="79" t="n">
        <v>485.379</v>
      </c>
      <c r="K474" s="80" t="n">
        <v>1.15</v>
      </c>
      <c r="L474" s="79" t="n">
        <v>0.166733</v>
      </c>
      <c r="M474" s="79" t="n">
        <v>2254.125</v>
      </c>
      <c r="N474" s="80" t="n">
        <v>0.11</v>
      </c>
      <c r="O474" s="80" t="n">
        <v>75.1500015258789</v>
      </c>
      <c r="P474" s="47" t="n">
        <v>16</v>
      </c>
      <c r="Q474" s="66" t="s">
        <v>738</v>
      </c>
    </row>
    <row r="475" customFormat="false" ht="15" hidden="false" customHeight="false" outlineLevel="0" collapsed="false">
      <c r="A475" s="76" t="s">
        <v>184</v>
      </c>
      <c r="B475" s="76" t="s">
        <v>270</v>
      </c>
      <c r="C475" s="77" t="n">
        <v>2022</v>
      </c>
      <c r="D475" s="77" t="n">
        <v>2</v>
      </c>
      <c r="E475" s="78" t="n">
        <v>44742</v>
      </c>
      <c r="F475" s="76" t="s">
        <v>236</v>
      </c>
      <c r="G475" s="76" t="s">
        <v>237</v>
      </c>
      <c r="H475" s="76" t="s">
        <v>238</v>
      </c>
      <c r="I475" s="79" t="n">
        <v>840.766</v>
      </c>
      <c r="J475" s="79" t="n">
        <v>506.389</v>
      </c>
      <c r="K475" s="80" t="n">
        <v>1.21</v>
      </c>
      <c r="L475" s="79" t="n">
        <v>171.159</v>
      </c>
      <c r="M475" s="79" t="n">
        <v>2298.596</v>
      </c>
      <c r="N475" s="80" t="n">
        <v>0.11</v>
      </c>
      <c r="O475" s="80" t="n">
        <v>89.5500030517578</v>
      </c>
      <c r="P475" s="47" t="n">
        <v>17</v>
      </c>
      <c r="Q475" s="66" t="s">
        <v>739</v>
      </c>
    </row>
    <row r="476" customFormat="false" ht="15" hidden="false" customHeight="false" outlineLevel="0" collapsed="false">
      <c r="A476" s="76" t="s">
        <v>184</v>
      </c>
      <c r="B476" s="76" t="s">
        <v>272</v>
      </c>
      <c r="C476" s="77" t="n">
        <v>2022</v>
      </c>
      <c r="D476" s="77" t="n">
        <v>1</v>
      </c>
      <c r="E476" s="78" t="n">
        <v>44651</v>
      </c>
      <c r="F476" s="76" t="s">
        <v>236</v>
      </c>
      <c r="G476" s="76" t="s">
        <v>237</v>
      </c>
      <c r="H476" s="76" t="s">
        <v>238</v>
      </c>
      <c r="I476" s="79" t="n">
        <v>755.37</v>
      </c>
      <c r="J476" s="79" t="n">
        <v>454.933</v>
      </c>
      <c r="K476" s="80" t="n">
        <v>0.98</v>
      </c>
      <c r="L476" s="79" t="n">
        <v>175.575</v>
      </c>
      <c r="M476" s="79" t="n">
        <v>2474.532</v>
      </c>
      <c r="N476" s="80" t="n">
        <v>0.11</v>
      </c>
      <c r="O476" s="80" t="n">
        <v>118.230003356934</v>
      </c>
      <c r="P476" s="47" t="n">
        <v>18</v>
      </c>
      <c r="Q476" s="66" t="s">
        <v>740</v>
      </c>
    </row>
    <row r="477" customFormat="false" ht="15" hidden="false" customHeight="false" outlineLevel="0" collapsed="false">
      <c r="A477" s="76" t="s">
        <v>184</v>
      </c>
      <c r="B477" s="76" t="s">
        <v>274</v>
      </c>
      <c r="C477" s="77" t="n">
        <v>2021</v>
      </c>
      <c r="D477" s="77" t="n">
        <v>4</v>
      </c>
      <c r="E477" s="78" t="n">
        <v>44561</v>
      </c>
      <c r="F477" s="76" t="s">
        <v>236</v>
      </c>
      <c r="G477" s="76" t="s">
        <v>237</v>
      </c>
      <c r="H477" s="76" t="s">
        <v>238</v>
      </c>
      <c r="I477" s="79" t="n">
        <v>885.046</v>
      </c>
      <c r="J477" s="79" t="n">
        <v>527.048</v>
      </c>
      <c r="K477" s="80" t="n">
        <v>1.37</v>
      </c>
      <c r="L477" s="79"/>
      <c r="M477" s="79" t="n">
        <v>2563.956</v>
      </c>
      <c r="N477" s="80" t="n">
        <v>0.1</v>
      </c>
      <c r="O477" s="80" t="n">
        <v>163.529998779297</v>
      </c>
      <c r="P477" s="47" t="n">
        <v>19</v>
      </c>
      <c r="Q477" s="66" t="s">
        <v>741</v>
      </c>
    </row>
    <row r="478" customFormat="false" ht="15" hidden="false" customHeight="false" outlineLevel="0" collapsed="false">
      <c r="A478" s="76" t="s">
        <v>184</v>
      </c>
      <c r="B478" s="76" t="s">
        <v>276</v>
      </c>
      <c r="C478" s="77" t="n">
        <v>2021</v>
      </c>
      <c r="D478" s="77" t="n">
        <v>3</v>
      </c>
      <c r="E478" s="78" t="n">
        <v>44469</v>
      </c>
      <c r="F478" s="76" t="s">
        <v>236</v>
      </c>
      <c r="G478" s="76" t="s">
        <v>237</v>
      </c>
      <c r="H478" s="76" t="s">
        <v>238</v>
      </c>
      <c r="I478" s="79" t="n">
        <v>950.501</v>
      </c>
      <c r="J478" s="79" t="n">
        <v>571.001</v>
      </c>
      <c r="K478" s="80" t="n">
        <v>1.59</v>
      </c>
      <c r="L478" s="79" t="n">
        <v>181.987</v>
      </c>
      <c r="M478" s="79" t="n">
        <v>2540.374</v>
      </c>
      <c r="N478" s="80" t="n">
        <v>0.1</v>
      </c>
      <c r="O478" s="80" t="n">
        <v>109.169998168945</v>
      </c>
      <c r="P478" s="47" t="n">
        <v>20</v>
      </c>
      <c r="Q478" s="66" t="s">
        <v>742</v>
      </c>
    </row>
    <row r="479" customFormat="false" ht="15" hidden="false" customHeight="false" outlineLevel="0" collapsed="false">
      <c r="A479" s="76" t="s">
        <v>184</v>
      </c>
      <c r="B479" s="76" t="s">
        <v>278</v>
      </c>
      <c r="C479" s="77" t="n">
        <v>2021</v>
      </c>
      <c r="D479" s="77" t="n">
        <v>2</v>
      </c>
      <c r="E479" s="78" t="n">
        <v>44377</v>
      </c>
      <c r="F479" s="76" t="s">
        <v>236</v>
      </c>
      <c r="G479" s="76" t="s">
        <v>237</v>
      </c>
      <c r="H479" s="76" t="s">
        <v>238</v>
      </c>
      <c r="I479" s="79" t="n">
        <v>1085.728</v>
      </c>
      <c r="J479" s="79" t="n">
        <v>646.989</v>
      </c>
      <c r="K479" s="80" t="n">
        <v>1.91</v>
      </c>
      <c r="L479" s="79" t="n">
        <v>186.75</v>
      </c>
      <c r="M479" s="79" t="n">
        <v>2514.642</v>
      </c>
      <c r="N479" s="80" t="n">
        <v>0.1</v>
      </c>
      <c r="O479" s="80" t="n">
        <v>133.960006713867</v>
      </c>
      <c r="P479" s="47" t="n">
        <v>21</v>
      </c>
      <c r="Q479" s="66" t="s">
        <v>743</v>
      </c>
    </row>
    <row r="480" customFormat="false" ht="15" hidden="false" customHeight="false" outlineLevel="0" collapsed="false">
      <c r="A480" s="76" t="s">
        <v>184</v>
      </c>
      <c r="B480" s="76" t="s">
        <v>280</v>
      </c>
      <c r="C480" s="77" t="n">
        <v>2021</v>
      </c>
      <c r="D480" s="77" t="n">
        <v>1</v>
      </c>
      <c r="E480" s="78" t="n">
        <v>44286</v>
      </c>
      <c r="F480" s="76" t="s">
        <v>236</v>
      </c>
      <c r="G480" s="76" t="s">
        <v>237</v>
      </c>
      <c r="H480" s="76" t="s">
        <v>238</v>
      </c>
      <c r="I480" s="79" t="n">
        <v>781.606</v>
      </c>
      <c r="J480" s="79" t="n">
        <v>461.618</v>
      </c>
      <c r="K480" s="80" t="n">
        <v>1.11</v>
      </c>
      <c r="L480" s="79" t="n">
        <v>187.74</v>
      </c>
      <c r="M480" s="79" t="n">
        <v>2325.786</v>
      </c>
      <c r="N480" s="80" t="n">
        <v>0.1</v>
      </c>
      <c r="O480" s="80" t="n">
        <v>121.680000305176</v>
      </c>
      <c r="P480" s="47" t="n">
        <v>22</v>
      </c>
      <c r="Q480" s="66" t="s">
        <v>744</v>
      </c>
    </row>
    <row r="481" customFormat="false" ht="15" hidden="false" customHeight="false" outlineLevel="0" collapsed="false">
      <c r="A481" s="76" t="s">
        <v>184</v>
      </c>
      <c r="B481" s="76" t="s">
        <v>282</v>
      </c>
      <c r="C481" s="77" t="n">
        <v>2020</v>
      </c>
      <c r="D481" s="77" t="n">
        <v>4</v>
      </c>
      <c r="E481" s="78" t="n">
        <v>44196</v>
      </c>
      <c r="F481" s="76" t="s">
        <v>236</v>
      </c>
      <c r="G481" s="76" t="s">
        <v>237</v>
      </c>
      <c r="H481" s="76" t="s">
        <v>238</v>
      </c>
      <c r="I481" s="79" t="n">
        <v>758.969</v>
      </c>
      <c r="J481" s="79" t="n">
        <v>449.79</v>
      </c>
      <c r="K481" s="80" t="n">
        <v>1.1</v>
      </c>
      <c r="L481" s="79"/>
      <c r="M481" s="79" t="n">
        <v>2210.805</v>
      </c>
      <c r="N481" s="80" t="n">
        <v>0.1</v>
      </c>
      <c r="O481" s="80" t="n">
        <v>119.889999389648</v>
      </c>
      <c r="P481" s="47" t="n">
        <v>23</v>
      </c>
      <c r="Q481" s="66" t="s">
        <v>745</v>
      </c>
    </row>
    <row r="482" customFormat="false" ht="15" hidden="false" customHeight="false" outlineLevel="0" collapsed="false">
      <c r="A482" s="76" t="s">
        <v>184</v>
      </c>
      <c r="B482" s="76" t="s">
        <v>284</v>
      </c>
      <c r="C482" s="77" t="n">
        <v>2020</v>
      </c>
      <c r="D482" s="77" t="n">
        <v>3</v>
      </c>
      <c r="E482" s="78" t="n">
        <v>44104</v>
      </c>
      <c r="F482" s="76" t="s">
        <v>236</v>
      </c>
      <c r="G482" s="76" t="s">
        <v>237</v>
      </c>
      <c r="H482" s="76" t="s">
        <v>238</v>
      </c>
      <c r="I482" s="79" t="n">
        <v>819.484</v>
      </c>
      <c r="J482" s="79" t="n">
        <v>458.928</v>
      </c>
      <c r="K482" s="80" t="n">
        <v>1.18</v>
      </c>
      <c r="L482" s="79" t="n">
        <v>184.338</v>
      </c>
      <c r="M482" s="79" t="n">
        <v>1993.544</v>
      </c>
      <c r="N482" s="80"/>
      <c r="O482" s="80" t="n">
        <v>79.4599990844727</v>
      </c>
      <c r="P482" s="47" t="n">
        <v>24</v>
      </c>
      <c r="Q482" s="66" t="s">
        <v>746</v>
      </c>
    </row>
    <row r="483" customFormat="false" ht="15" hidden="false" customHeight="false" outlineLevel="0" collapsed="false">
      <c r="A483" s="76" t="s">
        <v>175</v>
      </c>
      <c r="B483" s="76" t="s">
        <v>747</v>
      </c>
      <c r="C483" s="77" t="n">
        <v>2026</v>
      </c>
      <c r="D483" s="77" t="n">
        <v>3</v>
      </c>
      <c r="E483" s="78" t="n">
        <v>46294</v>
      </c>
      <c r="F483" s="76" t="s">
        <v>748</v>
      </c>
      <c r="G483" s="76" t="s">
        <v>749</v>
      </c>
      <c r="H483" s="76" t="s">
        <v>238</v>
      </c>
      <c r="I483" s="79"/>
      <c r="J483" s="79"/>
      <c r="K483" s="80" t="n">
        <v>0.14333</v>
      </c>
      <c r="L483" s="79"/>
      <c r="M483" s="79"/>
      <c r="N483" s="80"/>
      <c r="O483" s="80"/>
      <c r="P483" s="47" t="n">
        <v>0</v>
      </c>
      <c r="Q483" s="66" t="s">
        <v>750</v>
      </c>
    </row>
    <row r="484" customFormat="false" ht="15" hidden="false" customHeight="false" outlineLevel="0" collapsed="false">
      <c r="A484" s="76" t="s">
        <v>84</v>
      </c>
      <c r="B484" s="76" t="s">
        <v>751</v>
      </c>
      <c r="C484" s="77" t="n">
        <v>2026</v>
      </c>
      <c r="D484" s="77" t="n">
        <v>4</v>
      </c>
      <c r="E484" s="78" t="n">
        <v>46294</v>
      </c>
      <c r="F484" s="76" t="s">
        <v>748</v>
      </c>
      <c r="G484" s="76" t="s">
        <v>749</v>
      </c>
      <c r="H484" s="76" t="s">
        <v>238</v>
      </c>
      <c r="I484" s="79"/>
      <c r="J484" s="79"/>
      <c r="K484" s="80" t="n">
        <v>1.97656</v>
      </c>
      <c r="L484" s="79"/>
      <c r="M484" s="79"/>
      <c r="N484" s="80"/>
      <c r="O484" s="80"/>
      <c r="P484" s="47" t="n">
        <v>0</v>
      </c>
      <c r="Q484" s="66" t="s">
        <v>752</v>
      </c>
    </row>
    <row r="485" customFormat="false" ht="15" hidden="false" customHeight="false" outlineLevel="0" collapsed="false">
      <c r="A485" s="76" t="s">
        <v>199</v>
      </c>
      <c r="B485" s="76" t="s">
        <v>747</v>
      </c>
      <c r="C485" s="77" t="n">
        <v>2026</v>
      </c>
      <c r="D485" s="77" t="n">
        <v>3</v>
      </c>
      <c r="E485" s="78" t="n">
        <v>46294</v>
      </c>
      <c r="F485" s="76" t="s">
        <v>748</v>
      </c>
      <c r="G485" s="76" t="s">
        <v>749</v>
      </c>
      <c r="H485" s="76" t="s">
        <v>238</v>
      </c>
      <c r="I485" s="79"/>
      <c r="J485" s="79"/>
      <c r="K485" s="80" t="n">
        <v>1.95485</v>
      </c>
      <c r="L485" s="79"/>
      <c r="M485" s="79"/>
      <c r="N485" s="80"/>
      <c r="O485" s="80"/>
      <c r="P485" s="47" t="n">
        <v>0</v>
      </c>
      <c r="Q485" s="66" t="s">
        <v>753</v>
      </c>
    </row>
    <row r="486" customFormat="false" ht="15" hidden="false" customHeight="false" outlineLevel="0" collapsed="false">
      <c r="A486" s="76" t="s">
        <v>214</v>
      </c>
      <c r="B486" s="76" t="s">
        <v>751</v>
      </c>
      <c r="C486" s="77" t="n">
        <v>2026</v>
      </c>
      <c r="D486" s="77" t="n">
        <v>4</v>
      </c>
      <c r="E486" s="78" t="n">
        <v>46325</v>
      </c>
      <c r="F486" s="76" t="s">
        <v>748</v>
      </c>
      <c r="G486" s="76" t="s">
        <v>749</v>
      </c>
      <c r="H486" s="76" t="s">
        <v>238</v>
      </c>
      <c r="I486" s="79"/>
      <c r="J486" s="79"/>
      <c r="K486" s="80" t="n">
        <v>3.82578</v>
      </c>
      <c r="L486" s="79"/>
      <c r="M486" s="79"/>
      <c r="N486" s="80"/>
      <c r="O486" s="80"/>
      <c r="P486" s="47" t="n">
        <v>0</v>
      </c>
      <c r="Q486" s="66" t="s">
        <v>754</v>
      </c>
    </row>
    <row r="487" customFormat="false" ht="15" hidden="false" customHeight="false" outlineLevel="0" collapsed="false">
      <c r="A487" s="76" t="s">
        <v>196</v>
      </c>
      <c r="B487" s="76" t="s">
        <v>747</v>
      </c>
      <c r="C487" s="77" t="n">
        <v>2026</v>
      </c>
      <c r="D487" s="77" t="n">
        <v>3</v>
      </c>
      <c r="E487" s="78" t="n">
        <v>46294</v>
      </c>
      <c r="F487" s="76" t="s">
        <v>748</v>
      </c>
      <c r="G487" s="76" t="s">
        <v>749</v>
      </c>
      <c r="H487" s="76" t="s">
        <v>238</v>
      </c>
      <c r="I487" s="79"/>
      <c r="J487" s="79"/>
      <c r="K487" s="80" t="n">
        <v>3.74379</v>
      </c>
      <c r="L487" s="79"/>
      <c r="M487" s="79"/>
      <c r="N487" s="80"/>
      <c r="O487" s="80"/>
      <c r="P487" s="47" t="n">
        <v>0</v>
      </c>
      <c r="Q487" s="66" t="s">
        <v>755</v>
      </c>
    </row>
    <row r="488" customFormat="false" ht="15" hidden="false" customHeight="false" outlineLevel="0" collapsed="false">
      <c r="A488" s="76" t="s">
        <v>191</v>
      </c>
      <c r="B488" s="76" t="s">
        <v>756</v>
      </c>
      <c r="C488" s="77" t="n">
        <v>2027</v>
      </c>
      <c r="D488" s="77" t="n">
        <v>3</v>
      </c>
      <c r="E488" s="78" t="n">
        <v>46325</v>
      </c>
      <c r="F488" s="76" t="s">
        <v>748</v>
      </c>
      <c r="G488" s="76" t="s">
        <v>749</v>
      </c>
      <c r="H488" s="76" t="s">
        <v>238</v>
      </c>
      <c r="I488" s="79"/>
      <c r="J488" s="79"/>
      <c r="K488" s="80" t="n">
        <v>0.31116</v>
      </c>
      <c r="L488" s="79"/>
      <c r="M488" s="79"/>
      <c r="N488" s="80"/>
      <c r="O488" s="80"/>
      <c r="P488" s="47" t="n">
        <v>0</v>
      </c>
      <c r="Q488" s="66" t="s">
        <v>757</v>
      </c>
    </row>
    <row r="489" customFormat="false" ht="15" hidden="false" customHeight="false" outlineLevel="0" collapsed="false">
      <c r="A489" s="76" t="s">
        <v>187</v>
      </c>
      <c r="B489" s="76" t="s">
        <v>758</v>
      </c>
      <c r="C489" s="77" t="n">
        <v>2027</v>
      </c>
      <c r="D489" s="77" t="n">
        <v>2</v>
      </c>
      <c r="E489" s="78" t="n">
        <v>46233</v>
      </c>
      <c r="F489" s="76" t="s">
        <v>748</v>
      </c>
      <c r="G489" s="76" t="s">
        <v>749</v>
      </c>
      <c r="H489" s="76" t="s">
        <v>238</v>
      </c>
      <c r="I489" s="79"/>
      <c r="J489" s="79"/>
      <c r="K489" s="80" t="n">
        <v>4.91986</v>
      </c>
      <c r="L489" s="79"/>
      <c r="M489" s="79"/>
      <c r="N489" s="80"/>
      <c r="O489" s="80"/>
      <c r="P489" s="47" t="n">
        <v>0</v>
      </c>
      <c r="Q489" s="66" t="s">
        <v>759</v>
      </c>
    </row>
    <row r="490" customFormat="false" ht="15" hidden="false" customHeight="false" outlineLevel="0" collapsed="false">
      <c r="A490" s="76" t="s">
        <v>189</v>
      </c>
      <c r="B490" s="76" t="s">
        <v>747</v>
      </c>
      <c r="C490" s="77" t="n">
        <v>2026</v>
      </c>
      <c r="D490" s="77" t="n">
        <v>3</v>
      </c>
      <c r="E490" s="78" t="n">
        <v>46294</v>
      </c>
      <c r="F490" s="76" t="s">
        <v>748</v>
      </c>
      <c r="G490" s="76" t="s">
        <v>749</v>
      </c>
      <c r="H490" s="76" t="s">
        <v>238</v>
      </c>
      <c r="I490" s="79"/>
      <c r="J490" s="79"/>
      <c r="K490" s="80" t="n">
        <v>1.055</v>
      </c>
      <c r="L490" s="79"/>
      <c r="M490" s="79"/>
      <c r="N490" s="80"/>
      <c r="O490" s="80"/>
      <c r="P490" s="47" t="n">
        <v>0</v>
      </c>
      <c r="Q490" s="66" t="s">
        <v>760</v>
      </c>
    </row>
    <row r="491" customFormat="false" ht="15" hidden="false" customHeight="false" outlineLevel="0" collapsed="false">
      <c r="A491" s="76" t="s">
        <v>216</v>
      </c>
      <c r="B491" s="76" t="s">
        <v>747</v>
      </c>
      <c r="C491" s="77" t="n">
        <v>2026</v>
      </c>
      <c r="D491" s="77" t="n">
        <v>3</v>
      </c>
      <c r="E491" s="78" t="n">
        <v>46294</v>
      </c>
      <c r="F491" s="76" t="s">
        <v>748</v>
      </c>
      <c r="G491" s="76" t="s">
        <v>749</v>
      </c>
      <c r="H491" s="76" t="s">
        <v>238</v>
      </c>
      <c r="I491" s="79"/>
      <c r="J491" s="79"/>
      <c r="K491" s="80" t="n">
        <v>0.85724</v>
      </c>
      <c r="L491" s="79"/>
      <c r="M491" s="79"/>
      <c r="N491" s="80"/>
      <c r="O491" s="80"/>
      <c r="P491" s="47" t="n">
        <v>0</v>
      </c>
      <c r="Q491" s="66" t="s">
        <v>761</v>
      </c>
    </row>
    <row r="492" customFormat="false" ht="15" hidden="false" customHeight="false" outlineLevel="0" collapsed="false">
      <c r="A492" s="76" t="s">
        <v>202</v>
      </c>
      <c r="B492" s="76" t="s">
        <v>747</v>
      </c>
      <c r="C492" s="77" t="n">
        <v>2026</v>
      </c>
      <c r="D492" s="77" t="n">
        <v>3</v>
      </c>
      <c r="E492" s="78" t="n">
        <v>46294</v>
      </c>
      <c r="F492" s="76" t="s">
        <v>748</v>
      </c>
      <c r="G492" s="76" t="s">
        <v>749</v>
      </c>
      <c r="H492" s="76" t="s">
        <v>238</v>
      </c>
      <c r="I492" s="79"/>
      <c r="J492" s="79"/>
      <c r="K492" s="80" t="n">
        <v>3.00444</v>
      </c>
      <c r="L492" s="79"/>
      <c r="M492" s="79"/>
      <c r="N492" s="80"/>
      <c r="O492" s="80"/>
      <c r="P492" s="47" t="n">
        <v>0</v>
      </c>
      <c r="Q492" s="66" t="s">
        <v>762</v>
      </c>
    </row>
    <row r="493" customFormat="false" ht="15" hidden="false" customHeight="false" outlineLevel="0" collapsed="false">
      <c r="A493" s="76" t="s">
        <v>179</v>
      </c>
      <c r="B493" s="76" t="s">
        <v>756</v>
      </c>
      <c r="C493" s="77" t="n">
        <v>2027</v>
      </c>
      <c r="D493" s="77" t="n">
        <v>3</v>
      </c>
      <c r="E493" s="78" t="n">
        <v>46325</v>
      </c>
      <c r="F493" s="76" t="s">
        <v>748</v>
      </c>
      <c r="G493" s="76" t="s">
        <v>749</v>
      </c>
      <c r="H493" s="76" t="s">
        <v>238</v>
      </c>
      <c r="I493" s="79"/>
      <c r="J493" s="79"/>
      <c r="K493" s="80" t="n">
        <v>1.1004</v>
      </c>
      <c r="L493" s="79"/>
      <c r="M493" s="79"/>
      <c r="N493" s="80"/>
      <c r="O493" s="80"/>
      <c r="P493" s="47" t="n">
        <v>0</v>
      </c>
      <c r="Q493" s="66" t="s">
        <v>763</v>
      </c>
    </row>
    <row r="494" customFormat="false" ht="15" hidden="false" customHeight="false" outlineLevel="0" collapsed="false">
      <c r="A494" s="76" t="s">
        <v>169</v>
      </c>
      <c r="B494" s="76" t="s">
        <v>764</v>
      </c>
      <c r="C494" s="77" t="n">
        <v>2027</v>
      </c>
      <c r="D494" s="77" t="n">
        <v>1</v>
      </c>
      <c r="E494" s="78" t="n">
        <v>46294</v>
      </c>
      <c r="F494" s="76" t="s">
        <v>748</v>
      </c>
      <c r="G494" s="76" t="s">
        <v>749</v>
      </c>
      <c r="H494" s="76" t="s">
        <v>238</v>
      </c>
      <c r="I494" s="79"/>
      <c r="J494" s="79"/>
      <c r="K494" s="80" t="n">
        <v>4.72092</v>
      </c>
      <c r="L494" s="79"/>
      <c r="M494" s="79"/>
      <c r="N494" s="80"/>
      <c r="O494" s="80"/>
      <c r="P494" s="47" t="n">
        <v>0</v>
      </c>
      <c r="Q494" s="66" t="s">
        <v>765</v>
      </c>
    </row>
    <row r="495" customFormat="false" ht="15" hidden="false" customHeight="false" outlineLevel="0" collapsed="false">
      <c r="A495" s="76" t="s">
        <v>182</v>
      </c>
      <c r="B495" s="76" t="s">
        <v>751</v>
      </c>
      <c r="C495" s="77" t="n">
        <v>2026</v>
      </c>
      <c r="D495" s="77" t="n">
        <v>4</v>
      </c>
      <c r="E495" s="78" t="n">
        <v>46264</v>
      </c>
      <c r="F495" s="76" t="s">
        <v>748</v>
      </c>
      <c r="G495" s="76" t="s">
        <v>749</v>
      </c>
      <c r="H495" s="76" t="s">
        <v>238</v>
      </c>
      <c r="I495" s="79"/>
      <c r="J495" s="79"/>
      <c r="K495" s="80" t="n">
        <v>31.28341</v>
      </c>
      <c r="L495" s="79"/>
      <c r="M495" s="79"/>
      <c r="N495" s="80"/>
      <c r="O495" s="80"/>
      <c r="P495" s="47" t="n">
        <v>0</v>
      </c>
      <c r="Q495" s="66" t="s">
        <v>766</v>
      </c>
    </row>
    <row r="496" customFormat="false" ht="15" hidden="false" customHeight="false" outlineLevel="0" collapsed="false">
      <c r="A496" s="76" t="s">
        <v>193</v>
      </c>
      <c r="B496" s="76" t="s">
        <v>747</v>
      </c>
      <c r="C496" s="77" t="n">
        <v>2026</v>
      </c>
      <c r="D496" s="77" t="n">
        <v>3</v>
      </c>
      <c r="E496" s="78" t="n">
        <v>46294</v>
      </c>
      <c r="F496" s="76" t="s">
        <v>748</v>
      </c>
      <c r="G496" s="76" t="s">
        <v>749</v>
      </c>
      <c r="H496" s="76" t="s">
        <v>238</v>
      </c>
      <c r="I496" s="79"/>
      <c r="J496" s="79"/>
      <c r="K496" s="80" t="n">
        <v>0.34308</v>
      </c>
      <c r="L496" s="79"/>
      <c r="M496" s="79"/>
      <c r="N496" s="80"/>
      <c r="O496" s="80"/>
      <c r="P496" s="47" t="n">
        <v>0</v>
      </c>
      <c r="Q496" s="66" t="s">
        <v>767</v>
      </c>
    </row>
    <row r="497" customFormat="false" ht="15" hidden="false" customHeight="false" outlineLevel="0" collapsed="false">
      <c r="A497" s="76" t="s">
        <v>172</v>
      </c>
      <c r="B497" s="76" t="s">
        <v>756</v>
      </c>
      <c r="C497" s="77" t="n">
        <v>2027</v>
      </c>
      <c r="D497" s="77" t="n">
        <v>3</v>
      </c>
      <c r="E497" s="78" t="n">
        <v>46325</v>
      </c>
      <c r="F497" s="76" t="s">
        <v>748</v>
      </c>
      <c r="G497" s="76" t="s">
        <v>749</v>
      </c>
      <c r="H497" s="76" t="s">
        <v>238</v>
      </c>
      <c r="I497" s="79"/>
      <c r="J497" s="79"/>
      <c r="K497" s="80" t="n">
        <v>2.34</v>
      </c>
      <c r="L497" s="79"/>
      <c r="M497" s="79"/>
      <c r="N497" s="80"/>
      <c r="O497" s="80"/>
      <c r="P497" s="47" t="n">
        <v>0</v>
      </c>
      <c r="Q497" s="66" t="s">
        <v>768</v>
      </c>
    </row>
    <row r="498" customFormat="false" ht="15" hidden="false" customHeight="false" outlineLevel="0" collapsed="false">
      <c r="A498" s="76" t="s">
        <v>205</v>
      </c>
      <c r="B498" s="76" t="s">
        <v>756</v>
      </c>
      <c r="C498" s="77" t="n">
        <v>2027</v>
      </c>
      <c r="D498" s="77" t="n">
        <v>3</v>
      </c>
      <c r="E498" s="78" t="n">
        <v>46325</v>
      </c>
      <c r="F498" s="76" t="s">
        <v>748</v>
      </c>
      <c r="G498" s="76" t="s">
        <v>749</v>
      </c>
      <c r="H498" s="76" t="s">
        <v>238</v>
      </c>
      <c r="I498" s="79"/>
      <c r="J498" s="79"/>
      <c r="K498" s="80" t="n">
        <v>0.93474</v>
      </c>
      <c r="L498" s="79"/>
      <c r="M498" s="79"/>
      <c r="N498" s="80"/>
      <c r="O498" s="80"/>
      <c r="P498" s="47" t="n">
        <v>0</v>
      </c>
      <c r="Q498" s="66" t="s">
        <v>769</v>
      </c>
    </row>
    <row r="499" customFormat="false" ht="15" hidden="false" customHeight="false" outlineLevel="0" collapsed="false">
      <c r="A499" s="76" t="s">
        <v>208</v>
      </c>
      <c r="B499" s="76" t="s">
        <v>747</v>
      </c>
      <c r="C499" s="77" t="n">
        <v>2026</v>
      </c>
      <c r="D499" s="77" t="n">
        <v>3</v>
      </c>
      <c r="E499" s="78" t="n">
        <v>46294</v>
      </c>
      <c r="F499" s="76" t="s">
        <v>748</v>
      </c>
      <c r="G499" s="76" t="s">
        <v>749</v>
      </c>
      <c r="H499" s="76" t="s">
        <v>238</v>
      </c>
      <c r="I499" s="79"/>
      <c r="J499" s="79"/>
      <c r="K499" s="80" t="n">
        <v>0.41452</v>
      </c>
      <c r="L499" s="79"/>
      <c r="M499" s="79"/>
      <c r="N499" s="80"/>
      <c r="O499" s="80"/>
      <c r="P499" s="47" t="n">
        <v>0</v>
      </c>
      <c r="Q499" s="66" t="s">
        <v>770</v>
      </c>
    </row>
    <row r="500" customFormat="false" ht="15" hidden="false" customHeight="false" outlineLevel="0" collapsed="false">
      <c r="A500" s="76" t="s">
        <v>212</v>
      </c>
      <c r="B500" s="76" t="s">
        <v>751</v>
      </c>
      <c r="C500" s="77" t="n">
        <v>2026</v>
      </c>
      <c r="D500" s="77" t="n">
        <v>4</v>
      </c>
      <c r="E500" s="78" t="n">
        <v>46294</v>
      </c>
      <c r="F500" s="76" t="s">
        <v>748</v>
      </c>
      <c r="G500" s="76" t="s">
        <v>749</v>
      </c>
      <c r="H500" s="76" t="s">
        <v>238</v>
      </c>
      <c r="I500" s="79"/>
      <c r="J500" s="79"/>
      <c r="K500" s="80" t="n">
        <v>2.1566</v>
      </c>
      <c r="L500" s="79"/>
      <c r="M500" s="79"/>
      <c r="N500" s="80"/>
      <c r="O500" s="80"/>
      <c r="P500" s="47" t="n">
        <v>0</v>
      </c>
      <c r="Q500" s="66" t="s">
        <v>771</v>
      </c>
    </row>
    <row r="501" customFormat="false" ht="15" hidden="false" customHeight="false" outlineLevel="0" collapsed="false">
      <c r="A501" s="76" t="s">
        <v>210</v>
      </c>
      <c r="B501" s="76" t="s">
        <v>756</v>
      </c>
      <c r="C501" s="77" t="n">
        <v>2027</v>
      </c>
      <c r="D501" s="77" t="n">
        <v>3</v>
      </c>
      <c r="E501" s="78" t="n">
        <v>46325</v>
      </c>
      <c r="F501" s="76" t="s">
        <v>748</v>
      </c>
      <c r="G501" s="76" t="s">
        <v>749</v>
      </c>
      <c r="H501" s="76" t="s">
        <v>238</v>
      </c>
      <c r="I501" s="79"/>
      <c r="J501" s="79"/>
      <c r="K501" s="80" t="n">
        <v>1.0557</v>
      </c>
      <c r="L501" s="79"/>
      <c r="M501" s="79"/>
      <c r="N501" s="80"/>
      <c r="O501" s="80"/>
      <c r="P501" s="47" t="n">
        <v>0</v>
      </c>
      <c r="Q501" s="66" t="s">
        <v>772</v>
      </c>
    </row>
    <row r="502" customFormat="false" ht="15" hidden="false" customHeight="false" outlineLevel="0" collapsed="false">
      <c r="A502" s="76" t="s">
        <v>184</v>
      </c>
      <c r="B502" s="76" t="s">
        <v>747</v>
      </c>
      <c r="C502" s="77" t="n">
        <v>2026</v>
      </c>
      <c r="D502" s="77" t="n">
        <v>3</v>
      </c>
      <c r="E502" s="78" t="n">
        <v>46294</v>
      </c>
      <c r="F502" s="76" t="s">
        <v>748</v>
      </c>
      <c r="G502" s="76" t="s">
        <v>749</v>
      </c>
      <c r="H502" s="76" t="s">
        <v>238</v>
      </c>
      <c r="I502" s="79"/>
      <c r="J502" s="79"/>
      <c r="K502" s="80" t="n">
        <v>2.05052</v>
      </c>
      <c r="L502" s="79"/>
      <c r="M502" s="79"/>
      <c r="N502" s="80"/>
      <c r="O502" s="80"/>
      <c r="P502" s="47" t="n">
        <v>0</v>
      </c>
      <c r="Q502" s="66" t="s">
        <v>773</v>
      </c>
    </row>
    <row r="504" customFormat="false" ht="15" hidden="false" customHeight="false" outlineLevel="0" collapsed="false">
      <c r="A504" s="81" t="s">
        <v>774</v>
      </c>
    </row>
    <row r="505" customFormat="false" ht="15" hidden="false" customHeight="false" outlineLevel="0" collapsed="false">
      <c r="A505" s="41" t="s">
        <v>775</v>
      </c>
    </row>
    <row r="506" customFormat="false" ht="15" hidden="false" customHeight="false" outlineLevel="0" collapsed="false">
      <c r="A506" s="82" t="s">
        <v>776</v>
      </c>
      <c r="C506" s="24" t="s">
        <v>777</v>
      </c>
    </row>
    <row r="507" customFormat="false" ht="15" hidden="false" customHeight="false" outlineLevel="0" collapsed="false">
      <c r="A507" s="82" t="s">
        <v>778</v>
      </c>
      <c r="C507" s="24" t="s">
        <v>777</v>
      </c>
    </row>
    <row r="508" customFormat="false" ht="15" hidden="false" customHeight="false" outlineLevel="0" collapsed="false">
      <c r="A508" s="82" t="s">
        <v>779</v>
      </c>
      <c r="C508" s="24" t="s">
        <v>777</v>
      </c>
    </row>
    <row r="509" customFormat="false" ht="15" hidden="false" customHeight="false" outlineLevel="0" collapsed="false">
      <c r="A509" s="82" t="s">
        <v>780</v>
      </c>
      <c r="C509" s="24" t="s">
        <v>777</v>
      </c>
    </row>
    <row r="510" customFormat="false" ht="15" hidden="false" customHeight="false" outlineLevel="0" collapsed="false">
      <c r="A510" s="82" t="s">
        <v>781</v>
      </c>
      <c r="C510" s="24" t="s">
        <v>777</v>
      </c>
    </row>
    <row r="511" customFormat="false" ht="15" hidden="false" customHeight="false" outlineLevel="0" collapsed="false">
      <c r="A511" s="82" t="s">
        <v>782</v>
      </c>
      <c r="C511" s="24" t="s">
        <v>783</v>
      </c>
    </row>
    <row r="512" customFormat="false" ht="15" hidden="false" customHeight="false" outlineLevel="0" collapsed="false">
      <c r="A512" s="82" t="s">
        <v>784</v>
      </c>
      <c r="C512" s="24" t="s">
        <v>783</v>
      </c>
    </row>
    <row r="513" customFormat="false" ht="15" hidden="false" customHeight="false" outlineLevel="0" collapsed="false">
      <c r="A513" s="82" t="s">
        <v>785</v>
      </c>
      <c r="C513" s="25" t="s">
        <v>786</v>
      </c>
    </row>
    <row r="514" customFormat="false" ht="15" hidden="false" customHeight="false" outlineLevel="0" collapsed="false">
      <c r="A514" s="82" t="s">
        <v>787</v>
      </c>
      <c r="C514" s="24" t="s">
        <v>788</v>
      </c>
    </row>
    <row r="515" customFormat="false" ht="15" hidden="false" customHeight="false" outlineLevel="0" collapsed="false">
      <c r="A515" s="82" t="s">
        <v>789</v>
      </c>
      <c r="C515" s="24" t="s">
        <v>790</v>
      </c>
    </row>
    <row r="516" customFormat="false" ht="15" hidden="false" customHeight="false" outlineLevel="0" collapsed="false">
      <c r="A516" s="82" t="s">
        <v>791</v>
      </c>
      <c r="C516" s="25" t="s">
        <v>792</v>
      </c>
    </row>
    <row r="517" customFormat="false" ht="15" hidden="false" customHeight="false" outlineLevel="0" collapsed="false">
      <c r="A517" s="82" t="s">
        <v>793</v>
      </c>
      <c r="C517" s="24" t="s">
        <v>794</v>
      </c>
    </row>
    <row r="518" customFormat="false" ht="15" hidden="false" customHeight="false" outlineLevel="0" collapsed="false">
      <c r="A518" s="82" t="s">
        <v>795</v>
      </c>
      <c r="C518" s="25" t="s">
        <v>796</v>
      </c>
    </row>
    <row r="519" customFormat="false" ht="15" hidden="false" customHeight="false" outlineLevel="0" collapsed="false">
      <c r="A519" s="82" t="s">
        <v>797</v>
      </c>
      <c r="C519" s="24" t="s">
        <v>47</v>
      </c>
    </row>
    <row r="520" customFormat="false" ht="15" hidden="false" customHeight="false" outlineLevel="0" collapsed="false">
      <c r="A520" s="82" t="s">
        <v>798</v>
      </c>
      <c r="C520" s="24" t="s">
        <v>799</v>
      </c>
    </row>
    <row r="522" customFormat="false" ht="15" hidden="false" customHeight="false" outlineLevel="0" collapsed="false">
      <c r="A522" s="24" t="s">
        <v>800</v>
      </c>
    </row>
  </sheetData>
  <autoFilter ref="A1:Q5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4" t="s">
        <v>155</v>
      </c>
      <c r="B1" s="14" t="s">
        <v>801</v>
      </c>
      <c r="C1" s="14" t="s">
        <v>802</v>
      </c>
      <c r="D1" s="14" t="s">
        <v>803</v>
      </c>
      <c r="E1" s="14" t="s">
        <v>804</v>
      </c>
      <c r="F1" s="14" t="s">
        <v>805</v>
      </c>
    </row>
    <row r="2" customFormat="false" ht="15" hidden="false" customHeight="false" outlineLevel="0" collapsed="false">
      <c r="A2" s="76" t="s">
        <v>175</v>
      </c>
      <c r="B2" s="80" t="n">
        <v>0.68</v>
      </c>
      <c r="C2" s="80" t="n">
        <v>4.602</v>
      </c>
      <c r="D2" s="78" t="n">
        <v>46387</v>
      </c>
      <c r="E2" s="77" t="n">
        <v>6</v>
      </c>
      <c r="F2" s="78" t="n">
        <v>46280</v>
      </c>
    </row>
    <row r="3" customFormat="false" ht="15" hidden="false" customHeight="false" outlineLevel="0" collapsed="false">
      <c r="A3" s="76" t="s">
        <v>84</v>
      </c>
      <c r="B3" s="80" t="n">
        <v>8.81483</v>
      </c>
      <c r="C3" s="80" t="n">
        <v>9.57579</v>
      </c>
      <c r="D3" s="78" t="n">
        <v>46295</v>
      </c>
      <c r="E3" s="77" t="n">
        <v>27</v>
      </c>
      <c r="F3" s="78" t="n">
        <v>46280</v>
      </c>
    </row>
    <row r="4" customFormat="false" ht="15" hidden="false" customHeight="false" outlineLevel="0" collapsed="false">
      <c r="A4" s="76" t="s">
        <v>199</v>
      </c>
      <c r="B4" s="80" t="n">
        <v>12.89405</v>
      </c>
      <c r="C4" s="80" t="n">
        <v>10.49168</v>
      </c>
      <c r="D4" s="78" t="n">
        <v>46387</v>
      </c>
      <c r="E4" s="77" t="n">
        <v>44</v>
      </c>
      <c r="F4" s="78" t="n">
        <v>46280</v>
      </c>
    </row>
    <row r="5" customFormat="false" ht="15" hidden="false" customHeight="false" outlineLevel="0" collapsed="false">
      <c r="A5" s="76" t="s">
        <v>214</v>
      </c>
      <c r="B5" s="80" t="n">
        <v>11.65766</v>
      </c>
      <c r="C5" s="80" t="n">
        <v>19.38391</v>
      </c>
      <c r="D5" s="78" t="n">
        <v>46326</v>
      </c>
      <c r="E5" s="77" t="n">
        <v>39</v>
      </c>
      <c r="F5" s="78" t="n">
        <v>46280</v>
      </c>
    </row>
    <row r="6" customFormat="false" ht="15" hidden="false" customHeight="false" outlineLevel="0" collapsed="false">
      <c r="A6" s="76" t="s">
        <v>196</v>
      </c>
      <c r="B6" s="80" t="n">
        <v>12.11777</v>
      </c>
      <c r="C6" s="80" t="n">
        <v>13.34165</v>
      </c>
      <c r="D6" s="78" t="n">
        <v>46387</v>
      </c>
      <c r="E6" s="77" t="n">
        <v>10</v>
      </c>
      <c r="F6" s="78" t="n">
        <v>46280</v>
      </c>
    </row>
    <row r="7" customFormat="false" ht="15" hidden="false" customHeight="false" outlineLevel="0" collapsed="false">
      <c r="A7" s="76" t="s">
        <v>191</v>
      </c>
      <c r="B7" s="80" t="n">
        <v>1.25609</v>
      </c>
      <c r="C7" s="80" t="n">
        <v>1.60591</v>
      </c>
      <c r="D7" s="78" t="n">
        <v>46418</v>
      </c>
      <c r="E7" s="77" t="n">
        <v>45</v>
      </c>
      <c r="F7" s="78" t="n">
        <v>46280</v>
      </c>
    </row>
    <row r="8" customFormat="false" ht="15" hidden="false" customHeight="false" outlineLevel="0" collapsed="false">
      <c r="A8" s="76" t="s">
        <v>187</v>
      </c>
      <c r="B8" s="80" t="n">
        <v>25.88376</v>
      </c>
      <c r="C8" s="80" t="n">
        <v>24.66365</v>
      </c>
      <c r="D8" s="78" t="n">
        <v>46418</v>
      </c>
      <c r="E8" s="77" t="n">
        <v>23</v>
      </c>
      <c r="F8" s="78" t="n">
        <v>46280</v>
      </c>
    </row>
    <row r="9" customFormat="false" ht="15" hidden="false" customHeight="false" outlineLevel="0" collapsed="false">
      <c r="A9" s="76" t="s">
        <v>189</v>
      </c>
      <c r="B9" s="80" t="n">
        <v>3.225</v>
      </c>
      <c r="C9" s="80" t="n">
        <v>5.85</v>
      </c>
      <c r="D9" s="78" t="n">
        <v>46387</v>
      </c>
      <c r="E9" s="77" t="n">
        <v>2</v>
      </c>
      <c r="F9" s="78" t="n">
        <v>46280</v>
      </c>
    </row>
    <row r="10" customFormat="false" ht="15" hidden="false" customHeight="false" outlineLevel="0" collapsed="false">
      <c r="A10" s="76" t="s">
        <v>216</v>
      </c>
      <c r="B10" s="80" t="n">
        <v>3.45008</v>
      </c>
      <c r="C10" s="80" t="n">
        <v>3.77777</v>
      </c>
      <c r="D10" s="78" t="n">
        <v>46387</v>
      </c>
      <c r="E10" s="77" t="n">
        <v>38</v>
      </c>
      <c r="F10" s="78" t="n">
        <v>46280</v>
      </c>
    </row>
    <row r="11" customFormat="false" ht="15" hidden="false" customHeight="false" outlineLevel="0" collapsed="false">
      <c r="A11" s="76" t="s">
        <v>202</v>
      </c>
      <c r="B11" s="80" t="n">
        <v>20.60438</v>
      </c>
      <c r="C11" s="80" t="n">
        <v>14.85683</v>
      </c>
      <c r="D11" s="78" t="n">
        <v>46387</v>
      </c>
      <c r="E11" s="77" t="n">
        <v>39</v>
      </c>
      <c r="F11" s="78" t="n">
        <v>46280</v>
      </c>
    </row>
    <row r="12" customFormat="false" ht="15" hidden="false" customHeight="false" outlineLevel="0" collapsed="false">
      <c r="A12" s="76" t="s">
        <v>179</v>
      </c>
      <c r="B12" s="80" t="n">
        <v>4.21276</v>
      </c>
      <c r="C12" s="80" t="n">
        <v>6.7608</v>
      </c>
      <c r="D12" s="78" t="n">
        <v>46418</v>
      </c>
      <c r="E12" s="77" t="n">
        <v>33</v>
      </c>
      <c r="F12" s="78" t="n">
        <v>46280</v>
      </c>
    </row>
    <row r="13" customFormat="false" ht="15" hidden="false" customHeight="false" outlineLevel="0" collapsed="false">
      <c r="A13" s="76" t="s">
        <v>169</v>
      </c>
      <c r="B13" s="80" t="n">
        <v>19.75972</v>
      </c>
      <c r="C13" s="80" t="n">
        <v>23.59268</v>
      </c>
      <c r="D13" s="78" t="n">
        <v>46568</v>
      </c>
      <c r="E13" s="77" t="n">
        <v>25</v>
      </c>
      <c r="F13" s="78" t="n">
        <v>46280</v>
      </c>
    </row>
    <row r="14" customFormat="false" ht="15" hidden="false" customHeight="false" outlineLevel="0" collapsed="false">
      <c r="A14" s="76" t="s">
        <v>182</v>
      </c>
      <c r="B14" s="80" t="n">
        <v>73.43877</v>
      </c>
      <c r="C14" s="80" t="n">
        <v>156.06607</v>
      </c>
      <c r="D14" s="78" t="n">
        <v>46265</v>
      </c>
      <c r="E14" s="77" t="n">
        <v>31</v>
      </c>
      <c r="F14" s="78" t="n">
        <v>46280</v>
      </c>
    </row>
    <row r="15" customFormat="false" ht="15" hidden="false" customHeight="false" outlineLevel="0" collapsed="false">
      <c r="A15" s="76" t="s">
        <v>193</v>
      </c>
      <c r="B15" s="80" t="n">
        <v>1.26316</v>
      </c>
      <c r="C15" s="80" t="n">
        <v>1.67614</v>
      </c>
      <c r="D15" s="78" t="n">
        <v>46387</v>
      </c>
      <c r="E15" s="77" t="n">
        <v>29</v>
      </c>
      <c r="F15" s="78" t="n">
        <v>46280</v>
      </c>
    </row>
    <row r="16" customFormat="false" ht="15" hidden="false" customHeight="false" outlineLevel="0" collapsed="false">
      <c r="A16" s="76" t="s">
        <v>172</v>
      </c>
      <c r="B16" s="80" t="n">
        <v>9.30687</v>
      </c>
      <c r="C16" s="80" t="n">
        <v>15.61489</v>
      </c>
      <c r="D16" s="78" t="n">
        <v>46418</v>
      </c>
      <c r="E16" s="77" t="n">
        <v>42</v>
      </c>
      <c r="F16" s="78" t="n">
        <v>46280</v>
      </c>
    </row>
    <row r="17" customFormat="false" ht="15" hidden="false" customHeight="false" outlineLevel="0" collapsed="false">
      <c r="A17" s="76" t="s">
        <v>205</v>
      </c>
      <c r="B17" s="80" t="n">
        <v>3.92899</v>
      </c>
      <c r="C17" s="80" t="n">
        <v>4.37848</v>
      </c>
      <c r="D17" s="78" t="n">
        <v>46418</v>
      </c>
      <c r="E17" s="77" t="n">
        <v>41</v>
      </c>
      <c r="F17" s="78" t="n">
        <v>46280</v>
      </c>
    </row>
    <row r="18" customFormat="false" ht="15" hidden="false" customHeight="false" outlineLevel="0" collapsed="false">
      <c r="A18" s="76" t="s">
        <v>208</v>
      </c>
      <c r="B18" s="80" t="n">
        <v>1.60736</v>
      </c>
      <c r="C18" s="80" t="n">
        <v>2.32299</v>
      </c>
      <c r="D18" s="78" t="n">
        <v>46387</v>
      </c>
      <c r="E18" s="77" t="n">
        <v>23</v>
      </c>
      <c r="F18" s="78" t="n">
        <v>46280</v>
      </c>
    </row>
    <row r="19" customFormat="false" ht="15" hidden="false" customHeight="false" outlineLevel="0" collapsed="false">
      <c r="A19" s="76" t="s">
        <v>212</v>
      </c>
      <c r="B19" s="80" t="n">
        <v>10.48422</v>
      </c>
      <c r="C19" s="80" t="n">
        <v>10.20401</v>
      </c>
      <c r="D19" s="78" t="n">
        <v>46295</v>
      </c>
      <c r="E19" s="77" t="n">
        <v>26</v>
      </c>
      <c r="F19" s="78" t="n">
        <v>46280</v>
      </c>
    </row>
    <row r="20" customFormat="false" ht="15" hidden="false" customHeight="false" outlineLevel="0" collapsed="false">
      <c r="A20" s="76" t="s">
        <v>210</v>
      </c>
      <c r="B20" s="80" t="n">
        <v>3.47422</v>
      </c>
      <c r="C20" s="80" t="n">
        <v>5.83561</v>
      </c>
      <c r="D20" s="78" t="n">
        <v>46418</v>
      </c>
      <c r="E20" s="77" t="n">
        <v>14</v>
      </c>
      <c r="F20" s="78" t="n">
        <v>46280</v>
      </c>
    </row>
    <row r="21" customFormat="false" ht="15" hidden="false" customHeight="false" outlineLevel="0" collapsed="false">
      <c r="A21" s="76" t="s">
        <v>184</v>
      </c>
      <c r="B21" s="80" t="n">
        <v>9.09129</v>
      </c>
      <c r="C21" s="80" t="n">
        <v>11.65247</v>
      </c>
      <c r="D21" s="78" t="n">
        <v>46387</v>
      </c>
      <c r="E21" s="77" t="n">
        <v>15</v>
      </c>
      <c r="F21" s="78" t="n">
        <v>46280</v>
      </c>
    </row>
    <row r="23" customFormat="false" ht="15" hidden="false" customHeight="false" outlineLevel="0" collapsed="false">
      <c r="A23" s="25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4" t="s">
        <v>155</v>
      </c>
      <c r="B1" s="14" t="s">
        <v>807</v>
      </c>
      <c r="C1" s="14" t="s">
        <v>808</v>
      </c>
      <c r="D1" s="14" t="s">
        <v>809</v>
      </c>
      <c r="E1" s="14" t="s">
        <v>805</v>
      </c>
    </row>
    <row r="2" customFormat="false" ht="15" hidden="false" customHeight="false" outlineLevel="0" collapsed="false">
      <c r="A2" s="76" t="s">
        <v>175</v>
      </c>
      <c r="B2" s="80" t="n">
        <v>96.3499984741211</v>
      </c>
      <c r="C2" s="78" t="n">
        <v>46280</v>
      </c>
      <c r="D2" s="78" t="n">
        <v>46331</v>
      </c>
      <c r="E2" s="78" t="n">
        <v>46280</v>
      </c>
    </row>
    <row r="3" customFormat="false" ht="15" hidden="false" customHeight="false" outlineLevel="0" collapsed="false">
      <c r="A3" s="76" t="s">
        <v>84</v>
      </c>
      <c r="B3" s="80" t="n">
        <v>329.359985351563</v>
      </c>
      <c r="C3" s="78" t="n">
        <v>46280</v>
      </c>
      <c r="D3" s="78" t="n">
        <v>46324</v>
      </c>
      <c r="E3" s="78" t="n">
        <v>46280</v>
      </c>
    </row>
    <row r="4" customFormat="false" ht="15" hidden="false" customHeight="false" outlineLevel="0" collapsed="false">
      <c r="A4" s="76" t="s">
        <v>199</v>
      </c>
      <c r="B4" s="80" t="n">
        <v>248.929992675781</v>
      </c>
      <c r="C4" s="78" t="n">
        <v>46280</v>
      </c>
      <c r="D4" s="78" t="n">
        <v>46324</v>
      </c>
      <c r="E4" s="78" t="n">
        <v>46280</v>
      </c>
    </row>
    <row r="5" customFormat="false" ht="15" hidden="false" customHeight="false" outlineLevel="0" collapsed="false">
      <c r="A5" s="76" t="s">
        <v>214</v>
      </c>
      <c r="B5" s="80" t="n">
        <v>341.700012207031</v>
      </c>
      <c r="C5" s="78" t="n">
        <v>46280</v>
      </c>
      <c r="D5" s="78" t="n">
        <v>46365</v>
      </c>
      <c r="E5" s="78" t="n">
        <v>46280</v>
      </c>
    </row>
    <row r="6" customFormat="false" ht="15" hidden="false" customHeight="false" outlineLevel="0" collapsed="false">
      <c r="A6" s="76" t="s">
        <v>196</v>
      </c>
      <c r="B6" s="80" t="n">
        <v>261.25</v>
      </c>
      <c r="C6" s="78" t="n">
        <v>46280</v>
      </c>
      <c r="D6" s="78" t="n">
        <v>46335</v>
      </c>
      <c r="E6" s="78" t="n">
        <v>46280</v>
      </c>
    </row>
    <row r="7" customFormat="false" ht="15" hidden="false" customHeight="false" outlineLevel="0" collapsed="false">
      <c r="A7" s="76" t="s">
        <v>191</v>
      </c>
      <c r="B7" s="80" t="n">
        <v>238.229995727539</v>
      </c>
      <c r="C7" s="78" t="n">
        <v>46280</v>
      </c>
      <c r="D7" s="78" t="n">
        <v>46357</v>
      </c>
      <c r="E7" s="78" t="n">
        <v>46280</v>
      </c>
    </row>
    <row r="8" customFormat="false" ht="15" hidden="false" customHeight="false" outlineLevel="0" collapsed="false">
      <c r="A8" s="76" t="s">
        <v>187</v>
      </c>
      <c r="B8" s="80" t="n">
        <v>555.690124511719</v>
      </c>
      <c r="C8" s="78" t="n">
        <v>46280</v>
      </c>
      <c r="D8" s="78" t="n">
        <v>46353</v>
      </c>
      <c r="E8" s="78" t="n">
        <v>46280</v>
      </c>
    </row>
    <row r="9" customFormat="false" ht="15" hidden="false" customHeight="false" outlineLevel="0" collapsed="false">
      <c r="A9" s="76" t="s">
        <v>189</v>
      </c>
      <c r="B9" s="80" t="n">
        <v>87.5299987792969</v>
      </c>
      <c r="C9" s="78" t="n">
        <v>46280</v>
      </c>
      <c r="D9" s="78" t="n">
        <v>46331</v>
      </c>
      <c r="E9" s="78" t="n">
        <v>46280</v>
      </c>
    </row>
    <row r="10" customFormat="false" ht="15" hidden="false" customHeight="false" outlineLevel="0" collapsed="false">
      <c r="A10" s="76" t="s">
        <v>216</v>
      </c>
      <c r="B10" s="80" t="n">
        <v>170.179992675781</v>
      </c>
      <c r="C10" s="78" t="n">
        <v>46280</v>
      </c>
      <c r="D10" s="78" t="n">
        <v>46330</v>
      </c>
      <c r="E10" s="78" t="n">
        <v>46280</v>
      </c>
    </row>
    <row r="11" customFormat="false" ht="15" hidden="false" customHeight="false" outlineLevel="0" collapsed="false">
      <c r="A11" s="76" t="s">
        <v>202</v>
      </c>
      <c r="B11" s="80" t="n">
        <v>340.739990234375</v>
      </c>
      <c r="C11" s="78" t="n">
        <v>46280</v>
      </c>
      <c r="D11" s="78" t="n">
        <v>46323</v>
      </c>
      <c r="E11" s="78" t="n">
        <v>46280</v>
      </c>
    </row>
    <row r="12" customFormat="false" ht="15" hidden="false" customHeight="false" outlineLevel="0" collapsed="false">
      <c r="A12" s="76" t="s">
        <v>179</v>
      </c>
      <c r="B12" s="80" t="n">
        <v>224.320007324219</v>
      </c>
      <c r="C12" s="78" t="n">
        <v>46280</v>
      </c>
      <c r="D12" s="78" t="n">
        <v>46357</v>
      </c>
      <c r="E12" s="78" t="n">
        <v>46280</v>
      </c>
    </row>
    <row r="13" customFormat="false" ht="15" hidden="false" customHeight="false" outlineLevel="0" collapsed="false">
      <c r="A13" s="76" t="s">
        <v>169</v>
      </c>
      <c r="B13" s="80" t="n">
        <v>500.839996337891</v>
      </c>
      <c r="C13" s="78" t="n">
        <v>46280</v>
      </c>
      <c r="D13" s="78" t="n">
        <v>46323</v>
      </c>
      <c r="E13" s="78" t="n">
        <v>46280</v>
      </c>
    </row>
    <row r="14" customFormat="false" ht="15" hidden="false" customHeight="false" outlineLevel="0" collapsed="false">
      <c r="A14" s="76" t="s">
        <v>182</v>
      </c>
      <c r="B14" s="80" t="n">
        <v>932.77001953125</v>
      </c>
      <c r="C14" s="78" t="n">
        <v>46280</v>
      </c>
      <c r="D14" s="78" t="n">
        <v>46295</v>
      </c>
      <c r="E14" s="78" t="n">
        <v>46280</v>
      </c>
    </row>
    <row r="15" customFormat="false" ht="15" hidden="false" customHeight="false" outlineLevel="0" collapsed="false">
      <c r="A15" s="76" t="s">
        <v>193</v>
      </c>
      <c r="B15" s="80" t="n">
        <v>327.565002441406</v>
      </c>
      <c r="C15" s="78" t="n">
        <v>46280</v>
      </c>
      <c r="D15" s="78" t="n">
        <v>46324</v>
      </c>
      <c r="E15" s="78" t="n">
        <v>46280</v>
      </c>
    </row>
    <row r="16" customFormat="false" ht="15" hidden="false" customHeight="false" outlineLevel="0" collapsed="false">
      <c r="A16" s="76" t="s">
        <v>172</v>
      </c>
      <c r="B16" s="80" t="n">
        <v>212.270004272461</v>
      </c>
      <c r="C16" s="78" t="n">
        <v>46280</v>
      </c>
      <c r="D16" s="78" t="n">
        <v>46343</v>
      </c>
      <c r="E16" s="78" t="n">
        <v>46280</v>
      </c>
    </row>
    <row r="17" customFormat="false" ht="15" hidden="false" customHeight="false" outlineLevel="0" collapsed="false">
      <c r="A17" s="76" t="s">
        <v>205</v>
      </c>
      <c r="B17" s="80" t="n">
        <v>187.755004882813</v>
      </c>
      <c r="C17" s="78" t="n">
        <v>46280</v>
      </c>
      <c r="D17" s="78" t="n">
        <v>46357</v>
      </c>
      <c r="E17" s="78" t="n">
        <v>46280</v>
      </c>
    </row>
    <row r="18" customFormat="false" ht="15" hidden="false" customHeight="false" outlineLevel="0" collapsed="false">
      <c r="A18" s="76" t="s">
        <v>208</v>
      </c>
      <c r="B18" s="80" t="n">
        <v>171.809997558594</v>
      </c>
      <c r="C18" s="78" t="n">
        <v>46280</v>
      </c>
      <c r="D18" s="78" t="n">
        <v>46328</v>
      </c>
      <c r="E18" s="78" t="n">
        <v>46280</v>
      </c>
    </row>
    <row r="19" customFormat="false" ht="15" hidden="false" customHeight="false" outlineLevel="0" collapsed="false">
      <c r="A19" s="76" t="s">
        <v>212</v>
      </c>
      <c r="B19" s="80" t="n">
        <v>187.162506103516</v>
      </c>
      <c r="C19" s="78" t="n">
        <v>46280</v>
      </c>
      <c r="D19" s="78" t="n">
        <v>46324</v>
      </c>
      <c r="E19" s="78" t="n">
        <v>46280</v>
      </c>
    </row>
    <row r="20" customFormat="false" ht="15" hidden="false" customHeight="false" outlineLevel="0" collapsed="false">
      <c r="A20" s="76" t="s">
        <v>210</v>
      </c>
      <c r="B20" s="80" t="n">
        <v>151.039993286133</v>
      </c>
      <c r="C20" s="78" t="n">
        <v>46280</v>
      </c>
      <c r="D20" s="78" t="n">
        <v>46349</v>
      </c>
      <c r="E20" s="78" t="n">
        <v>46280</v>
      </c>
    </row>
    <row r="21" customFormat="false" ht="15" hidden="false" customHeight="false" outlineLevel="0" collapsed="false">
      <c r="A21" s="76" t="s">
        <v>184</v>
      </c>
      <c r="B21" s="80" t="n">
        <v>328.125</v>
      </c>
      <c r="C21" s="78" t="n">
        <v>46280</v>
      </c>
      <c r="D21" s="78" t="n">
        <v>46316</v>
      </c>
      <c r="E21" s="78" t="n">
        <v>46280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5" min="14" style="0" width="8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22" min="19" style="0" width="13"/>
    <col collapsed="false" customWidth="true" hidden="false" outlineLevel="0" max="23" min="23" style="0" width="14"/>
    <col collapsed="false" customWidth="true" hidden="false" outlineLevel="0" max="25" min="24" style="0" width="13"/>
    <col collapsed="false" customWidth="true" hidden="false" outlineLevel="0" max="26" min="26" style="0" width="11"/>
    <col collapsed="false" customWidth="true" hidden="false" outlineLevel="0" max="27" min="27" style="0" width="12"/>
    <col collapsed="false" customWidth="true" hidden="false" outlineLevel="0" max="28" min="28" style="0" width="15"/>
    <col collapsed="false" customWidth="true" hidden="false" outlineLevel="0" max="29" min="29" style="0" width="12"/>
    <col collapsed="false" customWidth="true" hidden="false" outlineLevel="0" max="30" min="30" style="0" width="10"/>
    <col collapsed="false" customWidth="true" hidden="false" outlineLevel="0" max="31" min="31" style="0" width="13"/>
    <col collapsed="false" customWidth="true" hidden="false" outlineLevel="0" max="32" min="32" style="0" width="10"/>
    <col collapsed="false" customWidth="true" hidden="false" outlineLevel="0" max="37" min="33" style="0" width="11"/>
    <col collapsed="false" customWidth="true" hidden="false" outlineLevel="0" max="38" min="38" style="0" width="10"/>
    <col collapsed="false" customWidth="true" hidden="false" outlineLevel="0" max="39" min="39" style="0" width="12"/>
    <col collapsed="false" customWidth="true" hidden="false" outlineLevel="0" max="40" min="40" style="0" width="11"/>
    <col collapsed="false" customWidth="true" hidden="true" outlineLevel="0" max="45" min="41" style="0" width="12"/>
  </cols>
  <sheetData>
    <row r="1" customFormat="false" ht="31.5" hidden="false" customHeight="true" outlineLevel="0" collapsed="false">
      <c r="A1" s="14" t="s">
        <v>155</v>
      </c>
      <c r="B1" s="15" t="s">
        <v>53</v>
      </c>
      <c r="C1" s="15" t="s">
        <v>54</v>
      </c>
      <c r="D1" s="15" t="s">
        <v>55</v>
      </c>
      <c r="E1" s="14" t="s">
        <v>810</v>
      </c>
      <c r="F1" s="14" t="s">
        <v>811</v>
      </c>
      <c r="G1" s="14" t="s">
        <v>812</v>
      </c>
      <c r="H1" s="14" t="s">
        <v>813</v>
      </c>
      <c r="I1" s="14" t="s">
        <v>68</v>
      </c>
      <c r="J1" s="14" t="s">
        <v>56</v>
      </c>
      <c r="K1" s="14" t="s">
        <v>814</v>
      </c>
      <c r="L1" s="14" t="s">
        <v>815</v>
      </c>
      <c r="M1" s="14" t="s">
        <v>816</v>
      </c>
      <c r="N1" s="14" t="s">
        <v>58</v>
      </c>
      <c r="O1" s="14" t="s">
        <v>59</v>
      </c>
      <c r="P1" s="14" t="s">
        <v>817</v>
      </c>
      <c r="Q1" s="15" t="s">
        <v>47</v>
      </c>
      <c r="R1" s="15" t="s">
        <v>60</v>
      </c>
      <c r="S1" s="15" t="s">
        <v>818</v>
      </c>
      <c r="T1" s="15" t="s">
        <v>819</v>
      </c>
      <c r="U1" s="15" t="s">
        <v>820</v>
      </c>
      <c r="V1" s="15" t="s">
        <v>821</v>
      </c>
      <c r="W1" s="15" t="s">
        <v>64</v>
      </c>
      <c r="X1" s="15" t="s">
        <v>65</v>
      </c>
      <c r="Y1" s="14" t="s">
        <v>822</v>
      </c>
      <c r="Z1" s="15" t="s">
        <v>823</v>
      </c>
      <c r="AA1" s="15" t="s">
        <v>824</v>
      </c>
      <c r="AB1" s="14" t="s">
        <v>825</v>
      </c>
      <c r="AC1" s="14" t="s">
        <v>71</v>
      </c>
      <c r="AD1" s="15" t="s">
        <v>106</v>
      </c>
      <c r="AE1" s="15" t="s">
        <v>826</v>
      </c>
      <c r="AF1" s="14" t="s">
        <v>72</v>
      </c>
      <c r="AG1" s="14" t="s">
        <v>73</v>
      </c>
      <c r="AH1" s="14" t="s">
        <v>827</v>
      </c>
      <c r="AI1" s="15" t="s">
        <v>75</v>
      </c>
      <c r="AJ1" s="15" t="s">
        <v>76</v>
      </c>
      <c r="AK1" s="15" t="s">
        <v>828</v>
      </c>
      <c r="AL1" s="15" t="s">
        <v>86</v>
      </c>
      <c r="AM1" s="15" t="s">
        <v>87</v>
      </c>
      <c r="AN1" s="15" t="s">
        <v>88</v>
      </c>
      <c r="AO1" s="14" t="s">
        <v>829</v>
      </c>
      <c r="AP1" s="14" t="s">
        <v>830</v>
      </c>
      <c r="AQ1" s="14" t="s">
        <v>831</v>
      </c>
      <c r="AR1" s="14" t="s">
        <v>832</v>
      </c>
      <c r="AS1" s="14" t="s">
        <v>833</v>
      </c>
    </row>
    <row r="2" customFormat="false" ht="15" hidden="false" customHeight="false" outlineLevel="0" collapsed="false">
      <c r="A2" s="16" t="str">
        <f aca="false">IF(Tickers!A2="","",Tickers!A2)</f>
        <v>AAPL</v>
      </c>
      <c r="B2" s="66" t="str">
        <f aca="false">IF($A2="","",IFERROR(INDEX(Tickers!$B$2:$B$100,MATCH($A2,Tickers!$A$2:$A$100,0)),""))</f>
        <v>Apple Inc.</v>
      </c>
      <c r="C2" s="66" t="n">
        <f aca="false">IF($A2="","",IFERROR(INDEX(Tickers!$D$2:$D$100,MATCH($A2,Tickers!$A$2:$A$100,0)),""))</f>
        <v>0</v>
      </c>
      <c r="D2" s="51" t="n">
        <f aca="false">IF($A2="","",IFERROR(INDEX(Raw_Price!$B$2:$B$100,MATCH($A2,Raw_Price!$A$2:$A$100,0)),""))</f>
        <v>329.359985351563</v>
      </c>
      <c r="E2" s="48" t="n">
        <f aca="false">IF($A2="","",IFERROR(SUMIFS(Raw_Q!$I$2:$I$600,Raw_Q!$A$2:$A$600,$A2,Raw_Q!$P$2:$P$600,"&gt;=1",Raw_Q!$P$2:$P$600,"&lt;=4"),""))</f>
        <v>466823</v>
      </c>
      <c r="F2" s="51" t="n">
        <f aca="false">IF($A2="","",IFERROR(SUMIFS(Raw_Q!$K$2:$K$600,Raw_Q!$A$2:$A$600,$A2,Raw_Q!$P$2:$P$600,"&gt;=1",Raw_Q!$P$2:$P$600,"&lt;=4"),""))</f>
        <v>8.72</v>
      </c>
      <c r="G2" s="51" t="n">
        <f aca="false">IF($A2="","",IFERROR(SUMIFS(Raw_Q!$K$2:$K$600,Raw_Q!$A$2:$A$600,$A2,Raw_Q!$P$2:$P$600,"&gt;=0",Raw_Q!$P$2:$P$600,"&lt;=3"),""))</f>
        <v>8.84656</v>
      </c>
      <c r="H2" s="51" t="n">
        <f aca="true">IF($A2="","",IFERROR(INDEX(Raw_Est!$B$2:$B$100,MATCH($A2,Raw_Est!$A$2:$A$100,0))*MIN(1,MAX(0,(INDEX(Raw_Est!$D$2:$D$100,MATCH($A2,Raw_Est!$A$2:$A$100,0))-TODAY())/Config!$B$8))+INDEX(Raw_Est!$C$2:$C$100,MATCH($A2,Raw_Est!$A$2:$A$100,0))*(1-MIN(1,MAX(0,(INDEX(Raw_Est!$D$2:$D$100,MATCH($A2,Raw_Est!$A$2:$A$100,0))-TODAY())/Config!$B$8))),""))</f>
        <v>9.54451767123288</v>
      </c>
      <c r="I2" s="49" t="n">
        <f aca="false">IF($A2="","",IFERROR(SUMIFS(Raw_Q!$K$2:$K$600,Raw_Q!$A$2:$A$600,$A2,Raw_Q!$P$2:$P$600,"&gt;=1",Raw_Q!$P$2:$P$600,"&lt;=4")/SUMIFS(Raw_Q!$K$2:$K$600,Raw_Q!$A$2:$A$600,$A2,Raw_Q!$P$2:$P$600,"&gt;=5",Raw_Q!$P$2:$P$600,"&lt;=8")-1,""))</f>
        <v>0.323216995447648</v>
      </c>
      <c r="J2" s="52" t="n">
        <f aca="false">IF($A2="","",IFERROR(IF(F2&lt;=0,"N/M",D2/F2),"N/M"))</f>
        <v>37.7706405219682</v>
      </c>
      <c r="K2" s="52" t="n">
        <f aca="false">IF($A2="","",IFERROR(IF(G2&lt;=0,"N/M",D2/G2),"N/M"))</f>
        <v>37.2302889882127</v>
      </c>
      <c r="L2" s="52" t="n">
        <f aca="false">IF($A2="","",IFERROR(IF(H2&lt;=0,"N/M",D2/H2),"N/M"))</f>
        <v>34.5077663111518</v>
      </c>
      <c r="M2" s="49" t="n">
        <f aca="false">IF($A2="","",IFERROR(INDEX(Raw_Est!$C$2:$C$100,MATCH($A2,Raw_Est!$A$2:$A$100,0))/INDEX(Raw_Est!$B$2:$B$100,MATCH($A2,Raw_Est!$A$2:$A$100,0))-1,""))</f>
        <v>0.0863272462429789</v>
      </c>
      <c r="N2" s="51" t="n">
        <f aca="false">IF($A2="","",IFERROR(IF(OR(NOT(ISNUMBER(J2)),I2&lt;Config!$B$6),"N/M",J2/(I2*100)),"N/M"))</f>
        <v>1.16858460582052</v>
      </c>
      <c r="O2" s="51" t="n">
        <f aca="false">IF($A2="","",IFERROR(IF(OR(NOT(ISNUMBER(L2)),M2&lt;Config!$B$6),"N/M",L2/(M2*100)),"N/M"))</f>
        <v>3.99732040728199</v>
      </c>
      <c r="P2" s="51" t="n">
        <f aca="false">IF($A2="","",IFERROR(SUMIFS(Raw_Q!$N$2:$N$600,Raw_Q!$A$2:$A$600,$A2,Raw_Q!$P$2:$P$600,"&gt;=1",Raw_Q!$P$2:$P$600,"&lt;=4"),""))</f>
        <v>1.05</v>
      </c>
      <c r="Q2" s="49" t="n">
        <f aca="false">IF($A2="","",IFERROR(IF(P2=0,"不配息",P2/D2),""))</f>
        <v>0.00318800111336906</v>
      </c>
      <c r="R2" s="49" t="n">
        <f aca="false">IF($A2="","",IFERROR(IF(SUMIFS(Raw_Q!$N$2:$N$600,Raw_Q!$A$2:$A$600,$A2,Raw_Q!$P$2:$P$600,"&gt;=5",Raw_Q!$P$2:$P$600,"&lt;=8")=0,"",SUMIFS(Raw_Q!$N$2:$N$600,Raw_Q!$A$2:$A$600,$A2,Raw_Q!$P$2:$P$600,"&gt;=1",Raw_Q!$P$2:$P$600,"&lt;=4")/SUMIFS(Raw_Q!$N$2:$N$600,Raw_Q!$A$2:$A$600,$A2,Raw_Q!$P$2:$P$600,"&gt;=5",Raw_Q!$P$2:$P$600,"&lt;=8")-1),""))</f>
        <v>0.0396039603960396</v>
      </c>
      <c r="S2" s="49" t="n">
        <f aca="false">IF($A2="","",IFERROR(SUMIFS(Raw_Q!$I$2:$I$600,Raw_Q!$A$2:$A$600,$A2,Raw_Q!$P$2:$P$600,1)/SUMIFS(Raw_Q!$I$2:$I$600,Raw_Q!$A$2:$A$600,$A2,Raw_Q!$P$2:$P$600,5)-1,""))</f>
        <v>0.163565017652814</v>
      </c>
      <c r="T2" s="49" t="n">
        <f aca="false">IF($A2="","",IFERROR(SUMIFS(Raw_Q!$I$2:$I$600,Raw_Q!$A$2:$A$600,$A2,Raw_Q!$P$2:$P$600,1)/SUMIFS(Raw_Q!$I$2:$I$600,Raw_Q!$A$2:$A$600,$A2,Raw_Q!$P$2:$P$600,2)-1,""))</f>
        <v>-0.0158925744711469</v>
      </c>
      <c r="U2" s="49" t="n">
        <f aca="false">IF($A2="","",IFERROR(SUMIFS(Raw_Q!$I$2:$I$600,Raw_Q!$A$2:$A$600,$A2,Raw_Q!$P$2:$P$600,2)/SUMIFS(Raw_Q!$I$2:$I$600,Raw_Q!$A$2:$A$600,$A2,Raw_Q!$P$2:$P$600,3)-1,""))</f>
        <v>-0.226578368902863</v>
      </c>
      <c r="V2" s="68" t="n">
        <f aca="false">IF($A2="","",IFERROR((T2-U2)*100,""))</f>
        <v>21.0685794431716</v>
      </c>
      <c r="W2" s="66" t="str">
        <f aca="false">IF($A2="","",IFERROR(IF(NOT(ISNUMBER(T2)),"",IF(T2&gt;0,IF(V2&gt;0,"成長且加速","成長但減速"),IF(V2&gt;0,"衰退但收斂","衰退且惡化"))),""))</f>
        <v>衰退但收斂</v>
      </c>
      <c r="X2" s="68" t="n">
        <f aca="false">IF($A2="","",IFERROR((T2-(SUMIFS(Raw_Q!$I$2:$I$600,Raw_Q!$A$2:$A$600,$A2,Raw_Q!$P$2:$P$600,5)/SUMIFS(Raw_Q!$I$2:$I$600,Raw_Q!$A$2:$A$600,$A2,Raw_Q!$P$2:$P$600,6)-1))*100,""))</f>
        <v>-0.201868737082078</v>
      </c>
      <c r="Y2" s="49" t="n">
        <f aca="false">IF($A2="","",IFERROR(SUMIFS(Raw_Q!$K$2:$K$600,Raw_Q!$A$2:$A$600,$A2,Raw_Q!$P$2:$P$600,1)/SUMIFS(Raw_Q!$K$2:$K$600,Raw_Q!$A$2:$A$600,$A2,Raw_Q!$P$2:$P$600,5)-1,""))</f>
        <v>0.286624203821656</v>
      </c>
      <c r="Z2" s="49" t="n">
        <f aca="false">IF($A2="","",IFERROR(SUMIFS(Raw_Q!$J$2:$J$600,Raw_Q!$A$2:$A$600,$A2,Raw_Q!$P$2:$P$600,"&gt;=1",Raw_Q!$P$2:$P$600,"&lt;=4")/E2,""))</f>
        <v>0.48652915559002</v>
      </c>
      <c r="AA2" s="49" t="n">
        <f aca="false">IF($A2="","",IFERROR(SUMIFS(Raw_Q!$J$2:$J$600,Raw_Q!$A$2:$A$600,$A2,Raw_Q!$P$2:$P$600,"&gt;=1",Raw_Q!$P$2:$P$600,"&lt;="&amp;Config!$B$5)/SUMIFS(Raw_Q!$I$2:$I$600,Raw_Q!$A$2:$A$600,$A2,Raw_Q!$P$2:$P$600,"&gt;=1",Raw_Q!$P$2:$P$600,"&lt;="&amp;Config!$B$5),""))</f>
        <v>0.457445562811989</v>
      </c>
      <c r="AB2" s="50" t="n">
        <f aca="false">IF($A2="","",IFERROR((Z2-AA2)*10000,""))</f>
        <v>290.835927780316</v>
      </c>
      <c r="AC2" s="50" t="n">
        <f aca="false">IF($A2="","",IFERROR((SUMIFS(Raw_Q!$J$2:$J$600,Raw_Q!$A$2:$A$600,$A2,Raw_Q!$P$2:$P$600,1)/SUMIFS(Raw_Q!$I$2:$I$600,Raw_Q!$A$2:$A$600,$A2,Raw_Q!$P$2:$P$600,1)-SUMIFS(Raw_Q!$J$2:$J$600,Raw_Q!$A$2:$A$600,$A2,Raw_Q!$P$2:$P$600,5)/SUMIFS(Raw_Q!$I$2:$I$600,Raw_Q!$A$2:$A$600,$A2,Raw_Q!$P$2:$P$600,5))*10000,""))</f>
        <v>356.550130076156</v>
      </c>
      <c r="AD2" s="51" t="n">
        <f aca="false">IF($A2="","",IFERROR(SUMIFS(Raw_Q!$M$2:$M$600,Raw_Q!$A$2:$A$600,$A2,Raw_Q!$P$2:$P$600,1)/SUMIFS(Raw_Q!$L$2:$L$600,Raw_Q!$A$2:$A$600,$A2,Raw_Q!$P$2:$P$600,1),""))</f>
        <v>7.30699065341296</v>
      </c>
      <c r="AE2" s="48" t="n">
        <f aca="false">IF($A2="","",IFERROR(SUMPRODUCT((Raw_Q!$A$2:$A$600=$A2)*(Raw_Q!$P$2:$P$600&gt;=1)*(Raw_Q!$P$2:$P$600&lt;=4)*Raw_Q!$K$2:$K$600*Raw_Q!$L$2:$L$600),""))</f>
        <v>128881.73794</v>
      </c>
      <c r="AF2" s="49" t="n">
        <f aca="false">IF($A2="","",IFERROR(IF(MIN(SUMIFS(Raw_Q!$M$2:$M$600,Raw_Q!$A$2:$A$600,$A2,Raw_Q!$P$2:$P$600,1),SUMIFS(Raw_Q!$M$2:$M$600,Raw_Q!$A$2:$A$600,$A2,Raw_Q!$P$2:$P$600,5))&lt;=0,"N/M",AE2/((SUMIFS(Raw_Q!$M$2:$M$600,Raw_Q!$A$2:$A$600,$A2,Raw_Q!$P$2:$P$600,1)+SUMIFS(Raw_Q!$M$2:$M$600,Raw_Q!$A$2:$A$600,$A2,Raw_Q!$P$2:$P$600,5))/2)),"N/M"))</f>
        <v>1.48695399988463</v>
      </c>
      <c r="AG2" s="49" t="n">
        <f aca="false">IF($A2="","",IFERROR(AVERAGE(AO2:AS2),""))</f>
        <v>1.43278029580883</v>
      </c>
      <c r="AH2" s="49" t="n">
        <f aca="false">IF($A2="","",IFERROR(IF(AD2&lt;=0,"N/M",INDEX(Raw_Est!$B$2:$B$100,MATCH($A2,Raw_Est!$A$2:$A$100,0))/AD2),"N/M"))</f>
        <v>1.20635572400558</v>
      </c>
      <c r="AI2" s="51" t="n">
        <f aca="false">IF($A2="","",IFERROR(SUMIFS(Raw_Q!$K$2:$K$600,Raw_Q!$A$2:$A$600,$A2,Raw_Q!$P$2:$P$600,0),""))</f>
        <v>1.97656</v>
      </c>
      <c r="AJ2" s="66" t="str">
        <f aca="false">IF($A2="","",IFERROR(INDEX(Raw_Q!$B$2:$B$600,MATCH($A2&amp;"|"&amp;0,Raw_Q!$Q$2:$Q$600,0)),""))</f>
        <v>FY2026Q4E</v>
      </c>
      <c r="AK2" s="66" t="str">
        <f aca="false">IF($A2="","",IFERROR(INDEX(Raw_Q!$G$2:$G$600,MATCH($A2&amp;"|"&amp;0,Raw_Q!$Q$2:$Q$600,0)),""))</f>
        <v>consensus</v>
      </c>
      <c r="AL2" s="47" t="n">
        <f aca="false">IF($A2="","",IFERROR(INDEX(Raw_Est!$E$2:$E$100,MATCH($A2,Raw_Est!$A$2:$A$100,0)),""))</f>
        <v>27</v>
      </c>
      <c r="AM2" s="67" t="n">
        <f aca="false">IF($A2="","",IFERROR(INDEX(Raw_Price!$D$2:$D$100,MATCH($A2,Raw_Price!$A$2:$A$100,0)),""))</f>
        <v>46324</v>
      </c>
      <c r="AN2" s="67" t="n">
        <f aca="false">IF($A2="","",IFERROR(INDEX(Raw_Price!$E$2:$E$100,MATCH($A2,Raw_Price!$A$2:$A$100,0)),""))</f>
        <v>46280</v>
      </c>
      <c r="AO2" s="49" t="n">
        <f aca="false">IF($A2="","",IFERROR(IF(MIN(SUMIFS(Raw_Q!$M$2:$M$600,Raw_Q!$A$2:$A$600,$A2,Raw_Q!$P$2:$P$600,1),SUMIFS(Raw_Q!$M$2:$M$600,Raw_Q!$A$2:$A$600,$A2,Raw_Q!$P$2:$P$600,5))&lt;=0,"",SUMPRODUCT((Raw_Q!$A$2:$A$600=$A2)*(Raw_Q!$P$2:$P$600&gt;=1)*(Raw_Q!$P$2:$P$600&lt;=4)*Raw_Q!$K$2:$K$600*Raw_Q!$L$2:$L$600)/((SUMIFS(Raw_Q!$M$2:$M$600,Raw_Q!$A$2:$A$600,$A2,Raw_Q!$P$2:$P$600,1)+SUMIFS(Raw_Q!$M$2:$M$600,Raw_Q!$A$2:$A$600,$A2,Raw_Q!$P$2:$P$600,5))/2)),""))</f>
        <v>1.48695399988463</v>
      </c>
      <c r="AP2" s="49" t="n">
        <f aca="false">IF($A2="","",IFERROR(IF(MIN(SUMIFS(Raw_Q!$M$2:$M$600,Raw_Q!$A$2:$A$600,$A2,Raw_Q!$P$2:$P$600,5),SUMIFS(Raw_Q!$M$2:$M$600,Raw_Q!$A$2:$A$600,$A2,Raw_Q!$P$2:$P$600,9))&lt;=0,"",SUMPRODUCT((Raw_Q!$A$2:$A$600=$A2)*(Raw_Q!$P$2:$P$600&gt;=5)*(Raw_Q!$P$2:$P$600&lt;=8)*Raw_Q!$K$2:$K$600*Raw_Q!$L$2:$L$600)/((SUMIFS(Raw_Q!$M$2:$M$600,Raw_Q!$A$2:$A$600,$A2,Raw_Q!$P$2:$P$600,5)+SUMIFS(Raw_Q!$M$2:$M$600,Raw_Q!$A$2:$A$600,$A2,Raw_Q!$P$2:$P$600,9))/2)),""))</f>
        <v>1.51228541444718</v>
      </c>
      <c r="AQ2" s="49" t="n">
        <f aca="false">IF($A2="","",IFERROR(IF(MIN(SUMIFS(Raw_Q!$M$2:$M$600,Raw_Q!$A$2:$A$600,$A2,Raw_Q!$P$2:$P$600,9),SUMIFS(Raw_Q!$M$2:$M$600,Raw_Q!$A$2:$A$600,$A2,Raw_Q!$P$2:$P$600,13))&lt;=0,"",SUMPRODUCT((Raw_Q!$A$2:$A$600=$A2)*(Raw_Q!$P$2:$P$600&gt;=9)*(Raw_Q!$P$2:$P$600&lt;=12)*Raw_Q!$K$2:$K$600*Raw_Q!$L$2:$L$600)/((SUMIFS(Raw_Q!$M$2:$M$600,Raw_Q!$A$2:$A$600,$A2,Raw_Q!$P$2:$P$600,9)+SUMIFS(Raw_Q!$M$2:$M$600,Raw_Q!$A$2:$A$600,$A2,Raw_Q!$P$2:$P$600,13))/2)),""))</f>
        <v>1.62187872359862</v>
      </c>
      <c r="AR2" s="49" t="n">
        <f aca="false">IF($A2="","",IFERROR(IF(MIN(SUMIFS(Raw_Q!$M$2:$M$600,Raw_Q!$A$2:$A$600,$A2,Raw_Q!$P$2:$P$600,13),SUMIFS(Raw_Q!$M$2:$M$600,Raw_Q!$A$2:$A$600,$A2,Raw_Q!$P$2:$P$600,17))&lt;=0,"",SUMPRODUCT((Raw_Q!$A$2:$A$600=$A2)*(Raw_Q!$P$2:$P$600&gt;=13)*(Raw_Q!$P$2:$P$600&lt;=16)*Raw_Q!$K$2:$K$600*Raw_Q!$L$2:$L$600)/((SUMIFS(Raw_Q!$M$2:$M$600,Raw_Q!$A$2:$A$600,$A2,Raw_Q!$P$2:$P$600,13)+SUMIFS(Raw_Q!$M$2:$M$600,Raw_Q!$A$2:$A$600,$A2,Raw_Q!$P$2:$P$600,17))/2)),""))</f>
        <v>1.24953822488406</v>
      </c>
      <c r="AS2" s="49" t="n">
        <f aca="false">IF($A2="","",IFERROR(IF(MIN(SUMIFS(Raw_Q!$M$2:$M$600,Raw_Q!$A$2:$A$600,$A2,Raw_Q!$P$2:$P$600,17),SUMIFS(Raw_Q!$M$2:$M$600,Raw_Q!$A$2:$A$600,$A2,Raw_Q!$P$2:$P$600,21))&lt;=0,"",SUMPRODUCT((Raw_Q!$A$2:$A$600=$A2)*(Raw_Q!$P$2:$P$600&gt;=17)*(Raw_Q!$P$2:$P$600&lt;=20)*Raw_Q!$K$2:$K$600*Raw_Q!$L$2:$L$600)/((SUMIFS(Raw_Q!$M$2:$M$600,Raw_Q!$A$2:$A$600,$A2,Raw_Q!$P$2:$P$600,17)+SUMIFS(Raw_Q!$M$2:$M$600,Raw_Q!$A$2:$A$600,$A2,Raw_Q!$P$2:$P$600,21))/2)),""))</f>
        <v>1.29324511622967</v>
      </c>
    </row>
    <row r="3" customFormat="false" ht="15" hidden="false" customHeight="false" outlineLevel="0" collapsed="false">
      <c r="A3" s="16" t="str">
        <f aca="false">IF(Tickers!A3="","",Tickers!A3)</f>
        <v>MSFT</v>
      </c>
      <c r="B3" s="66" t="str">
        <f aca="false">IF($A3="","",IFERROR(INDEX(Tickers!$B$2:$B$100,MATCH($A3,Tickers!$A$2:$A$100,0)),""))</f>
        <v>Microsoft Corporation</v>
      </c>
      <c r="C3" s="66" t="n">
        <f aca="false">IF($A3="","",IFERROR(INDEX(Tickers!$D$2:$D$100,MATCH($A3,Tickers!$A$2:$A$100,0)),""))</f>
        <v>0</v>
      </c>
      <c r="D3" s="51" t="n">
        <f aca="false">IF($A3="","",IFERROR(INDEX(Raw_Price!$B$2:$B$100,MATCH($A3,Raw_Price!$A$2:$A$100,0)),""))</f>
        <v>500.839996337891</v>
      </c>
      <c r="E3" s="48" t="n">
        <f aca="false">IF($A3="","",IFERROR(SUMIFS(Raw_Q!$I$2:$I$600,Raw_Q!$A$2:$A$600,$A3,Raw_Q!$P$2:$P$600,"&gt;=1",Raw_Q!$P$2:$P$600,"&lt;=4"),""))</f>
        <v>331839</v>
      </c>
      <c r="F3" s="51" t="n">
        <f aca="false">IF($A3="","",IFERROR(SUMIFS(Raw_Q!$K$2:$K$600,Raw_Q!$A$2:$A$600,$A3,Raw_Q!$P$2:$P$600,"&gt;=1",Raw_Q!$P$2:$P$600,"&lt;=4"),""))</f>
        <v>17.28</v>
      </c>
      <c r="G3" s="51" t="n">
        <f aca="false">IF($A3="","",IFERROR(SUMIFS(Raw_Q!$K$2:$K$600,Raw_Q!$A$2:$A$600,$A3,Raw_Q!$P$2:$P$600,"&gt;=0",Raw_Q!$P$2:$P$600,"&lt;=3"),""))</f>
        <v>17.87092</v>
      </c>
      <c r="H3" s="51" t="n">
        <f aca="true">IF($A3="","",IFERROR(INDEX(Raw_Est!$B$2:$B$100,MATCH($A3,Raw_Est!$A$2:$A$100,0))*MIN(1,MAX(0,(INDEX(Raw_Est!$D$2:$D$100,MATCH($A3,Raw_Est!$A$2:$A$100,0))-TODAY())/Config!$B$8))+INDEX(Raw_Est!$C$2:$C$100,MATCH($A3,Raw_Est!$A$2:$A$100,0))*(1-MIN(1,MAX(0,(INDEX(Raw_Est!$D$2:$D$100,MATCH($A3,Raw_Est!$A$2:$A$100,0))-TODAY())/Config!$B$8))),""))</f>
        <v>20.5683170410959</v>
      </c>
      <c r="I3" s="49" t="n">
        <f aca="false">IF($A3="","",IFERROR(SUMIFS(Raw_Q!$K$2:$K$600,Raw_Q!$A$2:$A$600,$A3,Raw_Q!$P$2:$P$600,"&gt;=1",Raw_Q!$P$2:$P$600,"&lt;=4")/SUMIFS(Raw_Q!$K$2:$K$600,Raw_Q!$A$2:$A$600,$A3,Raw_Q!$P$2:$P$600,"&gt;=5",Raw_Q!$P$2:$P$600,"&lt;=8")-1,""))</f>
        <v>0.266862170087977</v>
      </c>
      <c r="J3" s="52" t="n">
        <f aca="false">IF($A3="","",IFERROR(IF(F3&lt;=0,"N/M",D3/F3),"N/M"))</f>
        <v>28.9837960843687</v>
      </c>
      <c r="K3" s="52" t="n">
        <f aca="false">IF($A3="","",IFERROR(IF(G3&lt;=0,"N/M",D3/G3),"N/M"))</f>
        <v>28.0254176247161</v>
      </c>
      <c r="L3" s="52" t="n">
        <f aca="false">IF($A3="","",IFERROR(IF(H3&lt;=0,"N/M",D3/H3),"N/M"))</f>
        <v>24.3500717796795</v>
      </c>
      <c r="M3" s="49" t="n">
        <f aca="false">IF($A3="","",IFERROR(INDEX(Raw_Est!$C$2:$C$100,MATCH($A3,Raw_Est!$A$2:$A$100,0))/INDEX(Raw_Est!$B$2:$B$100,MATCH($A3,Raw_Est!$A$2:$A$100,0))-1,""))</f>
        <v>0.193978457184616</v>
      </c>
      <c r="N3" s="51" t="n">
        <f aca="false">IF($A3="","",IFERROR(IF(OR(NOT(ISNUMBER(J3)),I3&lt;Config!$B$6),"N/M",J3/(I3*100)),"N/M"))</f>
        <v>1.08609609502964</v>
      </c>
      <c r="O3" s="51" t="n">
        <f aca="false">IF($A3="","",IFERROR(IF(OR(NOT(ISNUMBER(L3)),M3&lt;Config!$B$6),"N/M",L3/(M3*100)),"N/M"))</f>
        <v>1.25529773424812</v>
      </c>
      <c r="P3" s="51" t="n">
        <f aca="false">IF($A3="","",IFERROR(SUMIFS(Raw_Q!$N$2:$N$600,Raw_Q!$A$2:$A$600,$A3,Raw_Q!$P$2:$P$600,"&gt;=1",Raw_Q!$P$2:$P$600,"&lt;=4"),""))</f>
        <v>3.56</v>
      </c>
      <c r="Q3" s="49" t="n">
        <f aca="false">IF($A3="","",IFERROR(IF(P3=0,"不配息",P3/D3),""))</f>
        <v>0.00710805851375786</v>
      </c>
      <c r="R3" s="49" t="n">
        <f aca="false">IF($A3="","",IFERROR(IF(SUMIFS(Raw_Q!$N$2:$N$600,Raw_Q!$A$2:$A$600,$A3,Raw_Q!$P$2:$P$600,"&gt;=5",Raw_Q!$P$2:$P$600,"&lt;=8")=0,"",SUMIFS(Raw_Q!$N$2:$N$600,Raw_Q!$A$2:$A$600,$A3,Raw_Q!$P$2:$P$600,"&gt;=1",Raw_Q!$P$2:$P$600,"&lt;=4")/SUMIFS(Raw_Q!$N$2:$N$600,Raw_Q!$A$2:$A$600,$A3,Raw_Q!$P$2:$P$600,"&gt;=5",Raw_Q!$P$2:$P$600,"&lt;=8")-1),""))</f>
        <v>0.0987654320987654</v>
      </c>
      <c r="S3" s="49" t="n">
        <f aca="false">IF($A3="","",IFERROR(SUMIFS(Raw_Q!$I$2:$I$600,Raw_Q!$A$2:$A$600,$A3,Raw_Q!$P$2:$P$600,1)/SUMIFS(Raw_Q!$I$2:$I$600,Raw_Q!$A$2:$A$600,$A3,Raw_Q!$P$2:$P$600,5)-1,""))</f>
        <v>0.177470205779621</v>
      </c>
      <c r="T3" s="49" t="n">
        <f aca="false">IF($A3="","",IFERROR(SUMIFS(Raw_Q!$I$2:$I$600,Raw_Q!$A$2:$A$600,$A3,Raw_Q!$P$2:$P$600,1)/SUMIFS(Raw_Q!$I$2:$I$600,Raw_Q!$A$2:$A$600,$A3,Raw_Q!$P$2:$P$600,2)-1,""))</f>
        <v>0.0859131819607655</v>
      </c>
      <c r="U3" s="49" t="n">
        <f aca="false">IF($A3="","",IFERROR(SUMIFS(Raw_Q!$I$2:$I$600,Raw_Q!$A$2:$A$600,$A3,Raw_Q!$P$2:$P$600,2)/SUMIFS(Raw_Q!$I$2:$I$600,Raw_Q!$A$2:$A$600,$A3,Raw_Q!$P$2:$P$600,3)-1,""))</f>
        <v>0.0198466895524958</v>
      </c>
      <c r="V3" s="68" t="n">
        <f aca="false">IF($A3="","",IFERROR((T3-U3)*100,""))</f>
        <v>6.60664924082697</v>
      </c>
      <c r="W3" s="66" t="str">
        <f aca="false">IF($A3="","",IFERROR(IF(NOT(ISNUMBER(T3)),"",IF(T3&gt;0,IF(V3&gt;0,"成長且加速","成長但減速"),IF(V3&gt;0,"衰退但收斂","衰退且惡化"))),""))</f>
        <v>成長且加速</v>
      </c>
      <c r="X3" s="68" t="n">
        <f aca="false">IF($A3="","",IFERROR((T3-(SUMIFS(Raw_Q!$I$2:$I$600,Raw_Q!$A$2:$A$600,$A3,Raw_Q!$P$2:$P$600,5)/SUMIFS(Raw_Q!$I$2:$I$600,Raw_Q!$A$2:$A$600,$A3,Raw_Q!$P$2:$P$600,6)-1))*100,""))</f>
        <v>-0.507246014810336</v>
      </c>
      <c r="Y3" s="49" t="n">
        <f aca="false">IF($A3="","",IFERROR(SUMIFS(Raw_Q!$K$2:$K$600,Raw_Q!$A$2:$A$600,$A3,Raw_Q!$P$2:$P$600,1)/SUMIFS(Raw_Q!$K$2:$K$600,Raw_Q!$A$2:$A$600,$A3,Raw_Q!$P$2:$P$600,5)-1,""))</f>
        <v>0.298630136986301</v>
      </c>
      <c r="Z3" s="49" t="n">
        <f aca="false">IF($A3="","",IFERROR(SUMIFS(Raw_Q!$J$2:$J$600,Raw_Q!$A$2:$A$600,$A3,Raw_Q!$P$2:$P$600,"&gt;=1",Raw_Q!$P$2:$P$600,"&lt;=4")/E3,""))</f>
        <v>0.679440933705803</v>
      </c>
      <c r="AA3" s="49" t="n">
        <f aca="false">IF($A3="","",IFERROR(SUMIFS(Raw_Q!$J$2:$J$600,Raw_Q!$A$2:$A$600,$A3,Raw_Q!$P$2:$P$600,"&gt;=1",Raw_Q!$P$2:$P$600,"&lt;="&amp;Config!$B$5)/SUMIFS(Raw_Q!$I$2:$I$600,Raw_Q!$A$2:$A$600,$A3,Raw_Q!$P$2:$P$600,"&gt;=1",Raw_Q!$P$2:$P$600,"&lt;="&amp;Config!$B$5),""))</f>
        <v>0.68725558961911</v>
      </c>
      <c r="AB3" s="50" t="n">
        <f aca="false">IF($A3="","",IFERROR((Z3-AA3)*10000,""))</f>
        <v>-78.1465591330677</v>
      </c>
      <c r="AC3" s="50" t="n">
        <f aca="false">IF($A3="","",IFERROR((SUMIFS(Raw_Q!$J$2:$J$600,Raw_Q!$A$2:$A$600,$A3,Raw_Q!$P$2:$P$600,1)/SUMIFS(Raw_Q!$I$2:$I$600,Raw_Q!$A$2:$A$600,$A3,Raw_Q!$P$2:$P$600,1)-SUMIFS(Raw_Q!$J$2:$J$600,Raw_Q!$A$2:$A$600,$A3,Raw_Q!$P$2:$P$600,5)/SUMIFS(Raw_Q!$I$2:$I$600,Raw_Q!$A$2:$A$600,$A3,Raw_Q!$P$2:$P$600,5))*10000,""))</f>
        <v>-138.792591510458</v>
      </c>
      <c r="AD3" s="51" t="n">
        <f aca="false">IF($A3="","",IFERROR(SUMIFS(Raw_Q!$M$2:$M$600,Raw_Q!$A$2:$A$600,$A3,Raw_Q!$P$2:$P$600,1)/SUMIFS(Raw_Q!$L$2:$L$600,Raw_Q!$A$2:$A$600,$A3,Raw_Q!$P$2:$P$600,1),""))</f>
        <v>59.4366518876797</v>
      </c>
      <c r="AE3" s="48" t="n">
        <f aca="false">IF($A3="","",IFERROR(SUMPRODUCT((Raw_Q!$A$2:$A$600=$A3)*(Raw_Q!$P$2:$P$600&gt;=1)*(Raw_Q!$P$2:$P$600&lt;=4)*Raw_Q!$K$2:$K$600*Raw_Q!$L$2:$L$600),""))</f>
        <v>128788.95</v>
      </c>
      <c r="AF3" s="49" t="n">
        <f aca="false">IF($A3="","",IFERROR(IF(MIN(SUMIFS(Raw_Q!$M$2:$M$600,Raw_Q!$A$2:$A$600,$A3,Raw_Q!$P$2:$P$600,1),SUMIFS(Raw_Q!$M$2:$M$600,Raw_Q!$A$2:$A$600,$A3,Raw_Q!$P$2:$P$600,5))&lt;=0,"N/M",AE3/((SUMIFS(Raw_Q!$M$2:$M$600,Raw_Q!$A$2:$A$600,$A3,Raw_Q!$P$2:$P$600,1)+SUMIFS(Raw_Q!$M$2:$M$600,Raw_Q!$A$2:$A$600,$A3,Raw_Q!$P$2:$P$600,5))/2)),"N/M"))</f>
        <v>0.32776313010106</v>
      </c>
      <c r="AG3" s="49" t="n">
        <f aca="false">IF($A3="","",IFERROR(AVERAGE(AO3:AS3),""))</f>
        <v>0.313217683748641</v>
      </c>
      <c r="AH3" s="49" t="n">
        <f aca="false">IF($A3="","",IFERROR(IF(AD3&lt;=0,"N/M",INDEX(Raw_Est!$B$2:$B$100,MATCH($A3,Raw_Est!$A$2:$A$100,0))/AD3),"N/M"))</f>
        <v>0.332450085468153</v>
      </c>
      <c r="AI3" s="51" t="n">
        <f aca="false">IF($A3="","",IFERROR(SUMIFS(Raw_Q!$K$2:$K$600,Raw_Q!$A$2:$A$600,$A3,Raw_Q!$P$2:$P$600,0),""))</f>
        <v>4.72092</v>
      </c>
      <c r="AJ3" s="66" t="str">
        <f aca="false">IF($A3="","",IFERROR(INDEX(Raw_Q!$B$2:$B$600,MATCH($A3&amp;"|"&amp;0,Raw_Q!$Q$2:$Q$600,0)),""))</f>
        <v>FY2027Q1E</v>
      </c>
      <c r="AK3" s="66" t="str">
        <f aca="false">IF($A3="","",IFERROR(INDEX(Raw_Q!$G$2:$G$600,MATCH($A3&amp;"|"&amp;0,Raw_Q!$Q$2:$Q$600,0)),""))</f>
        <v>consensus</v>
      </c>
      <c r="AL3" s="47" t="n">
        <f aca="false">IF($A3="","",IFERROR(INDEX(Raw_Est!$E$2:$E$100,MATCH($A3,Raw_Est!$A$2:$A$100,0)),""))</f>
        <v>25</v>
      </c>
      <c r="AM3" s="67" t="n">
        <f aca="false">IF($A3="","",IFERROR(INDEX(Raw_Price!$D$2:$D$100,MATCH($A3,Raw_Price!$A$2:$A$100,0)),""))</f>
        <v>46323</v>
      </c>
      <c r="AN3" s="67" t="n">
        <f aca="false">IF($A3="","",IFERROR(INDEX(Raw_Price!$E$2:$E$100,MATCH($A3,Raw_Price!$A$2:$A$100,0)),""))</f>
        <v>46280</v>
      </c>
      <c r="AO3" s="49" t="n">
        <f aca="false">IF($A3="","",IFERROR(IF(MIN(SUMIFS(Raw_Q!$M$2:$M$600,Raw_Q!$A$2:$A$600,$A3,Raw_Q!$P$2:$P$600,1),SUMIFS(Raw_Q!$M$2:$M$600,Raw_Q!$A$2:$A$600,$A3,Raw_Q!$P$2:$P$600,5))&lt;=0,"",SUMPRODUCT((Raw_Q!$A$2:$A$600=$A3)*(Raw_Q!$P$2:$P$600&gt;=1)*(Raw_Q!$P$2:$P$600&lt;=4)*Raw_Q!$K$2:$K$600*Raw_Q!$L$2:$L$600)/((SUMIFS(Raw_Q!$M$2:$M$600,Raw_Q!$A$2:$A$600,$A3,Raw_Q!$P$2:$P$600,1)+SUMIFS(Raw_Q!$M$2:$M$600,Raw_Q!$A$2:$A$600,$A3,Raw_Q!$P$2:$P$600,5))/2)),""))</f>
        <v>0.32776313010106</v>
      </c>
      <c r="AP3" s="49" t="n">
        <f aca="false">IF($A3="","",IFERROR(IF(MIN(SUMIFS(Raw_Q!$M$2:$M$600,Raw_Q!$A$2:$A$600,$A3,Raw_Q!$P$2:$P$600,5),SUMIFS(Raw_Q!$M$2:$M$600,Raw_Q!$A$2:$A$600,$A3,Raw_Q!$P$2:$P$600,9))&lt;=0,"",SUMPRODUCT((Raw_Q!$A$2:$A$600=$A3)*(Raw_Q!$P$2:$P$600&gt;=5)*(Raw_Q!$P$2:$P$600&lt;=8)*Raw_Q!$K$2:$K$600*Raw_Q!$L$2:$L$600)/((SUMIFS(Raw_Q!$M$2:$M$600,Raw_Q!$A$2:$A$600,$A3,Raw_Q!$P$2:$P$600,5)+SUMIFS(Raw_Q!$M$2:$M$600,Raw_Q!$A$2:$A$600,$A3,Raw_Q!$P$2:$P$600,9))/2)),""))</f>
        <v>0.332894603533587</v>
      </c>
      <c r="AQ3" s="49" t="n">
        <f aca="false">IF($A3="","",IFERROR(IF(MIN(SUMIFS(Raw_Q!$M$2:$M$600,Raw_Q!$A$2:$A$600,$A3,Raw_Q!$P$2:$P$600,9),SUMIFS(Raw_Q!$M$2:$M$600,Raw_Q!$A$2:$A$600,$A3,Raw_Q!$P$2:$P$600,13))&lt;=0,"",SUMPRODUCT((Raw_Q!$A$2:$A$600=$A3)*(Raw_Q!$P$2:$P$600&gt;=9)*(Raw_Q!$P$2:$P$600&lt;=12)*Raw_Q!$K$2:$K$600*Raw_Q!$L$2:$L$600)/((SUMIFS(Raw_Q!$M$2:$M$600,Raw_Q!$A$2:$A$600,$A3,Raw_Q!$P$2:$P$600,9)+SUMIFS(Raw_Q!$M$2:$M$600,Raw_Q!$A$2:$A$600,$A3,Raw_Q!$P$2:$P$600,13))/2)),""))</f>
        <v>0.27869720876343</v>
      </c>
      <c r="AR3" s="49" t="n">
        <f aca="false">IF($A3="","",IFERROR(IF(MIN(SUMIFS(Raw_Q!$M$2:$M$600,Raw_Q!$A$2:$A$600,$A3,Raw_Q!$P$2:$P$600,13),SUMIFS(Raw_Q!$M$2:$M$600,Raw_Q!$A$2:$A$600,$A3,Raw_Q!$P$2:$P$600,17))&lt;=0,"",SUMPRODUCT((Raw_Q!$A$2:$A$600=$A3)*(Raw_Q!$P$2:$P$600&gt;=13)*(Raw_Q!$P$2:$P$600&lt;=16)*Raw_Q!$K$2:$K$600*Raw_Q!$L$2:$L$600)/((SUMIFS(Raw_Q!$M$2:$M$600,Raw_Q!$A$2:$A$600,$A3,Raw_Q!$P$2:$P$600,13)+SUMIFS(Raw_Q!$M$2:$M$600,Raw_Q!$A$2:$A$600,$A3,Raw_Q!$P$2:$P$600,17))/2)),""))</f>
        <v>0.285509154561185</v>
      </c>
      <c r="AS3" s="49" t="n">
        <f aca="false">IF($A3="","",IFERROR(IF(MIN(SUMIFS(Raw_Q!$M$2:$M$600,Raw_Q!$A$2:$A$600,$A3,Raw_Q!$P$2:$P$600,17),SUMIFS(Raw_Q!$M$2:$M$600,Raw_Q!$A$2:$A$600,$A3,Raw_Q!$P$2:$P$600,21))&lt;=0,"",SUMPRODUCT((Raw_Q!$A$2:$A$600=$A3)*(Raw_Q!$P$2:$P$600&gt;=17)*(Raw_Q!$P$2:$P$600&lt;=20)*Raw_Q!$K$2:$K$600*Raw_Q!$L$2:$L$600)/((SUMIFS(Raw_Q!$M$2:$M$600,Raw_Q!$A$2:$A$600,$A3,Raw_Q!$P$2:$P$600,17)+SUMIFS(Raw_Q!$M$2:$M$600,Raw_Q!$A$2:$A$600,$A3,Raw_Q!$P$2:$P$600,21))/2)),""))</f>
        <v>0.341224321783943</v>
      </c>
    </row>
    <row r="4" customFormat="false" ht="15" hidden="false" customHeight="false" outlineLevel="0" collapsed="false">
      <c r="A4" s="16" t="str">
        <f aca="false">IF(Tickers!A4="","",Tickers!A4)</f>
        <v>NVDA</v>
      </c>
      <c r="B4" s="66" t="str">
        <f aca="false">IF($A4="","",IFERROR(INDEX(Tickers!$B$2:$B$100,MATCH($A4,Tickers!$A$2:$A$100,0)),""))</f>
        <v>NVIDIA Corporation</v>
      </c>
      <c r="C4" s="66" t="n">
        <f aca="false">IF($A4="","",IFERROR(INDEX(Tickers!$D$2:$D$100,MATCH($A4,Tickers!$A$2:$A$100,0)),""))</f>
        <v>0</v>
      </c>
      <c r="D4" s="51" t="n">
        <f aca="false">IF($A4="","",IFERROR(INDEX(Raw_Price!$B$2:$B$100,MATCH($A4,Raw_Price!$A$2:$A$100,0)),""))</f>
        <v>212.270004272461</v>
      </c>
      <c r="E4" s="48" t="n">
        <f aca="false">IF($A4="","",IFERROR(SUMIFS(Raw_Q!$I$2:$I$600,Raw_Q!$A$2:$A$600,$A4,Raw_Q!$P$2:$P$600,"&gt;=1",Raw_Q!$P$2:$P$600,"&lt;=4"),""))</f>
        <v>509718</v>
      </c>
      <c r="F4" s="51" t="n">
        <f aca="false">IF($A4="","",IFERROR(SUMIFS(Raw_Q!$K$2:$K$600,Raw_Q!$A$2:$A$600,$A4,Raw_Q!$P$2:$P$600,"&gt;=1",Raw_Q!$P$2:$P$600,"&lt;=4"),""))</f>
        <v>7.01</v>
      </c>
      <c r="G4" s="51" t="n">
        <f aca="false">IF($A4="","",IFERROR(SUMIFS(Raw_Q!$K$2:$K$600,Raw_Q!$A$2:$A$600,$A4,Raw_Q!$P$2:$P$600,"&gt;=0",Raw_Q!$P$2:$P$600,"&lt;=3"),""))</f>
        <v>8.05</v>
      </c>
      <c r="H4" s="51" t="n">
        <f aca="true">IF($A4="","",IFERROR(INDEX(Raw_Est!$B$2:$B$100,MATCH($A4,Raw_Est!$A$2:$A$100,0))*MIN(1,MAX(0,(INDEX(Raw_Est!$D$2:$D$100,MATCH($A4,Raw_Est!$A$2:$A$100,0))-TODAY())/Config!$B$8))+INDEX(Raw_Est!$C$2:$C$100,MATCH($A4,Raw_Est!$A$2:$A$100,0))*(1-MIN(1,MAX(0,(INDEX(Raw_Est!$D$2:$D$100,MATCH($A4,Raw_Est!$A$2:$A$100,0))-TODAY())/Config!$B$8))),""))</f>
        <v>13.2299399726027</v>
      </c>
      <c r="I4" s="49" t="n">
        <f aca="false">IF($A4="","",IFERROR(SUMIFS(Raw_Q!$K$2:$K$600,Raw_Q!$A$2:$A$600,$A4,Raw_Q!$P$2:$P$600,"&gt;=1",Raw_Q!$P$2:$P$600,"&lt;=4")/SUMIFS(Raw_Q!$K$2:$K$600,Raw_Q!$A$2:$A$600,$A4,Raw_Q!$P$2:$P$600,"&gt;=5",Raw_Q!$P$2:$P$600,"&lt;=8")-1,""))</f>
        <v>0.969101123595506</v>
      </c>
      <c r="J4" s="52" t="n">
        <f aca="false">IF($A4="","",IFERROR(IF(F4&lt;=0,"N/M",D4/F4),"N/M"))</f>
        <v>30.2810277136178</v>
      </c>
      <c r="K4" s="52" t="n">
        <f aca="false">IF($A4="","",IFERROR(IF(G4&lt;=0,"N/M",D4/G4),"N/M"))</f>
        <v>26.3689446301194</v>
      </c>
      <c r="L4" s="52" t="n">
        <f aca="false">IF($A4="","",IFERROR(IF(H4&lt;=0,"N/M",D4/H4),"N/M"))</f>
        <v>16.0446687371251</v>
      </c>
      <c r="M4" s="49" t="n">
        <f aca="false">IF($A4="","",IFERROR(INDEX(Raw_Est!$C$2:$C$100,MATCH($A4,Raw_Est!$A$2:$A$100,0))/INDEX(Raw_Est!$B$2:$B$100,MATCH($A4,Raw_Est!$A$2:$A$100,0))-1,""))</f>
        <v>0.67778103701889</v>
      </c>
      <c r="N4" s="51" t="n">
        <f aca="false">IF($A4="","",IFERROR(IF(OR(NOT(ISNUMBER(J4)),I4&lt;Config!$B$6),"N/M",J4/(I4*100)),"N/M"))</f>
        <v>0.312465097566607</v>
      </c>
      <c r="O4" s="51" t="n">
        <f aca="false">IF($A4="","",IFERROR(IF(OR(NOT(ISNUMBER(L4)),M4&lt;Config!$B$6),"N/M",L4/(M4*100)),"N/M"))</f>
        <v>0.236723482375591</v>
      </c>
      <c r="P4" s="51" t="n">
        <f aca="false">IF($A4="","",IFERROR(SUMIFS(Raw_Q!$N$2:$N$600,Raw_Q!$A$2:$A$600,$A4,Raw_Q!$P$2:$P$600,"&gt;=1",Raw_Q!$P$2:$P$600,"&lt;=4"),""))</f>
        <v>0.28</v>
      </c>
      <c r="Q4" s="49" t="n">
        <f aca="false">IF($A4="","",IFERROR(IF(P4=0,"不配息",P4/D4),""))</f>
        <v>0.00131907473672354</v>
      </c>
      <c r="R4" s="49" t="n">
        <f aca="false">IF($A4="","",IFERROR(IF(SUMIFS(Raw_Q!$N$2:$N$600,Raw_Q!$A$2:$A$600,$A4,Raw_Q!$P$2:$P$600,"&gt;=5",Raw_Q!$P$2:$P$600,"&lt;=8")=0,"",SUMIFS(Raw_Q!$N$2:$N$600,Raw_Q!$A$2:$A$600,$A4,Raw_Q!$P$2:$P$600,"&gt;=1",Raw_Q!$P$2:$P$600,"&lt;=4")/SUMIFS(Raw_Q!$N$2:$N$600,Raw_Q!$A$2:$A$600,$A4,Raw_Q!$P$2:$P$600,"&gt;=5",Raw_Q!$P$2:$P$600,"&lt;=8")-1),""))</f>
        <v>6</v>
      </c>
      <c r="S4" s="49" t="n">
        <f aca="false">IF($A4="","",IFERROR(SUMIFS(Raw_Q!$I$2:$I$600,Raw_Q!$A$2:$A$600,$A4,Raw_Q!$P$2:$P$600,1)/SUMIFS(Raw_Q!$I$2:$I$600,Raw_Q!$A$2:$A$600,$A4,Raw_Q!$P$2:$P$600,5)-1,""))</f>
        <v>5.48161222001155</v>
      </c>
      <c r="T4" s="49" t="n">
        <f aca="false">IF($A4="","",IFERROR(SUMIFS(Raw_Q!$I$2:$I$600,Raw_Q!$A$2:$A$600,$A4,Raw_Q!$P$2:$P$600,1)/SUMIFS(Raw_Q!$I$2:$I$600,Raw_Q!$A$2:$A$600,$A4,Raw_Q!$P$2:$P$600,2)-1,""))</f>
        <v>2.71218526006249</v>
      </c>
      <c r="U4" s="49" t="n">
        <f aca="false">IF($A4="","",IFERROR(SUMIFS(Raw_Q!$I$2:$I$600,Raw_Q!$A$2:$A$600,$A4,Raw_Q!$P$2:$P$600,2)/SUMIFS(Raw_Q!$I$2:$I$600,Raw_Q!$A$2:$A$600,$A4,Raw_Q!$P$2:$P$600,3)-1,""))</f>
        <v>0.197983178475494</v>
      </c>
      <c r="V4" s="68" t="n">
        <f aca="false">IF($A4="","",IFERROR((T4-U4)*100,""))</f>
        <v>251.420208158699</v>
      </c>
      <c r="W4" s="66" t="str">
        <f aca="false">IF($A4="","",IFERROR(IF(NOT(ISNUMBER(T4)),"",IF(T4&gt;0,IF(V4&gt;0,"成長且加速","成長但減速"),IF(V4&gt;0,"衰退但收斂","衰退且惡化"))),""))</f>
        <v>成長且加速</v>
      </c>
      <c r="X4" s="68" t="n">
        <f aca="false">IF($A4="","",IFERROR((T4-(SUMIFS(Raw_Q!$I$2:$I$600,Raw_Q!$A$2:$A$600,$A4,Raw_Q!$P$2:$P$600,5)/SUMIFS(Raw_Q!$I$2:$I$600,Raw_Q!$A$2:$A$600,$A4,Raw_Q!$P$2:$P$600,6)-1))*100,""))</f>
        <v>265.133917953959</v>
      </c>
      <c r="Y4" s="49" t="n">
        <f aca="false">IF($A4="","",IFERROR(SUMIFS(Raw_Q!$K$2:$K$600,Raw_Q!$A$2:$A$600,$A4,Raw_Q!$P$2:$P$600,1)/SUMIFS(Raw_Q!$K$2:$K$600,Raw_Q!$A$2:$A$600,$A4,Raw_Q!$P$2:$P$600,5)-1,""))</f>
        <v>1.11428571428571</v>
      </c>
      <c r="Z4" s="49" t="n">
        <f aca="false">IF($A4="","",IFERROR(SUMIFS(Raw_Q!$J$2:$J$600,Raw_Q!$A$2:$A$600,$A4,Raw_Q!$P$2:$P$600,"&gt;=1",Raw_Q!$P$2:$P$600,"&lt;=4")/E4,""))</f>
        <v>0.746177298035384</v>
      </c>
      <c r="AA4" s="49" t="n">
        <f aca="false">IF($A4="","",IFERROR(SUMIFS(Raw_Q!$J$2:$J$600,Raw_Q!$A$2:$A$600,$A4,Raw_Q!$P$2:$P$600,"&gt;=1",Raw_Q!$P$2:$P$600,"&lt;="&amp;Config!$B$5)/SUMIFS(Raw_Q!$I$2:$I$600,Raw_Q!$A$2:$A$600,$A4,Raw_Q!$P$2:$P$600,"&gt;=1",Raw_Q!$P$2:$P$600,"&lt;="&amp;Config!$B$5),""))</f>
        <v>0.729320755893876</v>
      </c>
      <c r="AB4" s="50" t="n">
        <f aca="false">IF($A4="","",IFERROR((Z4-AA4)*10000,""))</f>
        <v>168.565421415088</v>
      </c>
      <c r="AC4" s="50" t="n">
        <f aca="false">IF($A4="","",IFERROR((SUMIFS(Raw_Q!$J$2:$J$600,Raw_Q!$A$2:$A$600,$A4,Raw_Q!$P$2:$P$600,1)/SUMIFS(Raw_Q!$I$2:$I$600,Raw_Q!$A$2:$A$600,$A4,Raw_Q!$P$2:$P$600,1)-SUMIFS(Raw_Q!$J$2:$J$600,Raw_Q!$A$2:$A$600,$A4,Raw_Q!$P$2:$P$600,5)/SUMIFS(Raw_Q!$I$2:$I$600,Raw_Q!$A$2:$A$600,$A4,Raw_Q!$P$2:$P$600,5))*10000,""))</f>
        <v>225.071179190973</v>
      </c>
      <c r="AD4" s="51" t="n">
        <f aca="false">IF($A4="","",IFERROR(SUMIFS(Raw_Q!$M$2:$M$600,Raw_Q!$A$2:$A$600,$A4,Raw_Q!$P$2:$P$600,1)/SUMIFS(Raw_Q!$L$2:$L$600,Raw_Q!$A$2:$A$600,$A4,Raw_Q!$P$2:$P$600,1),""))</f>
        <v>9.38555179834</v>
      </c>
      <c r="AE4" s="48" t="n">
        <f aca="false">IF($A4="","",IFERROR(SUMPRODUCT((Raw_Q!$A$2:$A$600=$A4)*(Raw_Q!$P$2:$P$600&gt;=1)*(Raw_Q!$P$2:$P$600&lt;=4)*Raw_Q!$K$2:$K$600*Raw_Q!$L$2:$L$600),""))</f>
        <v>171181.36</v>
      </c>
      <c r="AF4" s="49" t="n">
        <f aca="false">IF($A4="","",IFERROR(IF(MIN(SUMIFS(Raw_Q!$M$2:$M$600,Raw_Q!$A$2:$A$600,$A4,Raw_Q!$P$2:$P$600,1),SUMIFS(Raw_Q!$M$2:$M$600,Raw_Q!$A$2:$A$600,$A4,Raw_Q!$P$2:$P$600,5))&lt;=0,"N/M",AE4/((SUMIFS(Raw_Q!$M$2:$M$600,Raw_Q!$A$2:$A$600,$A4,Raw_Q!$P$2:$P$600,1)+SUMIFS(Raw_Q!$M$2:$M$600,Raw_Q!$A$2:$A$600,$A4,Raw_Q!$P$2:$P$600,5))/2)),"N/M"))</f>
        <v>1.04025255609741</v>
      </c>
      <c r="AG4" s="49" t="n">
        <f aca="false">IF($A4="","",IFERROR(AVERAGE(AO4:AS4),""))</f>
        <v>0.636705495211558</v>
      </c>
      <c r="AH4" s="49" t="n">
        <f aca="false">IF($A4="","",IFERROR(IF(AD4&lt;=0,"N/M",INDEX(Raw_Est!$B$2:$B$100,MATCH($A4,Raw_Est!$A$2:$A$100,0))/AD4),"N/M"))</f>
        <v>0.991616710447018</v>
      </c>
      <c r="AI4" s="51" t="n">
        <f aca="false">IF($A4="","",IFERROR(SUMIFS(Raw_Q!$K$2:$K$600,Raw_Q!$A$2:$A$600,$A4,Raw_Q!$P$2:$P$600,0),""))</f>
        <v>2.34</v>
      </c>
      <c r="AJ4" s="66" t="str">
        <f aca="false">IF($A4="","",IFERROR(INDEX(Raw_Q!$B$2:$B$600,MATCH($A4&amp;"|"&amp;0,Raw_Q!$Q$2:$Q$600,0)),""))</f>
        <v>FY2027Q3E</v>
      </c>
      <c r="AK4" s="66" t="str">
        <f aca="false">IF($A4="","",IFERROR(INDEX(Raw_Q!$G$2:$G$600,MATCH($A4&amp;"|"&amp;0,Raw_Q!$Q$2:$Q$600,0)),""))</f>
        <v>consensus</v>
      </c>
      <c r="AL4" s="47" t="n">
        <f aca="false">IF($A4="","",IFERROR(INDEX(Raw_Est!$E$2:$E$100,MATCH($A4,Raw_Est!$A$2:$A$100,0)),""))</f>
        <v>42</v>
      </c>
      <c r="AM4" s="67" t="n">
        <f aca="false">IF($A4="","",IFERROR(INDEX(Raw_Price!$D$2:$D$100,MATCH($A4,Raw_Price!$A$2:$A$100,0)),""))</f>
        <v>46343</v>
      </c>
      <c r="AN4" s="67" t="n">
        <f aca="false">IF($A4="","",IFERROR(INDEX(Raw_Price!$E$2:$E$100,MATCH($A4,Raw_Price!$A$2:$A$100,0)),""))</f>
        <v>46280</v>
      </c>
      <c r="AO4" s="49" t="n">
        <f aca="false">IF($A4="","",IFERROR(IF(MIN(SUMIFS(Raw_Q!$M$2:$M$600,Raw_Q!$A$2:$A$600,$A4,Raw_Q!$P$2:$P$600,1),SUMIFS(Raw_Q!$M$2:$M$600,Raw_Q!$A$2:$A$600,$A4,Raw_Q!$P$2:$P$600,5))&lt;=0,"",SUMPRODUCT((Raw_Q!$A$2:$A$600=$A4)*(Raw_Q!$P$2:$P$600&gt;=1)*(Raw_Q!$P$2:$P$600&lt;=4)*Raw_Q!$K$2:$K$600*Raw_Q!$L$2:$L$600)/((SUMIFS(Raw_Q!$M$2:$M$600,Raw_Q!$A$2:$A$600,$A4,Raw_Q!$P$2:$P$600,1)+SUMIFS(Raw_Q!$M$2:$M$600,Raw_Q!$A$2:$A$600,$A4,Raw_Q!$P$2:$P$600,5))/2)),""))</f>
        <v>1.04025255609741</v>
      </c>
      <c r="AP4" s="49" t="n">
        <f aca="false">IF($A4="","",IFERROR(IF(MIN(SUMIFS(Raw_Q!$M$2:$M$600,Raw_Q!$A$2:$A$600,$A4,Raw_Q!$P$2:$P$600,5),SUMIFS(Raw_Q!$M$2:$M$600,Raw_Q!$A$2:$A$600,$A4,Raw_Q!$P$2:$P$600,9))&lt;=0,"",SUMPRODUCT((Raw_Q!$A$2:$A$600=$A4)*(Raw_Q!$P$2:$P$600&gt;=5)*(Raw_Q!$P$2:$P$600&lt;=8)*Raw_Q!$K$2:$K$600*Raw_Q!$L$2:$L$600)/((SUMIFS(Raw_Q!$M$2:$M$600,Raw_Q!$A$2:$A$600,$A4,Raw_Q!$P$2:$P$600,5)+SUMIFS(Raw_Q!$M$2:$M$600,Raw_Q!$A$2:$A$600,$A4,Raw_Q!$P$2:$P$600,9))/2)),""))</f>
        <v>0.830896214495098</v>
      </c>
      <c r="AQ4" s="49" t="n">
        <f aca="false">IF($A4="","",IFERROR(IF(MIN(SUMIFS(Raw_Q!$M$2:$M$600,Raw_Q!$A$2:$A$600,$A4,Raw_Q!$P$2:$P$600,9),SUMIFS(Raw_Q!$M$2:$M$600,Raw_Q!$A$2:$A$600,$A4,Raw_Q!$P$2:$P$600,13))&lt;=0,"",SUMPRODUCT((Raw_Q!$A$2:$A$600=$A4)*(Raw_Q!$P$2:$P$600&gt;=9)*(Raw_Q!$P$2:$P$600&lt;=12)*Raw_Q!$K$2:$K$600*Raw_Q!$L$2:$L$600)/((SUMIFS(Raw_Q!$M$2:$M$600,Raw_Q!$A$2:$A$600,$A4,Raw_Q!$P$2:$P$600,9)+SUMIFS(Raw_Q!$M$2:$M$600,Raw_Q!$A$2:$A$600,$A4,Raw_Q!$P$2:$P$600,13))/2)),""))</f>
        <v>0.535333535688435</v>
      </c>
      <c r="AR4" s="49" t="n">
        <f aca="false">IF($A4="","",IFERROR(IF(MIN(SUMIFS(Raw_Q!$M$2:$M$600,Raw_Q!$A$2:$A$600,$A4,Raw_Q!$P$2:$P$600,13),SUMIFS(Raw_Q!$M$2:$M$600,Raw_Q!$A$2:$A$600,$A4,Raw_Q!$P$2:$P$600,17))&lt;=0,"",SUMPRODUCT((Raw_Q!$A$2:$A$600=$A4)*(Raw_Q!$P$2:$P$600&gt;=13)*(Raw_Q!$P$2:$P$600&lt;=16)*Raw_Q!$K$2:$K$600*Raw_Q!$L$2:$L$600)/((SUMIFS(Raw_Q!$M$2:$M$600,Raw_Q!$A$2:$A$600,$A4,Raw_Q!$P$2:$P$600,13)+SUMIFS(Raw_Q!$M$2:$M$600,Raw_Q!$A$2:$A$600,$A4,Raw_Q!$P$2:$P$600,17))/2)),""))</f>
        <v>0.427900763358779</v>
      </c>
      <c r="AS4" s="49" t="n">
        <f aca="false">IF($A4="","",IFERROR(IF(MIN(SUMIFS(Raw_Q!$M$2:$M$600,Raw_Q!$A$2:$A$600,$A4,Raw_Q!$P$2:$P$600,17),SUMIFS(Raw_Q!$M$2:$M$600,Raw_Q!$A$2:$A$600,$A4,Raw_Q!$P$2:$P$600,21))&lt;=0,"",SUMPRODUCT((Raw_Q!$A$2:$A$600=$A4)*(Raw_Q!$P$2:$P$600&gt;=17)*(Raw_Q!$P$2:$P$600&lt;=20)*Raw_Q!$K$2:$K$600*Raw_Q!$L$2:$L$600)/((SUMIFS(Raw_Q!$M$2:$M$600,Raw_Q!$A$2:$A$600,$A4,Raw_Q!$P$2:$P$600,17)+SUMIFS(Raw_Q!$M$2:$M$600,Raw_Q!$A$2:$A$600,$A4,Raw_Q!$P$2:$P$600,21))/2)),""))</f>
        <v>0.349144406418063</v>
      </c>
    </row>
    <row r="5" customFormat="false" ht="15" hidden="false" customHeight="false" outlineLevel="0" collapsed="false">
      <c r="A5" s="16" t="str">
        <f aca="false">IF(Tickers!A5="","",Tickers!A5)</f>
        <v>AAOI</v>
      </c>
      <c r="B5" s="66" t="str">
        <f aca="false">IF($A5="","",IFERROR(INDEX(Tickers!$B$2:$B$100,MATCH($A5,Tickers!$A$2:$A$100,0)),""))</f>
        <v>Applied Optoelectronics, Inc.</v>
      </c>
      <c r="C5" s="66" t="str">
        <f aca="false">IF($A5="","",IFERROR(INDEX(Tickers!$D$2:$D$100,MATCH($A5,Tickers!$A$2:$A$100,0)),""))</f>
        <v>觀察</v>
      </c>
      <c r="D5" s="51" t="n">
        <f aca="false">IF($A5="","",IFERROR(INDEX(Raw_Price!$B$2:$B$100,MATCH($A5,Raw_Price!$A$2:$A$100,0)),""))</f>
        <v>96.3499984741211</v>
      </c>
      <c r="E5" s="48" t="n">
        <f aca="false">IF($A5="","",IFERROR(SUMIFS(Raw_Q!$I$2:$I$600,Raw_Q!$A$2:$A$600,$A5,Raw_Q!$P$2:$P$600,"&gt;=1",Raw_Q!$P$2:$P$600,"&lt;=4"),""))</f>
        <v>595.97</v>
      </c>
      <c r="F5" s="51" t="n">
        <f aca="false">IF($A5="","",IFERROR(SUMIFS(Raw_Q!$K$2:$K$600,Raw_Q!$A$2:$A$600,$A5,Raw_Q!$P$2:$P$600,"&gt;=1",Raw_Q!$P$2:$P$600,"&lt;=4"),""))</f>
        <v>-0.11</v>
      </c>
      <c r="G5" s="51" t="n">
        <f aca="false">IF($A5="","",IFERROR(SUMIFS(Raw_Q!$K$2:$K$600,Raw_Q!$A$2:$A$600,$A5,Raw_Q!$P$2:$P$600,"&gt;=0",Raw_Q!$P$2:$P$600,"&lt;=3"),""))</f>
        <v>0.12333</v>
      </c>
      <c r="H5" s="51" t="n">
        <f aca="true">IF($A5="","",IFERROR(INDEX(Raw_Est!$B$2:$B$100,MATCH($A5,Raw_Est!$A$2:$A$100,0))*MIN(1,MAX(0,(INDEX(Raw_Est!$D$2:$D$100,MATCH($A5,Raw_Est!$A$2:$A$100,0))-TODAY())/Config!$B$8))+INDEX(Raw_Est!$C$2:$C$100,MATCH($A5,Raw_Est!$A$2:$A$100,0))*(1-MIN(1,MAX(0,(INDEX(Raw_Est!$D$2:$D$100,MATCH($A5,Raw_Est!$A$2:$A$100,0))-TODAY())/Config!$B$8))),""))</f>
        <v>3.45226301369863</v>
      </c>
      <c r="I5" s="49" t="n">
        <f aca="false">IF($A5="","",IFERROR(SUMIFS(Raw_Q!$K$2:$K$600,Raw_Q!$A$2:$A$600,$A5,Raw_Q!$P$2:$P$600,"&gt;=1",Raw_Q!$P$2:$P$600,"&lt;=4")/SUMIFS(Raw_Q!$K$2:$K$600,Raw_Q!$A$2:$A$600,$A5,Raw_Q!$P$2:$P$600,"&gt;=5",Raw_Q!$P$2:$P$600,"&lt;=8")-1,""))</f>
        <v>-0.731707317073171</v>
      </c>
      <c r="J5" s="52" t="str">
        <f aca="false">IF($A5="","",IFERROR(IF(F5&lt;=0,"N/M",D5/F5),"N/M"))</f>
        <v>N/M</v>
      </c>
      <c r="K5" s="52" t="n">
        <f aca="false">IF($A5="","",IFERROR(IF(G5&lt;=0,"N/M",D5/G5),"N/M"))</f>
        <v>781.237318366343</v>
      </c>
      <c r="L5" s="52" t="n">
        <f aca="false">IF($A5="","",IFERROR(IF(H5&lt;=0,"N/M",D5/H5),"N/M"))</f>
        <v>27.909228842589</v>
      </c>
      <c r="M5" s="49" t="n">
        <f aca="false">IF($A5="","",IFERROR(INDEX(Raw_Est!$C$2:$C$100,MATCH($A5,Raw_Est!$A$2:$A$100,0))/INDEX(Raw_Est!$B$2:$B$100,MATCH($A5,Raw_Est!$A$2:$A$100,0))-1,""))</f>
        <v>5.76764705882353</v>
      </c>
      <c r="N5" s="51" t="str">
        <f aca="false">IF($A5="","",IFERROR(IF(OR(NOT(ISNUMBER(J5)),I5&lt;Config!$B$6),"N/M",J5/(I5*100)),"N/M"))</f>
        <v>N/M</v>
      </c>
      <c r="O5" s="51" t="n">
        <f aca="false">IF($A5="","",IFERROR(IF(OR(NOT(ISNUMBER(L5)),M5&lt;Config!$B$6),"N/M",L5/(M5*100)),"N/M"))</f>
        <v>0.0483892799922502</v>
      </c>
      <c r="P5" s="51" t="n">
        <f aca="false">IF($A5="","",IFERROR(SUMIFS(Raw_Q!$N$2:$N$600,Raw_Q!$A$2:$A$600,$A5,Raw_Q!$P$2:$P$600,"&gt;=1",Raw_Q!$P$2:$P$600,"&lt;=4"),""))</f>
        <v>0</v>
      </c>
      <c r="Q5" s="49" t="str">
        <f aca="false">IF($A5="","",IFERROR(IF(P5=0,"不配息",P5/D5),""))</f>
        <v>不配息</v>
      </c>
      <c r="R5" s="49" t="str">
        <f aca="false">IF($A5="","",IFERROR(IF(SUMIFS(Raw_Q!$N$2:$N$600,Raw_Q!$A$2:$A$600,$A5,Raw_Q!$P$2:$P$600,"&gt;=5",Raw_Q!$P$2:$P$600,"&lt;=8")=0,"",SUMIFS(Raw_Q!$N$2:$N$600,Raw_Q!$A$2:$A$600,$A5,Raw_Q!$P$2:$P$600,"&gt;=1",Raw_Q!$P$2:$P$600,"&lt;=4")/SUMIFS(Raw_Q!$N$2:$N$600,Raw_Q!$A$2:$A$600,$A5,Raw_Q!$P$2:$P$600,"&gt;=5",Raw_Q!$P$2:$P$600,"&lt;=8")-1),""))</f>
        <v/>
      </c>
      <c r="S5" s="49" t="n">
        <f aca="false">IF($A5="","",IFERROR(SUMIFS(Raw_Q!$I$2:$I$600,Raw_Q!$A$2:$A$600,$A5,Raw_Q!$P$2:$P$600,1)/SUMIFS(Raw_Q!$I$2:$I$600,Raw_Q!$A$2:$A$600,$A5,Raw_Q!$P$2:$P$600,5)-1,""))</f>
        <v>0.864189136685057</v>
      </c>
      <c r="T5" s="49" t="n">
        <f aca="false">IF($A5="","",IFERROR(SUMIFS(Raw_Q!$I$2:$I$600,Raw_Q!$A$2:$A$600,$A5,Raw_Q!$P$2:$P$600,1)/SUMIFS(Raw_Q!$I$2:$I$600,Raw_Q!$A$2:$A$600,$A5,Raw_Q!$P$2:$P$600,2)-1,""))</f>
        <v>0.269795691525962</v>
      </c>
      <c r="U5" s="49" t="n">
        <f aca="false">IF($A5="","",IFERROR(SUMIFS(Raw_Q!$I$2:$I$600,Raw_Q!$A$2:$A$600,$A5,Raw_Q!$P$2:$P$600,2)/SUMIFS(Raw_Q!$I$2:$I$600,Raw_Q!$A$2:$A$600,$A5,Raw_Q!$P$2:$P$600,3)-1,""))</f>
        <v>0.125638619539151</v>
      </c>
      <c r="V5" s="68" t="n">
        <f aca="false">IF($A5="","",IFERROR((T5-U5)*100,""))</f>
        <v>14.4157071986811</v>
      </c>
      <c r="W5" s="66" t="str">
        <f aca="false">IF($A5="","",IFERROR(IF(NOT(ISNUMBER(T5)),"",IF(T5&gt;0,IF(V5&gt;0,"成長且加速","成長但減速"),IF(V5&gt;0,"衰退但收斂","衰退且惡化"))),""))</f>
        <v>成長且加速</v>
      </c>
      <c r="X5" s="68" t="n">
        <f aca="false">IF($A5="","",IFERROR((T5-(SUMIFS(Raw_Q!$I$2:$I$600,Raw_Q!$A$2:$A$600,$A5,Raw_Q!$P$2:$P$600,5)/SUMIFS(Raw_Q!$I$2:$I$600,Raw_Q!$A$2:$A$600,$A5,Raw_Q!$P$2:$P$600,6)-1))*100,""))</f>
        <v>23.8822018647203</v>
      </c>
      <c r="Y5" s="49" t="n">
        <f aca="false">IF($A5="","",IFERROR(SUMIFS(Raw_Q!$K$2:$K$600,Raw_Q!$A$2:$A$600,$A5,Raw_Q!$P$2:$P$600,1)/SUMIFS(Raw_Q!$K$2:$K$600,Raw_Q!$A$2:$A$600,$A5,Raw_Q!$P$2:$P$600,5)-1,""))</f>
        <v>-1.375</v>
      </c>
      <c r="Z5" s="49" t="n">
        <f aca="false">IF($A5="","",IFERROR(SUMIFS(Raw_Q!$J$2:$J$600,Raw_Q!$A$2:$A$600,$A5,Raw_Q!$P$2:$P$600,"&gt;=1",Raw_Q!$P$2:$P$600,"&lt;=4")/E5,""))</f>
        <v>0.289158850277699</v>
      </c>
      <c r="AA5" s="49" t="n">
        <f aca="false">IF($A5="","",IFERROR(SUMIFS(Raw_Q!$J$2:$J$600,Raw_Q!$A$2:$A$600,$A5,Raw_Q!$P$2:$P$600,"&gt;=1",Raw_Q!$P$2:$P$600,"&lt;="&amp;Config!$B$5)/SUMIFS(Raw_Q!$I$2:$I$600,Raw_Q!$A$2:$A$600,$A5,Raw_Q!$P$2:$P$600,"&gt;=1",Raw_Q!$P$2:$P$600,"&lt;="&amp;Config!$B$5),""))</f>
        <v>0.253464763497746</v>
      </c>
      <c r="AB5" s="50" t="n">
        <f aca="false">IF($A5="","",IFERROR((Z5-AA5)*10000,""))</f>
        <v>356.940867799522</v>
      </c>
      <c r="AC5" s="50" t="n">
        <f aca="false">IF($A5="","",IFERROR((SUMIFS(Raw_Q!$J$2:$J$600,Raw_Q!$A$2:$A$600,$A5,Raw_Q!$P$2:$P$600,1)/SUMIFS(Raw_Q!$I$2:$I$600,Raw_Q!$A$2:$A$600,$A5,Raw_Q!$P$2:$P$600,1)-SUMIFS(Raw_Q!$J$2:$J$600,Raw_Q!$A$2:$A$600,$A5,Raw_Q!$P$2:$P$600,5)/SUMIFS(Raw_Q!$I$2:$I$600,Raw_Q!$A$2:$A$600,$A5,Raw_Q!$P$2:$P$600,5))*10000,""))</f>
        <v>-254.523289533234</v>
      </c>
      <c r="AD5" s="51" t="n">
        <f aca="false">IF($A5="","",IFERROR(SUMIFS(Raw_Q!$M$2:$M$600,Raw_Q!$A$2:$A$600,$A5,Raw_Q!$P$2:$P$600,1)/SUMIFS(Raw_Q!$L$2:$L$600,Raw_Q!$A$2:$A$600,$A5,Raw_Q!$P$2:$P$600,1),""))</f>
        <v>20.4495022557866</v>
      </c>
      <c r="AE5" s="48" t="n">
        <f aca="false">IF($A5="","",IFERROR(SUMPRODUCT((Raw_Q!$A$2:$A$600=$A5)*(Raw_Q!$P$2:$P$600&gt;=1)*(Raw_Q!$P$2:$P$600&lt;=4)*Raw_Q!$K$2:$K$600*Raw_Q!$L$2:$L$600),""))</f>
        <v>-6.82749</v>
      </c>
      <c r="AF5" s="49" t="n">
        <f aca="false">IF($A5="","",IFERROR(IF(MIN(SUMIFS(Raw_Q!$M$2:$M$600,Raw_Q!$A$2:$A$600,$A5,Raw_Q!$P$2:$P$600,1),SUMIFS(Raw_Q!$M$2:$M$600,Raw_Q!$A$2:$A$600,$A5,Raw_Q!$P$2:$P$600,5))&lt;=0,"N/M",AE5/((SUMIFS(Raw_Q!$M$2:$M$600,Raw_Q!$A$2:$A$600,$A5,Raw_Q!$P$2:$P$600,1)+SUMIFS(Raw_Q!$M$2:$M$600,Raw_Q!$A$2:$A$600,$A5,Raw_Q!$P$2:$P$600,5))/2)),"N/M"))</f>
        <v>-0.00652409978757825</v>
      </c>
      <c r="AG5" s="49" t="n">
        <f aca="false">IF($A5="","",IFERROR(AVERAGE(AO5:AS5),""))</f>
        <v>-0.126183636440972</v>
      </c>
      <c r="AH5" s="49" t="n">
        <f aca="false">IF($A5="","",IFERROR(IF(AD5&lt;=0,"N/M",INDEX(Raw_Est!$B$2:$B$100,MATCH($A5,Raw_Est!$A$2:$A$100,0))/AD5),"N/M"))</f>
        <v>0.0332526430958769</v>
      </c>
      <c r="AI5" s="51" t="n">
        <f aca="false">IF($A5="","",IFERROR(SUMIFS(Raw_Q!$K$2:$K$600,Raw_Q!$A$2:$A$600,$A5,Raw_Q!$P$2:$P$600,0),""))</f>
        <v>0.14333</v>
      </c>
      <c r="AJ5" s="66" t="str">
        <f aca="false">IF($A5="","",IFERROR(INDEX(Raw_Q!$B$2:$B$600,MATCH($A5&amp;"|"&amp;0,Raw_Q!$Q$2:$Q$600,0)),""))</f>
        <v>FY2026Q3E</v>
      </c>
      <c r="AK5" s="66" t="str">
        <f aca="false">IF($A5="","",IFERROR(INDEX(Raw_Q!$G$2:$G$600,MATCH($A5&amp;"|"&amp;0,Raw_Q!$Q$2:$Q$600,0)),""))</f>
        <v>consensus</v>
      </c>
      <c r="AL5" s="47" t="n">
        <f aca="false">IF($A5="","",IFERROR(INDEX(Raw_Est!$E$2:$E$100,MATCH($A5,Raw_Est!$A$2:$A$100,0)),""))</f>
        <v>6</v>
      </c>
      <c r="AM5" s="67" t="n">
        <f aca="false">IF($A5="","",IFERROR(INDEX(Raw_Price!$D$2:$D$100,MATCH($A5,Raw_Price!$A$2:$A$100,0)),""))</f>
        <v>46331</v>
      </c>
      <c r="AN5" s="67" t="n">
        <f aca="false">IF($A5="","",IFERROR(INDEX(Raw_Price!$E$2:$E$100,MATCH($A5,Raw_Price!$A$2:$A$100,0)),""))</f>
        <v>46280</v>
      </c>
      <c r="AO5" s="49" t="n">
        <f aca="false">IF($A5="","",IFERROR(IF(MIN(SUMIFS(Raw_Q!$M$2:$M$600,Raw_Q!$A$2:$A$600,$A5,Raw_Q!$P$2:$P$600,1),SUMIFS(Raw_Q!$M$2:$M$600,Raw_Q!$A$2:$A$600,$A5,Raw_Q!$P$2:$P$600,5))&lt;=0,"",SUMPRODUCT((Raw_Q!$A$2:$A$600=$A5)*(Raw_Q!$P$2:$P$600&gt;=1)*(Raw_Q!$P$2:$P$600&lt;=4)*Raw_Q!$K$2:$K$600*Raw_Q!$L$2:$L$600)/((SUMIFS(Raw_Q!$M$2:$M$600,Raw_Q!$A$2:$A$600,$A5,Raw_Q!$P$2:$P$600,1)+SUMIFS(Raw_Q!$M$2:$M$600,Raw_Q!$A$2:$A$600,$A5,Raw_Q!$P$2:$P$600,5))/2)),""))</f>
        <v>-0.00652409978757825</v>
      </c>
      <c r="AP5" s="49" t="n">
        <f aca="false">IF($A5="","",IFERROR(IF(MIN(SUMIFS(Raw_Q!$M$2:$M$600,Raw_Q!$A$2:$A$600,$A5,Raw_Q!$P$2:$P$600,5),SUMIFS(Raw_Q!$M$2:$M$600,Raw_Q!$A$2:$A$600,$A5,Raw_Q!$P$2:$P$600,9))&lt;=0,"",SUMPRODUCT((Raw_Q!$A$2:$A$600=$A5)*(Raw_Q!$P$2:$P$600&gt;=5)*(Raw_Q!$P$2:$P$600&lt;=8)*Raw_Q!$K$2:$K$600*Raw_Q!$L$2:$L$600)/((SUMIFS(Raw_Q!$M$2:$M$600,Raw_Q!$A$2:$A$600,$A5,Raw_Q!$P$2:$P$600,5)+SUMIFS(Raw_Q!$M$2:$M$600,Raw_Q!$A$2:$A$600,$A5,Raw_Q!$P$2:$P$600,9))/2)),""))</f>
        <v>-0.0649546122408929</v>
      </c>
      <c r="AQ5" s="49" t="n">
        <f aca="false">IF($A5="","",IFERROR(IF(MIN(SUMIFS(Raw_Q!$M$2:$M$600,Raw_Q!$A$2:$A$600,$A5,Raw_Q!$P$2:$P$600,9),SUMIFS(Raw_Q!$M$2:$M$600,Raw_Q!$A$2:$A$600,$A5,Raw_Q!$P$2:$P$600,13))&lt;=0,"",SUMPRODUCT((Raw_Q!$A$2:$A$600=$A5)*(Raw_Q!$P$2:$P$600&gt;=9)*(Raw_Q!$P$2:$P$600&lt;=12)*Raw_Q!$K$2:$K$600*Raw_Q!$L$2:$L$600)/((SUMIFS(Raw_Q!$M$2:$M$600,Raw_Q!$A$2:$A$600,$A5,Raw_Q!$P$2:$P$600,9)+SUMIFS(Raw_Q!$M$2:$M$600,Raw_Q!$A$2:$A$600,$A5,Raw_Q!$P$2:$P$600,13))/2)),""))</f>
        <v>-0.120975870857434</v>
      </c>
      <c r="AR5" s="49" t="n">
        <f aca="false">IF($A5="","",IFERROR(IF(MIN(SUMIFS(Raw_Q!$M$2:$M$600,Raw_Q!$A$2:$A$600,$A5,Raw_Q!$P$2:$P$600,13),SUMIFS(Raw_Q!$M$2:$M$600,Raw_Q!$A$2:$A$600,$A5,Raw_Q!$P$2:$P$600,17))&lt;=0,"",SUMPRODUCT((Raw_Q!$A$2:$A$600=$A5)*(Raw_Q!$P$2:$P$600&gt;=13)*(Raw_Q!$P$2:$P$600&lt;=16)*Raw_Q!$K$2:$K$600*Raw_Q!$L$2:$L$600)/((SUMIFS(Raw_Q!$M$2:$M$600,Raw_Q!$A$2:$A$600,$A5,Raw_Q!$P$2:$P$600,13)+SUMIFS(Raw_Q!$M$2:$M$600,Raw_Q!$A$2:$A$600,$A5,Raw_Q!$P$2:$P$600,17))/2)),""))</f>
        <v>-0.183491696081786</v>
      </c>
      <c r="AS5" s="49" t="n">
        <f aca="false">IF($A5="","",IFERROR(IF(MIN(SUMIFS(Raw_Q!$M$2:$M$600,Raw_Q!$A$2:$A$600,$A5,Raw_Q!$P$2:$P$600,17),SUMIFS(Raw_Q!$M$2:$M$600,Raw_Q!$A$2:$A$600,$A5,Raw_Q!$P$2:$P$600,21))&lt;=0,"",SUMPRODUCT((Raw_Q!$A$2:$A$600=$A5)*(Raw_Q!$P$2:$P$600&gt;=17)*(Raw_Q!$P$2:$P$600&lt;=20)*Raw_Q!$K$2:$K$600*Raw_Q!$L$2:$L$600)/((SUMIFS(Raw_Q!$M$2:$M$600,Raw_Q!$A$2:$A$600,$A5,Raw_Q!$P$2:$P$600,17)+SUMIFS(Raw_Q!$M$2:$M$600,Raw_Q!$A$2:$A$600,$A5,Raw_Q!$P$2:$P$600,21))/2)),""))</f>
        <v>-0.254971903237168</v>
      </c>
    </row>
    <row r="6" customFormat="false" ht="15" hidden="false" customHeight="false" outlineLevel="0" collapsed="false">
      <c r="A6" s="16" t="str">
        <f aca="false">IF(Tickers!A6="","",Tickers!A6)</f>
        <v>MRVL</v>
      </c>
      <c r="B6" s="66" t="str">
        <f aca="false">IF($A6="","",IFERROR(INDEX(Tickers!$B$2:$B$100,MATCH($A6,Tickers!$A$2:$A$100,0)),""))</f>
        <v>Marvell Technology, Inc.</v>
      </c>
      <c r="C6" s="66" t="str">
        <f aca="false">IF($A6="","",IFERROR(INDEX(Tickers!$D$2:$D$100,MATCH($A6,Tickers!$A$2:$A$100,0)),""))</f>
        <v>池子</v>
      </c>
      <c r="D6" s="51" t="n">
        <f aca="false">IF($A6="","",IFERROR(INDEX(Raw_Price!$B$2:$B$100,MATCH($A6,Raw_Price!$A$2:$A$100,0)),""))</f>
        <v>224.320007324219</v>
      </c>
      <c r="E6" s="48" t="n">
        <f aca="false">IF($A6="","",IFERROR(SUMIFS(Raw_Q!$I$2:$I$600,Raw_Q!$A$2:$A$600,$A6,Raw_Q!$P$2:$P$600,"&gt;=1",Raw_Q!$P$2:$P$600,"&lt;=4"),""))</f>
        <v>9450.3</v>
      </c>
      <c r="F6" s="51" t="n">
        <f aca="false">IF($A6="","",IFERROR(SUMIFS(Raw_Q!$K$2:$K$600,Raw_Q!$A$2:$A$600,$A6,Raw_Q!$P$2:$P$600,"&gt;=1",Raw_Q!$P$2:$P$600,"&lt;=4"),""))</f>
        <v>3.3</v>
      </c>
      <c r="G6" s="51" t="n">
        <f aca="false">IF($A6="","",IFERROR(SUMIFS(Raw_Q!$K$2:$K$600,Raw_Q!$A$2:$A$600,$A6,Raw_Q!$P$2:$P$600,"&gt;=0",Raw_Q!$P$2:$P$600,"&lt;=3"),""))</f>
        <v>3.6404</v>
      </c>
      <c r="H6" s="51" t="n">
        <f aca="true">IF($A6="","",IFERROR(INDEX(Raw_Est!$B$2:$B$100,MATCH($A6,Raw_Est!$A$2:$A$100,0))*MIN(1,MAX(0,(INDEX(Raw_Est!$D$2:$D$100,MATCH($A6,Raw_Est!$A$2:$A$100,0))-TODAY())/Config!$B$8))+INDEX(Raw_Est!$C$2:$C$100,MATCH($A6,Raw_Est!$A$2:$A$100,0))*(1-MIN(1,MAX(0,(INDEX(Raw_Est!$D$2:$D$100,MATCH($A6,Raw_Est!$A$2:$A$100,0))-TODAY())/Config!$B$8))),""))</f>
        <v>5.7974314520548</v>
      </c>
      <c r="I6" s="49" t="n">
        <f aca="false">IF($A6="","",IFERROR(SUMIFS(Raw_Q!$K$2:$K$600,Raw_Q!$A$2:$A$600,$A6,Raw_Q!$P$2:$P$600,"&gt;=1",Raw_Q!$P$2:$P$600,"&lt;=4")/SUMIFS(Raw_Q!$K$2:$K$600,Raw_Q!$A$2:$A$600,$A6,Raw_Q!$P$2:$P$600,"&gt;=5",Raw_Q!$P$2:$P$600,"&lt;=8")-1,""))</f>
        <v>0.422413793103448</v>
      </c>
      <c r="J6" s="52" t="n">
        <f aca="false">IF($A6="","",IFERROR(IF(F6&lt;=0,"N/M",D6/F6),"N/M"))</f>
        <v>67.9757597952178</v>
      </c>
      <c r="K6" s="52" t="n">
        <f aca="false">IF($A6="","",IFERROR(IF(G6&lt;=0,"N/M",D6/G6),"N/M"))</f>
        <v>61.6196042534389</v>
      </c>
      <c r="L6" s="52" t="n">
        <f aca="false">IF($A6="","",IFERROR(IF(H6&lt;=0,"N/M",D6/H6),"N/M"))</f>
        <v>38.6929986459284</v>
      </c>
      <c r="M6" s="49" t="n">
        <f aca="false">IF($A6="","",IFERROR(INDEX(Raw_Est!$C$2:$C$100,MATCH($A6,Raw_Est!$A$2:$A$100,0))/INDEX(Raw_Est!$B$2:$B$100,MATCH($A6,Raw_Est!$A$2:$A$100,0))-1,""))</f>
        <v>0.604838633105138</v>
      </c>
      <c r="N6" s="51" t="n">
        <f aca="false">IF($A6="","",IFERROR(IF(OR(NOT(ISNUMBER(J6)),I6&lt;Config!$B$6),"N/M",J6/(I6*100)),"N/M"))</f>
        <v>1.60922206862148</v>
      </c>
      <c r="O6" s="51" t="n">
        <f aca="false">IF($A6="","",IFERROR(IF(OR(NOT(ISNUMBER(L6)),M6&lt;Config!$B$6),"N/M",L6/(M6*100)),"N/M"))</f>
        <v>0.639724325268133</v>
      </c>
      <c r="P6" s="51" t="n">
        <f aca="false">IF($A6="","",IFERROR(SUMIFS(Raw_Q!$N$2:$N$600,Raw_Q!$A$2:$A$600,$A6,Raw_Q!$P$2:$P$600,"&gt;=1",Raw_Q!$P$2:$P$600,"&lt;=4"),""))</f>
        <v>0.24</v>
      </c>
      <c r="Q6" s="49" t="n">
        <f aca="false">IF($A6="","",IFERROR(IF(P6=0,"不配息",P6/D6),""))</f>
        <v>0.0010699001077203</v>
      </c>
      <c r="R6" s="49" t="n">
        <f aca="false">IF($A6="","",IFERROR(IF(SUMIFS(Raw_Q!$N$2:$N$600,Raw_Q!$A$2:$A$600,$A6,Raw_Q!$P$2:$P$600,"&gt;=5",Raw_Q!$P$2:$P$600,"&lt;=8")=0,"",SUMIFS(Raw_Q!$N$2:$N$600,Raw_Q!$A$2:$A$600,$A6,Raw_Q!$P$2:$P$600,"&gt;=1",Raw_Q!$P$2:$P$600,"&lt;=4")/SUMIFS(Raw_Q!$N$2:$N$600,Raw_Q!$A$2:$A$600,$A6,Raw_Q!$P$2:$P$600,"&gt;=5",Raw_Q!$P$2:$P$600,"&lt;=8")-1),""))</f>
        <v>0</v>
      </c>
      <c r="S6" s="49" t="n">
        <f aca="false">IF($A6="","",IFERROR(SUMIFS(Raw_Q!$I$2:$I$600,Raw_Q!$A$2:$A$600,$A6,Raw_Q!$P$2:$P$600,1)/SUMIFS(Raw_Q!$I$2:$I$600,Raw_Q!$A$2:$A$600,$A6,Raw_Q!$P$2:$P$600,5)-1,""))</f>
        <v>0.365485269926724</v>
      </c>
      <c r="T6" s="49" t="n">
        <f aca="false">IF($A6="","",IFERROR(SUMIFS(Raw_Q!$I$2:$I$600,Raw_Q!$A$2:$A$600,$A6,Raw_Q!$P$2:$P$600,1)/SUMIFS(Raw_Q!$I$2:$I$600,Raw_Q!$A$2:$A$600,$A6,Raw_Q!$P$2:$P$600,2)-1,""))</f>
        <v>0.132972123417983</v>
      </c>
      <c r="U6" s="49" t="n">
        <f aca="false">IF($A6="","",IFERROR(SUMIFS(Raw_Q!$I$2:$I$600,Raw_Q!$A$2:$A$600,$A6,Raw_Q!$P$2:$P$600,2)/SUMIFS(Raw_Q!$I$2:$I$600,Raw_Q!$A$2:$A$600,$A6,Raw_Q!$P$2:$P$600,3)-1,""))</f>
        <v>0.0897372335151216</v>
      </c>
      <c r="V6" s="68" t="n">
        <f aca="false">IF($A6="","",IFERROR((T6-U6)*100,""))</f>
        <v>4.32348899028616</v>
      </c>
      <c r="W6" s="66" t="str">
        <f aca="false">IF($A6="","",IFERROR(IF(NOT(ISNUMBER(T6)),"",IF(T6&gt;0,IF(V6&gt;0,"成長且加速","成長但減速"),IF(V6&gt;0,"衰退但收斂","衰退且惡化"))),""))</f>
        <v>成長且加速</v>
      </c>
      <c r="X6" s="68" t="n">
        <f aca="false">IF($A6="","",IFERROR((T6-(SUMIFS(Raw_Q!$I$2:$I$600,Raw_Q!$A$2:$A$600,$A6,Raw_Q!$P$2:$P$600,5)/SUMIFS(Raw_Q!$I$2:$I$600,Raw_Q!$A$2:$A$600,$A6,Raw_Q!$P$2:$P$600,6)-1))*100,""))</f>
        <v>7.4511721370814</v>
      </c>
      <c r="Y6" s="49" t="n">
        <f aca="false">IF($A6="","",IFERROR(SUMIFS(Raw_Q!$K$2:$K$600,Raw_Q!$A$2:$A$600,$A6,Raw_Q!$P$2:$P$600,1)/SUMIFS(Raw_Q!$K$2:$K$600,Raw_Q!$A$2:$A$600,$A6,Raw_Q!$P$2:$P$600,5)-1,""))</f>
        <v>0.402985074626866</v>
      </c>
      <c r="Z6" s="49" t="n">
        <f aca="false">IF($A6="","",IFERROR(SUMIFS(Raw_Q!$J$2:$J$600,Raw_Q!$A$2:$A$600,$A6,Raw_Q!$P$2:$P$600,"&gt;=1",Raw_Q!$P$2:$P$600,"&lt;=4")/E6,""))</f>
        <v>0.522110409193359</v>
      </c>
      <c r="AA6" s="49" t="n">
        <f aca="false">IF($A6="","",IFERROR(SUMIFS(Raw_Q!$J$2:$J$600,Raw_Q!$A$2:$A$600,$A6,Raw_Q!$P$2:$P$600,"&gt;=1",Raw_Q!$P$2:$P$600,"&lt;="&amp;Config!$B$5)/SUMIFS(Raw_Q!$I$2:$I$600,Raw_Q!$A$2:$A$600,$A6,Raw_Q!$P$2:$P$600,"&gt;=1",Raw_Q!$P$2:$P$600,"&lt;="&amp;Config!$B$5),""))</f>
        <v>0.478380825799555</v>
      </c>
      <c r="AB6" s="50" t="n">
        <f aca="false">IF($A6="","",IFERROR((Z6-AA6)*10000,""))</f>
        <v>437.295833938042</v>
      </c>
      <c r="AC6" s="50" t="n">
        <f aca="false">IF($A6="","",IFERROR((SUMIFS(Raw_Q!$J$2:$J$600,Raw_Q!$A$2:$A$600,$A6,Raw_Q!$P$2:$P$600,1)/SUMIFS(Raw_Q!$I$2:$I$600,Raw_Q!$A$2:$A$600,$A6,Raw_Q!$P$2:$P$600,1)-SUMIFS(Raw_Q!$J$2:$J$600,Raw_Q!$A$2:$A$600,$A6,Raw_Q!$P$2:$P$600,5)/SUMIFS(Raw_Q!$I$2:$I$600,Raw_Q!$A$2:$A$600,$A6,Raw_Q!$P$2:$P$600,5))*10000,""))</f>
        <v>276.131078056631</v>
      </c>
      <c r="AD6" s="51" t="n">
        <f aca="false">IF($A6="","",IFERROR(SUMIFS(Raw_Q!$M$2:$M$600,Raw_Q!$A$2:$A$600,$A6,Raw_Q!$P$2:$P$600,1)/SUMIFS(Raw_Q!$L$2:$L$600,Raw_Q!$A$2:$A$600,$A6,Raw_Q!$P$2:$P$600,1),""))</f>
        <v>20.1168041684759</v>
      </c>
      <c r="AE6" s="48" t="n">
        <f aca="false">IF($A6="","",IFERROR(SUMPRODUCT((Raw_Q!$A$2:$A$600=$A6)*(Raw_Q!$P$2:$P$600&gt;=1)*(Raw_Q!$P$2:$P$600&lt;=4)*Raw_Q!$K$2:$K$600*Raw_Q!$L$2:$L$600),""))</f>
        <v>2921.94</v>
      </c>
      <c r="AF6" s="49" t="n">
        <f aca="false">IF($A6="","",IFERROR(IF(MIN(SUMIFS(Raw_Q!$M$2:$M$600,Raw_Q!$A$2:$A$600,$A6,Raw_Q!$P$2:$P$600,1),SUMIFS(Raw_Q!$M$2:$M$600,Raw_Q!$A$2:$A$600,$A6,Raw_Q!$P$2:$P$600,5))&lt;=0,"N/M",AE6/((SUMIFS(Raw_Q!$M$2:$M$600,Raw_Q!$A$2:$A$600,$A6,Raw_Q!$P$2:$P$600,1)+SUMIFS(Raw_Q!$M$2:$M$600,Raw_Q!$A$2:$A$600,$A6,Raw_Q!$P$2:$P$600,5))/2)),"N/M"))</f>
        <v>0.182888152397405</v>
      </c>
      <c r="AG6" s="49" t="n">
        <f aca="false">IF($A6="","",IFERROR(AVERAGE(AO6:AS6),""))</f>
        <v>0.0988212987040118</v>
      </c>
      <c r="AH6" s="49" t="n">
        <f aca="false">IF($A6="","",IFERROR(IF(AD6&lt;=0,"N/M",INDEX(Raw_Est!$B$2:$B$100,MATCH($A6,Raw_Est!$A$2:$A$100,0))/AD6),"N/M"))</f>
        <v>0.209414972911136</v>
      </c>
      <c r="AI6" s="51" t="n">
        <f aca="false">IF($A6="","",IFERROR(SUMIFS(Raw_Q!$K$2:$K$600,Raw_Q!$A$2:$A$600,$A6,Raw_Q!$P$2:$P$600,0),""))</f>
        <v>1.1004</v>
      </c>
      <c r="AJ6" s="66" t="str">
        <f aca="false">IF($A6="","",IFERROR(INDEX(Raw_Q!$B$2:$B$600,MATCH($A6&amp;"|"&amp;0,Raw_Q!$Q$2:$Q$600,0)),""))</f>
        <v>FY2027Q3E</v>
      </c>
      <c r="AK6" s="66" t="str">
        <f aca="false">IF($A6="","",IFERROR(INDEX(Raw_Q!$G$2:$G$600,MATCH($A6&amp;"|"&amp;0,Raw_Q!$Q$2:$Q$600,0)),""))</f>
        <v>consensus</v>
      </c>
      <c r="AL6" s="47" t="n">
        <f aca="false">IF($A6="","",IFERROR(INDEX(Raw_Est!$E$2:$E$100,MATCH($A6,Raw_Est!$A$2:$A$100,0)),""))</f>
        <v>33</v>
      </c>
      <c r="AM6" s="67" t="n">
        <f aca="false">IF($A6="","",IFERROR(INDEX(Raw_Price!$D$2:$D$100,MATCH($A6,Raw_Price!$A$2:$A$100,0)),""))</f>
        <v>46357</v>
      </c>
      <c r="AN6" s="67" t="n">
        <f aca="false">IF($A6="","",IFERROR(INDEX(Raw_Price!$E$2:$E$100,MATCH($A6,Raw_Price!$A$2:$A$100,0)),""))</f>
        <v>46280</v>
      </c>
      <c r="AO6" s="49" t="n">
        <f aca="false">IF($A6="","",IFERROR(IF(MIN(SUMIFS(Raw_Q!$M$2:$M$600,Raw_Q!$A$2:$A$600,$A6,Raw_Q!$P$2:$P$600,1),SUMIFS(Raw_Q!$M$2:$M$600,Raw_Q!$A$2:$A$600,$A6,Raw_Q!$P$2:$P$600,5))&lt;=0,"",SUMPRODUCT((Raw_Q!$A$2:$A$600=$A6)*(Raw_Q!$P$2:$P$600&gt;=1)*(Raw_Q!$P$2:$P$600&lt;=4)*Raw_Q!$K$2:$K$600*Raw_Q!$L$2:$L$600)/((SUMIFS(Raw_Q!$M$2:$M$600,Raw_Q!$A$2:$A$600,$A6,Raw_Q!$P$2:$P$600,1)+SUMIFS(Raw_Q!$M$2:$M$600,Raw_Q!$A$2:$A$600,$A6,Raw_Q!$P$2:$P$600,5))/2)),""))</f>
        <v>0.182888152397405</v>
      </c>
      <c r="AP6" s="49" t="n">
        <f aca="false">IF($A6="","",IFERROR(IF(MIN(SUMIFS(Raw_Q!$M$2:$M$600,Raw_Q!$A$2:$A$600,$A6,Raw_Q!$P$2:$P$600,5),SUMIFS(Raw_Q!$M$2:$M$600,Raw_Q!$A$2:$A$600,$A6,Raw_Q!$P$2:$P$600,9))&lt;=0,"",SUMPRODUCT((Raw_Q!$A$2:$A$600=$A6)*(Raw_Q!$P$2:$P$600&gt;=5)*(Raw_Q!$P$2:$P$600&lt;=8)*Raw_Q!$K$2:$K$600*Raw_Q!$L$2:$L$600)/((SUMIFS(Raw_Q!$M$2:$M$600,Raw_Q!$A$2:$A$600,$A6,Raw_Q!$P$2:$P$600,5)+SUMIFS(Raw_Q!$M$2:$M$600,Raw_Q!$A$2:$A$600,$A6,Raw_Q!$P$2:$P$600,9))/2)),""))</f>
        <v>0.108467274293616</v>
      </c>
      <c r="AQ6" s="49" t="n">
        <f aca="false">IF($A6="","",IFERROR(IF(MIN(SUMIFS(Raw_Q!$M$2:$M$600,Raw_Q!$A$2:$A$600,$A6,Raw_Q!$P$2:$P$600,9),SUMIFS(Raw_Q!$M$2:$M$600,Raw_Q!$A$2:$A$600,$A6,Raw_Q!$P$2:$P$600,13))&lt;=0,"",SUMPRODUCT((Raw_Q!$A$2:$A$600=$A6)*(Raw_Q!$P$2:$P$600&gt;=9)*(Raw_Q!$P$2:$P$600&lt;=12)*Raw_Q!$K$2:$K$600*Raw_Q!$L$2:$L$600)/((SUMIFS(Raw_Q!$M$2:$M$600,Raw_Q!$A$2:$A$600,$A6,Raw_Q!$P$2:$P$600,9)+SUMIFS(Raw_Q!$M$2:$M$600,Raw_Q!$A$2:$A$600,$A6,Raw_Q!$P$2:$P$600,13))/2)),""))</f>
        <v>0.0505652420728246</v>
      </c>
      <c r="AR6" s="49" t="n">
        <f aca="false">IF($A6="","",IFERROR(IF(MIN(SUMIFS(Raw_Q!$M$2:$M$600,Raw_Q!$A$2:$A$600,$A6,Raw_Q!$P$2:$P$600,13),SUMIFS(Raw_Q!$M$2:$M$600,Raw_Q!$A$2:$A$600,$A6,Raw_Q!$P$2:$P$600,17))&lt;=0,"",SUMPRODUCT((Raw_Q!$A$2:$A$600=$A6)*(Raw_Q!$P$2:$P$600&gt;=13)*(Raw_Q!$P$2:$P$600&lt;=16)*Raw_Q!$K$2:$K$600*Raw_Q!$L$2:$L$600)/((SUMIFS(Raw_Q!$M$2:$M$600,Raw_Q!$A$2:$A$600,$A6,Raw_Q!$P$2:$P$600,13)+SUMIFS(Raw_Q!$M$2:$M$600,Raw_Q!$A$2:$A$600,$A6,Raw_Q!$P$2:$P$600,17))/2)),""))</f>
        <v>0.0672038861955323</v>
      </c>
      <c r="AS6" s="49" t="n">
        <f aca="false">IF($A6="","",IFERROR(IF(MIN(SUMIFS(Raw_Q!$M$2:$M$600,Raw_Q!$A$2:$A$600,$A6,Raw_Q!$P$2:$P$600,17),SUMIFS(Raw_Q!$M$2:$M$600,Raw_Q!$A$2:$A$600,$A6,Raw_Q!$P$2:$P$600,21))&lt;=0,"",SUMPRODUCT((Raw_Q!$A$2:$A$600=$A6)*(Raw_Q!$P$2:$P$600&gt;=17)*(Raw_Q!$P$2:$P$600&lt;=20)*Raw_Q!$K$2:$K$600*Raw_Q!$L$2:$L$600)/((SUMIFS(Raw_Q!$M$2:$M$600,Raw_Q!$A$2:$A$600,$A6,Raw_Q!$P$2:$P$600,17)+SUMIFS(Raw_Q!$M$2:$M$600,Raw_Q!$A$2:$A$600,$A6,Raw_Q!$P$2:$P$600,21))/2)),""))</f>
        <v>0.0849819385606816</v>
      </c>
    </row>
    <row r="7" customFormat="false" ht="15" hidden="false" customHeight="false" outlineLevel="0" collapsed="false">
      <c r="A7" s="16" t="str">
        <f aca="false">IF(Tickers!A7="","",Tickers!A7)</f>
        <v>MU</v>
      </c>
      <c r="B7" s="66" t="str">
        <f aca="false">IF($A7="","",IFERROR(INDEX(Tickers!$B$2:$B$100,MATCH($A7,Tickers!$A$2:$A$100,0)),""))</f>
        <v>Micron Technology, Inc.</v>
      </c>
      <c r="C7" s="66" t="str">
        <f aca="false">IF($A7="","",IFERROR(INDEX(Tickers!$D$2:$D$100,MATCH($A7,Tickers!$A$2:$A$100,0)),""))</f>
        <v>池子</v>
      </c>
      <c r="D7" s="51" t="n">
        <f aca="false">IF($A7="","",IFERROR(INDEX(Raw_Price!$B$2:$B$100,MATCH($A7,Raw_Price!$A$2:$A$100,0)),""))</f>
        <v>932.77001953125</v>
      </c>
      <c r="E7" s="48" t="n">
        <f aca="false">IF($A7="","",IFERROR(SUMIFS(Raw_Q!$I$2:$I$600,Raw_Q!$A$2:$A$600,$A7,Raw_Q!$P$2:$P$600,"&gt;=1",Raw_Q!$P$2:$P$600,"&lt;=4"),""))</f>
        <v>90274</v>
      </c>
      <c r="F7" s="51" t="n">
        <f aca="false">IF($A7="","",IFERROR(SUMIFS(Raw_Q!$K$2:$K$600,Raw_Q!$A$2:$A$600,$A7,Raw_Q!$P$2:$P$600,"&gt;=1",Raw_Q!$P$2:$P$600,"&lt;=4"),""))</f>
        <v>45.12</v>
      </c>
      <c r="G7" s="51" t="n">
        <f aca="false">IF($A7="","",IFERROR(SUMIFS(Raw_Q!$K$2:$K$600,Raw_Q!$A$2:$A$600,$A7,Raw_Q!$P$2:$P$600,"&gt;=0",Raw_Q!$P$2:$P$600,"&lt;=3"),""))</f>
        <v>73.37341</v>
      </c>
      <c r="H7" s="51" t="n">
        <f aca="true">IF($A7="","",IFERROR(INDEX(Raw_Est!$B$2:$B$100,MATCH($A7,Raw_Est!$A$2:$A$100,0))*MIN(1,MAX(0,(INDEX(Raw_Est!$D$2:$D$100,MATCH($A7,Raw_Est!$A$2:$A$100,0))-TODAY())/Config!$B$8))+INDEX(Raw_Est!$C$2:$C$100,MATCH($A7,Raw_Est!$A$2:$A$100,0))*(1-MIN(1,MAX(0,(INDEX(Raw_Est!$D$2:$D$100,MATCH($A7,Raw_Est!$A$2:$A$100,0))-TODAY())/Config!$B$8))),""))</f>
        <v>156.06607</v>
      </c>
      <c r="I7" s="49" t="n">
        <f aca="false">IF($A7="","",IFERROR(SUMIFS(Raw_Q!$K$2:$K$600,Raw_Q!$A$2:$A$600,$A7,Raw_Q!$P$2:$P$600,"&gt;=1",Raw_Q!$P$2:$P$600,"&lt;=4")/SUMIFS(Raw_Q!$K$2:$K$600,Raw_Q!$A$2:$A$600,$A7,Raw_Q!$P$2:$P$600,"&gt;=5",Raw_Q!$P$2:$P$600,"&lt;=8")-1,""))</f>
        <v>6.00621118012422</v>
      </c>
      <c r="J7" s="52" t="n">
        <f aca="false">IF($A7="","",IFERROR(IF(F7&lt;=0,"N/M",D7/F7),"N/M"))</f>
        <v>20.6730944045047</v>
      </c>
      <c r="K7" s="52" t="n">
        <f aca="false">IF($A7="","",IFERROR(IF(G7&lt;=0,"N/M",D7/G7),"N/M"))</f>
        <v>12.7126437156355</v>
      </c>
      <c r="L7" s="52" t="n">
        <f aca="false">IF($A7="","",IFERROR(IF(H7&lt;=0,"N/M",D7/H7),"N/M"))</f>
        <v>5.97676368432453</v>
      </c>
      <c r="M7" s="49" t="n">
        <f aca="false">IF($A7="","",IFERROR(INDEX(Raw_Est!$C$2:$C$100,MATCH($A7,Raw_Est!$A$2:$A$100,0))/INDEX(Raw_Est!$B$2:$B$100,MATCH($A7,Raw_Est!$A$2:$A$100,0))-1,""))</f>
        <v>1.12511824476363</v>
      </c>
      <c r="N7" s="51" t="n">
        <f aca="false">IF($A7="","",IFERROR(IF(OR(NOT(ISNUMBER(J7)),I7&lt;Config!$B$6),"N/M",J7/(I7*100)),"N/M"))</f>
        <v>0.0344195263611712</v>
      </c>
      <c r="O7" s="51" t="n">
        <f aca="false">IF($A7="","",IFERROR(IF(OR(NOT(ISNUMBER(L7)),M7&lt;Config!$B$6),"N/M",L7/(M7*100)),"N/M"))</f>
        <v>0.0531212049234892</v>
      </c>
      <c r="P7" s="51" t="n">
        <f aca="false">IF($A7="","",IFERROR(SUMIFS(Raw_Q!$N$2:$N$600,Raw_Q!$A$2:$A$600,$A7,Raw_Q!$P$2:$P$600,"&gt;=1",Raw_Q!$P$2:$P$600,"&lt;=4"),""))</f>
        <v>0.495</v>
      </c>
      <c r="Q7" s="49" t="n">
        <f aca="false">IF($A7="","",IFERROR(IF(P7=0,"不配息",P7/D7),""))</f>
        <v>0.000530677433488648</v>
      </c>
      <c r="R7" s="49" t="n">
        <f aca="false">IF($A7="","",IFERROR(IF(SUMIFS(Raw_Q!$N$2:$N$600,Raw_Q!$A$2:$A$600,$A7,Raw_Q!$P$2:$P$600,"&gt;=5",Raw_Q!$P$2:$P$600,"&lt;=8")=0,"",SUMIFS(Raw_Q!$N$2:$N$600,Raw_Q!$A$2:$A$600,$A7,Raw_Q!$P$2:$P$600,"&gt;=1",Raw_Q!$P$2:$P$600,"&lt;=4")/SUMIFS(Raw_Q!$N$2:$N$600,Raw_Q!$A$2:$A$600,$A7,Raw_Q!$P$2:$P$600,"&gt;=5",Raw_Q!$P$2:$P$600,"&lt;=8")-1),""))</f>
        <v>0.076086956521739</v>
      </c>
      <c r="S7" s="49" t="n">
        <f aca="false">IF($A7="","",IFERROR(SUMIFS(Raw_Q!$I$2:$I$600,Raw_Q!$A$2:$A$600,$A7,Raw_Q!$P$2:$P$600,1)/SUMIFS(Raw_Q!$I$2:$I$600,Raw_Q!$A$2:$A$600,$A7,Raw_Q!$P$2:$P$600,5)-1,""))</f>
        <v>3.45715514460811</v>
      </c>
      <c r="T7" s="49" t="n">
        <f aca="false">IF($A7="","",IFERROR(SUMIFS(Raw_Q!$I$2:$I$600,Raw_Q!$A$2:$A$600,$A7,Raw_Q!$P$2:$P$600,1)/SUMIFS(Raw_Q!$I$2:$I$600,Raw_Q!$A$2:$A$600,$A7,Raw_Q!$P$2:$P$600,2)-1,""))</f>
        <v>0.737468566638726</v>
      </c>
      <c r="U7" s="49" t="n">
        <f aca="false">IF($A7="","",IFERROR(SUMIFS(Raw_Q!$I$2:$I$600,Raw_Q!$A$2:$A$600,$A7,Raw_Q!$P$2:$P$600,2)/SUMIFS(Raw_Q!$I$2:$I$600,Raw_Q!$A$2:$A$600,$A7,Raw_Q!$P$2:$P$600,3)-1,""))</f>
        <v>0.74888221065748</v>
      </c>
      <c r="V7" s="68" t="n">
        <f aca="false">IF($A7="","",IFERROR((T7-U7)*100,""))</f>
        <v>-1.1413644018754</v>
      </c>
      <c r="W7" s="66" t="str">
        <f aca="false">IF($A7="","",IFERROR(IF(NOT(ISNUMBER(T7)),"",IF(T7&gt;0,IF(V7&gt;0,"成長且加速","成長但減速"),IF(V7&gt;0,"衰退但收斂","衰退且惡化"))),""))</f>
        <v>成長但減速</v>
      </c>
      <c r="X7" s="68" t="n">
        <f aca="false">IF($A7="","",IFERROR((T7-(SUMIFS(Raw_Q!$I$2:$I$600,Raw_Q!$A$2:$A$600,$A7,Raw_Q!$P$2:$P$600,5)/SUMIFS(Raw_Q!$I$2:$I$600,Raw_Q!$A$2:$A$600,$A7,Raw_Q!$P$2:$P$600,6)-1))*100,""))</f>
        <v>58.2495264763648</v>
      </c>
      <c r="Y7" s="49" t="n">
        <f aca="false">IF($A7="","",IFERROR(SUMIFS(Raw_Q!$K$2:$K$600,Raw_Q!$A$2:$A$600,$A7,Raw_Q!$P$2:$P$600,1)/SUMIFS(Raw_Q!$K$2:$K$600,Raw_Q!$A$2:$A$600,$A7,Raw_Q!$P$2:$P$600,5)-1,""))</f>
        <v>12.1465968586387</v>
      </c>
      <c r="Z7" s="49" t="n">
        <f aca="false">IF($A7="","",IFERROR(SUMIFS(Raw_Q!$J$2:$J$600,Raw_Q!$A$2:$A$600,$A7,Raw_Q!$P$2:$P$600,"&gt;=1",Raw_Q!$P$2:$P$600,"&lt;=4")/E7,""))</f>
        <v>0.725690675055941</v>
      </c>
      <c r="AA7" s="49" t="n">
        <f aca="false">IF($A7="","",IFERROR(SUMIFS(Raw_Q!$J$2:$J$600,Raw_Q!$A$2:$A$600,$A7,Raw_Q!$P$2:$P$600,"&gt;=1",Raw_Q!$P$2:$P$600,"&lt;="&amp;Config!$B$5)/SUMIFS(Raw_Q!$I$2:$I$600,Raw_Q!$A$2:$A$600,$A7,Raw_Q!$P$2:$P$600,"&gt;=1",Raw_Q!$P$2:$P$600,"&lt;="&amp;Config!$B$5),""))</f>
        <v>0.496566676869707</v>
      </c>
      <c r="AB7" s="50" t="n">
        <f aca="false">IF($A7="","",IFERROR((Z7-AA7)*10000,""))</f>
        <v>2291.23998186234</v>
      </c>
      <c r="AC7" s="50" t="n">
        <f aca="false">IF($A7="","",IFERROR((SUMIFS(Raw_Q!$J$2:$J$600,Raw_Q!$A$2:$A$600,$A7,Raw_Q!$P$2:$P$600,1)/SUMIFS(Raw_Q!$I$2:$I$600,Raw_Q!$A$2:$A$600,$A7,Raw_Q!$P$2:$P$600,1)-SUMIFS(Raw_Q!$J$2:$J$600,Raw_Q!$A$2:$A$600,$A7,Raw_Q!$P$2:$P$600,5)/SUMIFS(Raw_Q!$I$2:$I$600,Raw_Q!$A$2:$A$600,$A7,Raw_Q!$P$2:$P$600,5))*10000,""))</f>
        <v>4684.55706115273</v>
      </c>
      <c r="AD7" s="51" t="n">
        <f aca="false">IF($A7="","",IFERROR(SUMIFS(Raw_Q!$M$2:$M$600,Raw_Q!$A$2:$A$600,$A7,Raw_Q!$P$2:$P$600,1)/SUMIFS(Raw_Q!$L$2:$L$600,Raw_Q!$A$2:$A$600,$A7,Raw_Q!$P$2:$P$600,1),""))</f>
        <v>87.9685589519651</v>
      </c>
      <c r="AE7" s="48" t="n">
        <f aca="false">IF($A7="","",IFERROR(SUMPRODUCT((Raw_Q!$A$2:$A$600=$A7)*(Raw_Q!$P$2:$P$600&gt;=1)*(Raw_Q!$P$2:$P$600&lt;=4)*Raw_Q!$K$2:$K$600*Raw_Q!$L$2:$L$600),""))</f>
        <v>51549.92</v>
      </c>
      <c r="AF7" s="49" t="n">
        <f aca="false">IF($A7="","",IFERROR(IF(MIN(SUMIFS(Raw_Q!$M$2:$M$600,Raw_Q!$A$2:$A$600,$A7,Raw_Q!$P$2:$P$600,1),SUMIFS(Raw_Q!$M$2:$M$600,Raw_Q!$A$2:$A$600,$A7,Raw_Q!$P$2:$P$600,5))&lt;=0,"N/M",AE7/((SUMIFS(Raw_Q!$M$2:$M$600,Raw_Q!$A$2:$A$600,$A7,Raw_Q!$P$2:$P$600,1)+SUMIFS(Raw_Q!$M$2:$M$600,Raw_Q!$A$2:$A$600,$A7,Raw_Q!$P$2:$P$600,5))/2)),"N/M"))</f>
        <v>0.680652793915707</v>
      </c>
      <c r="AG7" s="49" t="n">
        <f aca="false">IF($A7="","",IFERROR(AVERAGE(AO7:AS7),""))</f>
        <v>0.179851756978296</v>
      </c>
      <c r="AH7" s="49" t="n">
        <f aca="false">IF($A7="","",IFERROR(IF(AD7&lt;=0,"N/M",INDEX(Raw_Est!$B$2:$B$100,MATCH($A7,Raw_Est!$A$2:$A$100,0))/AD7),"N/M"))</f>
        <v>0.834829749116397</v>
      </c>
      <c r="AI7" s="51" t="n">
        <f aca="false">IF($A7="","",IFERROR(SUMIFS(Raw_Q!$K$2:$K$600,Raw_Q!$A$2:$A$600,$A7,Raw_Q!$P$2:$P$600,0),""))</f>
        <v>31.28341</v>
      </c>
      <c r="AJ7" s="66" t="str">
        <f aca="false">IF($A7="","",IFERROR(INDEX(Raw_Q!$B$2:$B$600,MATCH($A7&amp;"|"&amp;0,Raw_Q!$Q$2:$Q$600,0)),""))</f>
        <v>FY2026Q4E</v>
      </c>
      <c r="AK7" s="66" t="str">
        <f aca="false">IF($A7="","",IFERROR(INDEX(Raw_Q!$G$2:$G$600,MATCH($A7&amp;"|"&amp;0,Raw_Q!$Q$2:$Q$600,0)),""))</f>
        <v>consensus</v>
      </c>
      <c r="AL7" s="47" t="n">
        <f aca="false">IF($A7="","",IFERROR(INDEX(Raw_Est!$E$2:$E$100,MATCH($A7,Raw_Est!$A$2:$A$100,0)),""))</f>
        <v>31</v>
      </c>
      <c r="AM7" s="67" t="n">
        <f aca="false">IF($A7="","",IFERROR(INDEX(Raw_Price!$D$2:$D$100,MATCH($A7,Raw_Price!$A$2:$A$100,0)),""))</f>
        <v>46295</v>
      </c>
      <c r="AN7" s="67" t="n">
        <f aca="false">IF($A7="","",IFERROR(INDEX(Raw_Price!$E$2:$E$100,MATCH($A7,Raw_Price!$A$2:$A$100,0)),""))</f>
        <v>46280</v>
      </c>
      <c r="AO7" s="49" t="n">
        <f aca="false">IF($A7="","",IFERROR(IF(MIN(SUMIFS(Raw_Q!$M$2:$M$600,Raw_Q!$A$2:$A$600,$A7,Raw_Q!$P$2:$P$600,1),SUMIFS(Raw_Q!$M$2:$M$600,Raw_Q!$A$2:$A$600,$A7,Raw_Q!$P$2:$P$600,5))&lt;=0,"",SUMPRODUCT((Raw_Q!$A$2:$A$600=$A7)*(Raw_Q!$P$2:$P$600&gt;=1)*(Raw_Q!$P$2:$P$600&lt;=4)*Raw_Q!$K$2:$K$600*Raw_Q!$L$2:$L$600)/((SUMIFS(Raw_Q!$M$2:$M$600,Raw_Q!$A$2:$A$600,$A7,Raw_Q!$P$2:$P$600,1)+SUMIFS(Raw_Q!$M$2:$M$600,Raw_Q!$A$2:$A$600,$A7,Raw_Q!$P$2:$P$600,5))/2)),""))</f>
        <v>0.680652793915707</v>
      </c>
      <c r="AP7" s="49" t="n">
        <f aca="false">IF($A7="","",IFERROR(IF(MIN(SUMIFS(Raw_Q!$M$2:$M$600,Raw_Q!$A$2:$A$600,$A7,Raw_Q!$P$2:$P$600,5),SUMIFS(Raw_Q!$M$2:$M$600,Raw_Q!$A$2:$A$600,$A7,Raw_Q!$P$2:$P$600,9))&lt;=0,"",SUMPRODUCT((Raw_Q!$A$2:$A$600=$A7)*(Raw_Q!$P$2:$P$600&gt;=5)*(Raw_Q!$P$2:$P$600&lt;=8)*Raw_Q!$K$2:$K$600*Raw_Q!$L$2:$L$600)/((SUMIFS(Raw_Q!$M$2:$M$600,Raw_Q!$A$2:$A$600,$A7,Raw_Q!$P$2:$P$600,5)+SUMIFS(Raw_Q!$M$2:$M$600,Raw_Q!$A$2:$A$600,$A7,Raw_Q!$P$2:$P$600,9))/2)),""))</f>
        <v>0.124672801743653</v>
      </c>
      <c r="AQ7" s="49" t="n">
        <f aca="false">IF($A7="","",IFERROR(IF(MIN(SUMIFS(Raw_Q!$M$2:$M$600,Raw_Q!$A$2:$A$600,$A7,Raw_Q!$P$2:$P$600,9),SUMIFS(Raw_Q!$M$2:$M$600,Raw_Q!$A$2:$A$600,$A7,Raw_Q!$P$2:$P$600,13))&lt;=0,"",SUMPRODUCT((Raw_Q!$A$2:$A$600=$A7)*(Raw_Q!$P$2:$P$600&gt;=9)*(Raw_Q!$P$2:$P$600&lt;=12)*Raw_Q!$K$2:$K$600*Raw_Q!$L$2:$L$600)/((SUMIFS(Raw_Q!$M$2:$M$600,Raw_Q!$A$2:$A$600,$A7,Raw_Q!$P$2:$P$600,9)+SUMIFS(Raw_Q!$M$2:$M$600,Raw_Q!$A$2:$A$600,$A7,Raw_Q!$P$2:$P$600,13))/2)),""))</f>
        <v>0.00231808546245677</v>
      </c>
      <c r="AR7" s="49" t="n">
        <f aca="false">IF($A7="","",IFERROR(IF(MIN(SUMIFS(Raw_Q!$M$2:$M$600,Raw_Q!$A$2:$A$600,$A7,Raw_Q!$P$2:$P$600,13),SUMIFS(Raw_Q!$M$2:$M$600,Raw_Q!$A$2:$A$600,$A7,Raw_Q!$P$2:$P$600,17))&lt;=0,"",SUMPRODUCT((Raw_Q!$A$2:$A$600=$A7)*(Raw_Q!$P$2:$P$600&gt;=13)*(Raw_Q!$P$2:$P$600&lt;=16)*Raw_Q!$K$2:$K$600*Raw_Q!$L$2:$L$600)/((SUMIFS(Raw_Q!$M$2:$M$600,Raw_Q!$A$2:$A$600,$A7,Raw_Q!$P$2:$P$600,13)+SUMIFS(Raw_Q!$M$2:$M$600,Raw_Q!$A$2:$A$600,$A7,Raw_Q!$P$2:$P$600,17))/2)),""))</f>
        <v>-0.0779804828591344</v>
      </c>
      <c r="AS7" s="49" t="n">
        <f aca="false">IF($A7="","",IFERROR(IF(MIN(SUMIFS(Raw_Q!$M$2:$M$600,Raw_Q!$A$2:$A$600,$A7,Raw_Q!$P$2:$P$600,17),SUMIFS(Raw_Q!$M$2:$M$600,Raw_Q!$A$2:$A$600,$A7,Raw_Q!$P$2:$P$600,21))&lt;=0,"",SUMPRODUCT((Raw_Q!$A$2:$A$600=$A7)*(Raw_Q!$P$2:$P$600&gt;=17)*(Raw_Q!$P$2:$P$600&lt;=20)*Raw_Q!$K$2:$K$600*Raw_Q!$L$2:$L$600)/((SUMIFS(Raw_Q!$M$2:$M$600,Raw_Q!$A$2:$A$600,$A7,Raw_Q!$P$2:$P$600,17)+SUMIFS(Raw_Q!$M$2:$M$600,Raw_Q!$A$2:$A$600,$A7,Raw_Q!$P$2:$P$600,21))/2)),""))</f>
        <v>0.169595586628796</v>
      </c>
    </row>
    <row r="8" customFormat="false" ht="15" hidden="false" customHeight="false" outlineLevel="0" collapsed="false">
      <c r="A8" s="16" t="str">
        <f aca="false">IF(Tickers!A8="","",Tickers!A8)</f>
        <v>TER</v>
      </c>
      <c r="B8" s="66" t="str">
        <f aca="false">IF($A8="","",IFERROR(INDEX(Tickers!$B$2:$B$100,MATCH($A8,Tickers!$A$2:$A$100,0)),""))</f>
        <v>Teradyne, Inc.</v>
      </c>
      <c r="C8" s="66" t="str">
        <f aca="false">IF($A8="","",IFERROR(INDEX(Tickers!$D$2:$D$100,MATCH($A8,Tickers!$A$2:$A$100,0)),""))</f>
        <v>池子</v>
      </c>
      <c r="D8" s="51" t="n">
        <f aca="false">IF($A8="","",IFERROR(INDEX(Raw_Price!$B$2:$B$100,MATCH($A8,Raw_Price!$A$2:$A$100,0)),""))</f>
        <v>328.125</v>
      </c>
      <c r="E8" s="48" t="n">
        <f aca="false">IF($A8="","",IFERROR(SUMIFS(Raw_Q!$I$2:$I$600,Raw_Q!$A$2:$A$600,$A8,Raw_Q!$P$2:$P$600,"&gt;=1",Raw_Q!$P$2:$P$600,"&lt;=4"),""))</f>
        <v>4464.031</v>
      </c>
      <c r="F8" s="51" t="n">
        <f aca="false">IF($A8="","",IFERROR(SUMIFS(Raw_Q!$K$2:$K$600,Raw_Q!$A$2:$A$600,$A8,Raw_Q!$P$2:$P$600,"&gt;=1",Raw_Q!$P$2:$P$600,"&lt;=4"),""))</f>
        <v>7.68</v>
      </c>
      <c r="G8" s="51" t="n">
        <f aca="false">IF($A8="","",IFERROR(SUMIFS(Raw_Q!$K$2:$K$600,Raw_Q!$A$2:$A$600,$A8,Raw_Q!$P$2:$P$600,"&gt;=0",Raw_Q!$P$2:$P$600,"&lt;=3"),""))</f>
        <v>8.88052</v>
      </c>
      <c r="H8" s="51" t="n">
        <f aca="true">IF($A8="","",IFERROR(INDEX(Raw_Est!$B$2:$B$100,MATCH($A8,Raw_Est!$A$2:$A$100,0))*MIN(1,MAX(0,(INDEX(Raw_Est!$D$2:$D$100,MATCH($A8,Raw_Est!$A$2:$A$100,0))-TODAY())/Config!$B$8))+INDEX(Raw_Est!$C$2:$C$100,MATCH($A8,Raw_Est!$A$2:$A$100,0))*(1-MIN(1,MAX(0,(INDEX(Raw_Est!$D$2:$D$100,MATCH($A8,Raw_Est!$A$2:$A$100,0))-TODAY())/Config!$B$8))),""))</f>
        <v>10.9016583287671</v>
      </c>
      <c r="I8" s="49" t="n">
        <f aca="false">IF($A8="","",IFERROR(SUMIFS(Raw_Q!$K$2:$K$600,Raw_Q!$A$2:$A$600,$A8,Raw_Q!$P$2:$P$600,"&gt;=1",Raw_Q!$P$2:$P$600,"&lt;=4")/SUMIFS(Raw_Q!$K$2:$K$600,Raw_Q!$A$2:$A$600,$A8,Raw_Q!$P$2:$P$600,"&gt;=5",Raw_Q!$P$2:$P$600,"&lt;=8")-1,""))</f>
        <v>1.42271293375394</v>
      </c>
      <c r="J8" s="52" t="n">
        <f aca="false">IF($A8="","",IFERROR(IF(F8&lt;=0,"N/M",D8/F8),"N/M"))</f>
        <v>42.724609375</v>
      </c>
      <c r="K8" s="52" t="n">
        <f aca="false">IF($A8="","",IFERROR(IF(G8&lt;=0,"N/M",D8/G8),"N/M"))</f>
        <v>36.9488498421264</v>
      </c>
      <c r="L8" s="52" t="n">
        <f aca="false">IF($A8="","",IFERROR(IF(H8&lt;=0,"N/M",D8/H8),"N/M"))</f>
        <v>30.0986317956919</v>
      </c>
      <c r="M8" s="49" t="n">
        <f aca="false">IF($A8="","",IFERROR(INDEX(Raw_Est!$C$2:$C$100,MATCH($A8,Raw_Est!$A$2:$A$100,0))/INDEX(Raw_Est!$B$2:$B$100,MATCH($A8,Raw_Est!$A$2:$A$100,0))-1,""))</f>
        <v>0.281717996015967</v>
      </c>
      <c r="N8" s="51" t="n">
        <f aca="false">IF($A8="","",IFERROR(IF(OR(NOT(ISNUMBER(J8)),I8&lt;Config!$B$6),"N/M",J8/(I8*100)),"N/M"))</f>
        <v>0.300303795385255</v>
      </c>
      <c r="O8" s="51" t="n">
        <f aca="false">IF($A8="","",IFERROR(IF(OR(NOT(ISNUMBER(L8)),M8&lt;Config!$B$6),"N/M",L8/(M8*100)),"N/M"))</f>
        <v>1.06839577951513</v>
      </c>
      <c r="P8" s="51" t="n">
        <f aca="false">IF($A8="","",IFERROR(SUMIFS(Raw_Q!$N$2:$N$600,Raw_Q!$A$2:$A$600,$A8,Raw_Q!$P$2:$P$600,"&gt;=1",Raw_Q!$P$2:$P$600,"&lt;=4"),""))</f>
        <v>0.5</v>
      </c>
      <c r="Q8" s="49" t="n">
        <f aca="false">IF($A8="","",IFERROR(IF(P8=0,"不配息",P8/D8),""))</f>
        <v>0.00152380952380952</v>
      </c>
      <c r="R8" s="49" t="n">
        <f aca="false">IF($A8="","",IFERROR(IF(SUMIFS(Raw_Q!$N$2:$N$600,Raw_Q!$A$2:$A$600,$A8,Raw_Q!$P$2:$P$600,"&gt;=5",Raw_Q!$P$2:$P$600,"&lt;=8")=0,"",SUMIFS(Raw_Q!$N$2:$N$600,Raw_Q!$A$2:$A$600,$A8,Raw_Q!$P$2:$P$600,"&gt;=1",Raw_Q!$P$2:$P$600,"&lt;=4")/SUMIFS(Raw_Q!$N$2:$N$600,Raw_Q!$A$2:$A$600,$A8,Raw_Q!$P$2:$P$600,"&gt;=5",Raw_Q!$P$2:$P$600,"&lt;=8")-1),""))</f>
        <v>0.0416666666666667</v>
      </c>
      <c r="S8" s="49" t="n">
        <f aca="false">IF($A8="","",IFERROR(SUMIFS(Raw_Q!$I$2:$I$600,Raw_Q!$A$2:$A$600,$A8,Raw_Q!$P$2:$P$600,1)/SUMIFS(Raw_Q!$I$2:$I$600,Raw_Q!$A$2:$A$600,$A8,Raw_Q!$P$2:$P$600,5)-1,""))</f>
        <v>1.03896305137949</v>
      </c>
      <c r="T8" s="49" t="n">
        <f aca="false">IF($A8="","",IFERROR(SUMIFS(Raw_Q!$I$2:$I$600,Raw_Q!$A$2:$A$600,$A8,Raw_Q!$P$2:$P$600,1)/SUMIFS(Raw_Q!$I$2:$I$600,Raw_Q!$A$2:$A$600,$A8,Raw_Q!$P$2:$P$600,2)-1,""))</f>
        <v>0.0362543606441825</v>
      </c>
      <c r="U8" s="49" t="n">
        <f aca="false">IF($A8="","",IFERROR(SUMIFS(Raw_Q!$I$2:$I$600,Raw_Q!$A$2:$A$600,$A8,Raw_Q!$P$2:$P$600,2)/SUMIFS(Raw_Q!$I$2:$I$600,Raw_Q!$A$2:$A$600,$A8,Raw_Q!$P$2:$P$600,3)-1,""))</f>
        <v>0.183836608553017</v>
      </c>
      <c r="V8" s="68" t="n">
        <f aca="false">IF($A8="","",IFERROR((T8-U8)*100,""))</f>
        <v>-14.7582247908835</v>
      </c>
      <c r="W8" s="66" t="str">
        <f aca="false">IF($A8="","",IFERROR(IF(NOT(ISNUMBER(T8)),"",IF(T8&gt;0,IF(V8&gt;0,"成長且加速","成長但減速"),IF(V8&gt;0,"衰退但收斂","衰退且惡化"))),""))</f>
        <v>成長但減速</v>
      </c>
      <c r="X8" s="68" t="n">
        <f aca="false">IF($A8="","",IFERROR((T8-(SUMIFS(Raw_Q!$I$2:$I$600,Raw_Q!$A$2:$A$600,$A8,Raw_Q!$P$2:$P$600,5)/SUMIFS(Raw_Q!$I$2:$I$600,Raw_Q!$A$2:$A$600,$A8,Raw_Q!$P$2:$P$600,6)-1))*100,""))</f>
        <v>8.56695397364704</v>
      </c>
      <c r="Y8" s="49" t="n">
        <f aca="false">IF($A8="","",IFERROR(SUMIFS(Raw_Q!$K$2:$K$600,Raw_Q!$A$2:$A$600,$A8,Raw_Q!$P$2:$P$600,1)/SUMIFS(Raw_Q!$K$2:$K$600,Raw_Q!$A$2:$A$600,$A8,Raw_Q!$P$2:$P$600,5)-1,""))</f>
        <v>3.33333333333333</v>
      </c>
      <c r="Z8" s="49" t="n">
        <f aca="false">IF($A8="","",IFERROR(SUMIFS(Raw_Q!$J$2:$J$600,Raw_Q!$A$2:$A$600,$A8,Raw_Q!$P$2:$P$600,"&gt;=1",Raw_Q!$P$2:$P$600,"&lt;=4")/E8,""))</f>
        <v>0.592415912882325</v>
      </c>
      <c r="AA8" s="49" t="n">
        <f aca="false">IF($A8="","",IFERROR(SUMIFS(Raw_Q!$J$2:$J$600,Raw_Q!$A$2:$A$600,$A8,Raw_Q!$P$2:$P$600,"&gt;=1",Raw_Q!$P$2:$P$600,"&lt;="&amp;Config!$B$5)/SUMIFS(Raw_Q!$I$2:$I$600,Raw_Q!$A$2:$A$600,$A8,Raw_Q!$P$2:$P$600,"&gt;=1",Raw_Q!$P$2:$P$600,"&lt;="&amp;Config!$B$5),""))</f>
        <v>0.588385499583535</v>
      </c>
      <c r="AB8" s="50" t="n">
        <f aca="false">IF($A8="","",IFERROR((Z8-AA8)*10000,""))</f>
        <v>40.3041329879061</v>
      </c>
      <c r="AC8" s="50" t="n">
        <f aca="false">IF($A8="","",IFERROR((SUMIFS(Raw_Q!$J$2:$J$600,Raw_Q!$A$2:$A$600,$A8,Raw_Q!$P$2:$P$600,1)/SUMIFS(Raw_Q!$I$2:$I$600,Raw_Q!$A$2:$A$600,$A8,Raw_Q!$P$2:$P$600,1)-SUMIFS(Raw_Q!$J$2:$J$600,Raw_Q!$A$2:$A$600,$A8,Raw_Q!$P$2:$P$600,5)/SUMIFS(Raw_Q!$I$2:$I$600,Raw_Q!$A$2:$A$600,$A8,Raw_Q!$P$2:$P$600,5))*10000,""))</f>
        <v>256.287212686569</v>
      </c>
      <c r="AD8" s="51" t="n">
        <f aca="false">IF($A8="","",IFERROR(SUMIFS(Raw_Q!$M$2:$M$600,Raw_Q!$A$2:$A$600,$A8,Raw_Q!$P$2:$P$600,1)/SUMIFS(Raw_Q!$L$2:$L$600,Raw_Q!$A$2:$A$600,$A8,Raw_Q!$P$2:$P$600,1),""))</f>
        <v>21.7965413810378</v>
      </c>
      <c r="AE8" s="48" t="n">
        <f aca="false">IF($A8="","",IFERROR(SUMPRODUCT((Raw_Q!$A$2:$A$600=$A8)*(Raw_Q!$P$2:$P$600&gt;=1)*(Raw_Q!$P$2:$P$600&lt;=4)*Raw_Q!$K$2:$K$600*Raw_Q!$L$2:$L$600),""))</f>
        <v>1212.05412</v>
      </c>
      <c r="AF8" s="49" t="n">
        <f aca="false">IF($A8="","",IFERROR(IF(MIN(SUMIFS(Raw_Q!$M$2:$M$600,Raw_Q!$A$2:$A$600,$A8,Raw_Q!$P$2:$P$600,1),SUMIFS(Raw_Q!$M$2:$M$600,Raw_Q!$A$2:$A$600,$A8,Raw_Q!$P$2:$P$600,5))&lt;=0,"N/M",AE8/((SUMIFS(Raw_Q!$M$2:$M$600,Raw_Q!$A$2:$A$600,$A8,Raw_Q!$P$2:$P$600,1)+SUMIFS(Raw_Q!$M$2:$M$600,Raw_Q!$A$2:$A$600,$A8,Raw_Q!$P$2:$P$600,5))/2)),"N/M"))</f>
        <v>0.386345132643224</v>
      </c>
      <c r="AG8" s="49" t="n">
        <f aca="false">IF($A8="","",IFERROR(AVERAGE(AO8:AS8),""))</f>
        <v>0.19783528496635</v>
      </c>
      <c r="AH8" s="49" t="n">
        <f aca="false">IF($A8="","",IFERROR(IF(AD8&lt;=0,"N/M",INDEX(Raw_Est!$B$2:$B$100,MATCH($A8,Raw_Est!$A$2:$A$100,0))/AD8),"N/M"))</f>
        <v>0.417097824882854</v>
      </c>
      <c r="AI8" s="51" t="n">
        <f aca="false">IF($A8="","",IFERROR(SUMIFS(Raw_Q!$K$2:$K$600,Raw_Q!$A$2:$A$600,$A8,Raw_Q!$P$2:$P$600,0),""))</f>
        <v>2.05052</v>
      </c>
      <c r="AJ8" s="66" t="str">
        <f aca="false">IF($A8="","",IFERROR(INDEX(Raw_Q!$B$2:$B$600,MATCH($A8&amp;"|"&amp;0,Raw_Q!$Q$2:$Q$600,0)),""))</f>
        <v>FY2026Q3E</v>
      </c>
      <c r="AK8" s="66" t="str">
        <f aca="false">IF($A8="","",IFERROR(INDEX(Raw_Q!$G$2:$G$600,MATCH($A8&amp;"|"&amp;0,Raw_Q!$Q$2:$Q$600,0)),""))</f>
        <v>consensus</v>
      </c>
      <c r="AL8" s="47" t="n">
        <f aca="false">IF($A8="","",IFERROR(INDEX(Raw_Est!$E$2:$E$100,MATCH($A8,Raw_Est!$A$2:$A$100,0)),""))</f>
        <v>15</v>
      </c>
      <c r="AM8" s="67" t="n">
        <f aca="false">IF($A8="","",IFERROR(INDEX(Raw_Price!$D$2:$D$100,MATCH($A8,Raw_Price!$A$2:$A$100,0)),""))</f>
        <v>46316</v>
      </c>
      <c r="AN8" s="67" t="n">
        <f aca="false">IF($A8="","",IFERROR(INDEX(Raw_Price!$E$2:$E$100,MATCH($A8,Raw_Price!$A$2:$A$100,0)),""))</f>
        <v>46280</v>
      </c>
      <c r="AO8" s="49" t="n">
        <f aca="false">IF($A8="","",IFERROR(IF(MIN(SUMIFS(Raw_Q!$M$2:$M$600,Raw_Q!$A$2:$A$600,$A8,Raw_Q!$P$2:$P$600,1),SUMIFS(Raw_Q!$M$2:$M$600,Raw_Q!$A$2:$A$600,$A8,Raw_Q!$P$2:$P$600,5))&lt;=0,"",SUMPRODUCT((Raw_Q!$A$2:$A$600=$A8)*(Raw_Q!$P$2:$P$600&gt;=1)*(Raw_Q!$P$2:$P$600&lt;=4)*Raw_Q!$K$2:$K$600*Raw_Q!$L$2:$L$600)/((SUMIFS(Raw_Q!$M$2:$M$600,Raw_Q!$A$2:$A$600,$A8,Raw_Q!$P$2:$P$600,1)+SUMIFS(Raw_Q!$M$2:$M$600,Raw_Q!$A$2:$A$600,$A8,Raw_Q!$P$2:$P$600,5))/2)),""))</f>
        <v>0.386345132643224</v>
      </c>
      <c r="AP8" s="49" t="n">
        <f aca="false">IF($A8="","",IFERROR(IF(MIN(SUMIFS(Raw_Q!$M$2:$M$600,Raw_Q!$A$2:$A$600,$A8,Raw_Q!$P$2:$P$600,5),SUMIFS(Raw_Q!$M$2:$M$600,Raw_Q!$A$2:$A$600,$A8,Raw_Q!$P$2:$P$600,9))&lt;=0,"",SUMPRODUCT((Raw_Q!$A$2:$A$600=$A8)*(Raw_Q!$P$2:$P$600&gt;=5)*(Raw_Q!$P$2:$P$600&lt;=8)*Raw_Q!$K$2:$K$600*Raw_Q!$L$2:$L$600)/((SUMIFS(Raw_Q!$M$2:$M$600,Raw_Q!$A$2:$A$600,$A8,Raw_Q!$P$2:$P$600,5)+SUMIFS(Raw_Q!$M$2:$M$600,Raw_Q!$A$2:$A$600,$A8,Raw_Q!$P$2:$P$600,9))/2)),""))</f>
        <v>0.12952382611488</v>
      </c>
      <c r="AQ8" s="49" t="n">
        <f aca="false">IF($A8="","",IFERROR(IF(MIN(SUMIFS(Raw_Q!$M$2:$M$600,Raw_Q!$A$2:$A$600,$A8,Raw_Q!$P$2:$P$600,9),SUMIFS(Raw_Q!$M$2:$M$600,Raw_Q!$A$2:$A$600,$A8,Raw_Q!$P$2:$P$600,13))&lt;=0,"",SUMPRODUCT((Raw_Q!$A$2:$A$600=$A8)*(Raw_Q!$P$2:$P$600&gt;=9)*(Raw_Q!$P$2:$P$600&lt;=12)*Raw_Q!$K$2:$K$600*Raw_Q!$L$2:$L$600)/((SUMIFS(Raw_Q!$M$2:$M$600,Raw_Q!$A$2:$A$600,$A8,Raw_Q!$P$2:$P$600,9)+SUMIFS(Raw_Q!$M$2:$M$600,Raw_Q!$A$2:$A$600,$A8,Raw_Q!$P$2:$P$600,13))/2)),""))</f>
        <v>0.101799877847995</v>
      </c>
      <c r="AR8" s="49" t="n">
        <f aca="false">IF($A8="","",IFERROR(IF(MIN(SUMIFS(Raw_Q!$M$2:$M$600,Raw_Q!$A$2:$A$600,$A8,Raw_Q!$P$2:$P$600,13),SUMIFS(Raw_Q!$M$2:$M$600,Raw_Q!$A$2:$A$600,$A8,Raw_Q!$P$2:$P$600,17))&lt;=0,"",SUMPRODUCT((Raw_Q!$A$2:$A$600=$A8)*(Raw_Q!$P$2:$P$600&gt;=13)*(Raw_Q!$P$2:$P$600&lt;=16)*Raw_Q!$K$2:$K$600*Raw_Q!$L$2:$L$600)/((SUMIFS(Raw_Q!$M$2:$M$600,Raw_Q!$A$2:$A$600,$A8,Raw_Q!$P$2:$P$600,13)+SUMIFS(Raw_Q!$M$2:$M$600,Raw_Q!$A$2:$A$600,$A8,Raw_Q!$P$2:$P$600,17))/2)),""))</f>
        <v>0.0937215240418306</v>
      </c>
      <c r="AS8" s="49" t="n">
        <f aca="false">IF($A8="","",IFERROR(IF(MIN(SUMIFS(Raw_Q!$M$2:$M$600,Raw_Q!$A$2:$A$600,$A8,Raw_Q!$P$2:$P$600,17),SUMIFS(Raw_Q!$M$2:$M$600,Raw_Q!$A$2:$A$600,$A8,Raw_Q!$P$2:$P$600,21))&lt;=0,"",SUMPRODUCT((Raw_Q!$A$2:$A$600=$A8)*(Raw_Q!$P$2:$P$600&gt;=17)*(Raw_Q!$P$2:$P$600&lt;=20)*Raw_Q!$K$2:$K$600*Raw_Q!$L$2:$L$600)/((SUMIFS(Raw_Q!$M$2:$M$600,Raw_Q!$A$2:$A$600,$A8,Raw_Q!$P$2:$P$600,17)+SUMIFS(Raw_Q!$M$2:$M$600,Raw_Q!$A$2:$A$600,$A8,Raw_Q!$P$2:$P$600,21))/2)),""))</f>
        <v>0.27778606418382</v>
      </c>
    </row>
    <row r="9" customFormat="false" ht="15" hidden="false" customHeight="false" outlineLevel="0" collapsed="false">
      <c r="A9" s="16" t="str">
        <f aca="false">IF(Tickers!A9="","",Tickers!A9)</f>
        <v>DELL</v>
      </c>
      <c r="B9" s="66" t="str">
        <f aca="false">IF($A9="","",IFERROR(INDEX(Tickers!$B$2:$B$100,MATCH($A9,Tickers!$A$2:$A$100,0)),""))</f>
        <v>Dell Technologies Inc.</v>
      </c>
      <c r="C9" s="66" t="str">
        <f aca="false">IF($A9="","",IFERROR(INDEX(Tickers!$D$2:$D$100,MATCH($A9,Tickers!$A$2:$A$100,0)),""))</f>
        <v>池子</v>
      </c>
      <c r="D9" s="51" t="n">
        <f aca="false">IF($A9="","",IFERROR(INDEX(Raw_Price!$B$2:$B$100,MATCH($A9,Raw_Price!$A$2:$A$100,0)),""))</f>
        <v>555.690124511719</v>
      </c>
      <c r="E9" s="48" t="n">
        <f aca="false">IF($A9="","",IFERROR(SUMIFS(Raw_Q!$I$2:$I$600,Raw_Q!$A$2:$A$600,$A9,Raw_Q!$P$2:$P$600,"&gt;=1",Raw_Q!$P$2:$P$600,"&lt;=4"),""))</f>
        <v>134002</v>
      </c>
      <c r="F9" s="51" t="n">
        <f aca="false">IF($A9="","",IFERROR(SUMIFS(Raw_Q!$K$2:$K$600,Raw_Q!$A$2:$A$600,$A9,Raw_Q!$P$2:$P$600,"&gt;=1",Raw_Q!$P$2:$P$600,"&lt;=4"),""))</f>
        <v>13.66</v>
      </c>
      <c r="G9" s="51" t="n">
        <f aca="false">IF($A9="","",IFERROR(SUMIFS(Raw_Q!$K$2:$K$600,Raw_Q!$A$2:$A$600,$A9,Raw_Q!$P$2:$P$600,"&gt;=0",Raw_Q!$P$2:$P$600,"&lt;=3"),""))</f>
        <v>16.25986</v>
      </c>
      <c r="H9" s="51" t="n">
        <f aca="true">IF($A9="","",IFERROR(INDEX(Raw_Est!$B$2:$B$100,MATCH($A9,Raw_Est!$A$2:$A$100,0))*MIN(1,MAX(0,(INDEX(Raw_Est!$D$2:$D$100,MATCH($A9,Raw_Est!$A$2:$A$100,0))-TODAY())/Config!$B$8))+INDEX(Raw_Est!$C$2:$C$100,MATCH($A9,Raw_Est!$A$2:$A$100,0))*(1-MIN(1,MAX(0,(INDEX(Raw_Est!$D$2:$D$100,MATCH($A9,Raw_Est!$A$2:$A$100,0))-TODAY())/Config!$B$8))),""))</f>
        <v>25.1249518630137</v>
      </c>
      <c r="I9" s="49" t="n">
        <f aca="false">IF($A9="","",IFERROR(SUMIFS(Raw_Q!$K$2:$K$600,Raw_Q!$A$2:$A$600,$A9,Raw_Q!$P$2:$P$600,"&gt;=1",Raw_Q!$P$2:$P$600,"&lt;=4")/SUMIFS(Raw_Q!$K$2:$K$600,Raw_Q!$A$2:$A$600,$A9,Raw_Q!$P$2:$P$600,"&gt;=5",Raw_Q!$P$2:$P$600,"&lt;=8")-1,""))</f>
        <v>0.651753325272068</v>
      </c>
      <c r="J9" s="52" t="n">
        <f aca="false">IF($A9="","",IFERROR(IF(F9&lt;=0,"N/M",D9/F9),"N/M"))</f>
        <v>40.6800969627905</v>
      </c>
      <c r="K9" s="52" t="n">
        <f aca="false">IF($A9="","",IFERROR(IF(G9&lt;=0,"N/M",D9/G9),"N/M"))</f>
        <v>34.1755786649897</v>
      </c>
      <c r="L9" s="52" t="n">
        <f aca="false">IF($A9="","",IFERROR(IF(H9&lt;=0,"N/M",D9/H9),"N/M"))</f>
        <v>22.117062255142</v>
      </c>
      <c r="M9" s="49" t="n">
        <f aca="false">IF($A9="","",IFERROR(INDEX(Raw_Est!$C$2:$C$100,MATCH($A9,Raw_Est!$A$2:$A$100,0))/INDEX(Raw_Est!$B$2:$B$100,MATCH($A9,Raw_Est!$A$2:$A$100,0))-1,""))</f>
        <v>-0.047138051040498</v>
      </c>
      <c r="N9" s="51" t="n">
        <f aca="false">IF($A9="","",IFERROR(IF(OR(NOT(ISNUMBER(J9)),I9&lt;Config!$B$6),"N/M",J9/(I9*100)),"N/M"))</f>
        <v>0.624164010913317</v>
      </c>
      <c r="O9" s="51" t="str">
        <f aca="false">IF($A9="","",IFERROR(IF(OR(NOT(ISNUMBER(L9)),M9&lt;Config!$B$6),"N/M",L9/(M9*100)),"N/M"))</f>
        <v>N/M</v>
      </c>
      <c r="P9" s="51" t="n">
        <f aca="false">IF($A9="","",IFERROR(SUMIFS(Raw_Q!$N$2:$N$600,Raw_Q!$A$2:$A$600,$A9,Raw_Q!$P$2:$P$600,"&gt;=1",Raw_Q!$P$2:$P$600,"&lt;=4"),""))</f>
        <v>2.205</v>
      </c>
      <c r="Q9" s="49" t="n">
        <f aca="false">IF($A9="","",IFERROR(IF(P9=0,"不配息",P9/D9),""))</f>
        <v>0.00396803884527824</v>
      </c>
      <c r="R9" s="49" t="n">
        <f aca="false">IF($A9="","",IFERROR(IF(SUMIFS(Raw_Q!$N$2:$N$600,Raw_Q!$A$2:$A$600,$A9,Raw_Q!$P$2:$P$600,"&gt;=5",Raw_Q!$P$2:$P$600,"&lt;=8")=0,"",SUMIFS(Raw_Q!$N$2:$N$600,Raw_Q!$A$2:$A$600,$A9,Raw_Q!$P$2:$P$600,"&gt;=1",Raw_Q!$P$2:$P$600,"&lt;=4")/SUMIFS(Raw_Q!$N$2:$N$600,Raw_Q!$A$2:$A$600,$A9,Raw_Q!$P$2:$P$600,"&gt;=5",Raw_Q!$P$2:$P$600,"&lt;=8")-1),""))</f>
        <v>0.185483870967742</v>
      </c>
      <c r="S9" s="49" t="n">
        <f aca="false">IF($A9="","",IFERROR(SUMIFS(Raw_Q!$I$2:$I$600,Raw_Q!$A$2:$A$600,$A9,Raw_Q!$P$2:$P$600,1)/SUMIFS(Raw_Q!$I$2:$I$600,Raw_Q!$A$2:$A$600,$A9,Raw_Q!$P$2:$P$600,5)-1,""))</f>
        <v>0.87535289588502</v>
      </c>
      <c r="T9" s="49" t="n">
        <f aca="false">IF($A9="","",IFERROR(SUMIFS(Raw_Q!$I$2:$I$600,Raw_Q!$A$2:$A$600,$A9,Raw_Q!$P$2:$P$600,1)/SUMIFS(Raw_Q!$I$2:$I$600,Raw_Q!$A$2:$A$600,$A9,Raw_Q!$P$2:$P$600,2)-1,""))</f>
        <v>0.313460559034123</v>
      </c>
      <c r="U9" s="49" t="n">
        <f aca="false">IF($A9="","",IFERROR(SUMIFS(Raw_Q!$I$2:$I$600,Raw_Q!$A$2:$A$600,$A9,Raw_Q!$P$2:$P$600,2)/SUMIFS(Raw_Q!$I$2:$I$600,Raw_Q!$A$2:$A$600,$A9,Raw_Q!$P$2:$P$600,3)-1,""))</f>
        <v>0.236030364747269</v>
      </c>
      <c r="V9" s="68" t="n">
        <f aca="false">IF($A9="","",IFERROR((T9-U9)*100,""))</f>
        <v>7.74301942868543</v>
      </c>
      <c r="W9" s="66" t="str">
        <f aca="false">IF($A9="","",IFERROR(IF(NOT(ISNUMBER(T9)),"",IF(T9&gt;0,IF(V9&gt;0,"成長且加速","成長但減速"),IF(V9&gt;0,"衰退但收斂","衰退且惡化"))),""))</f>
        <v>成長且加速</v>
      </c>
      <c r="X9" s="68" t="n">
        <f aca="false">IF($A9="","",IFERROR((T9-(SUMIFS(Raw_Q!$I$2:$I$600,Raw_Q!$A$2:$A$600,$A9,Raw_Q!$P$2:$P$600,5)/SUMIFS(Raw_Q!$I$2:$I$600,Raw_Q!$A$2:$A$600,$A9,Raw_Q!$P$2:$P$600,6)-1))*100,""))</f>
        <v>33.1439219875928</v>
      </c>
      <c r="Y9" s="49" t="n">
        <f aca="false">IF($A9="","",IFERROR(SUMIFS(Raw_Q!$K$2:$K$600,Raw_Q!$A$2:$A$600,$A9,Raw_Q!$P$2:$P$600,1)/SUMIFS(Raw_Q!$K$2:$K$600,Raw_Q!$A$2:$A$600,$A9,Raw_Q!$P$2:$P$600,5)-1,""))</f>
        <v>2.13548387096774</v>
      </c>
      <c r="Z9" s="49" t="n">
        <f aca="false">IF($A9="","",IFERROR(SUMIFS(Raw_Q!$J$2:$J$600,Raw_Q!$A$2:$A$600,$A9,Raw_Q!$P$2:$P$600,"&gt;=1",Raw_Q!$P$2:$P$600,"&lt;=4")/E9,""))</f>
        <v>0.19068372113849</v>
      </c>
      <c r="AA9" s="49" t="n">
        <f aca="false">IF($A9="","",IFERROR(SUMIFS(Raw_Q!$J$2:$J$600,Raw_Q!$A$2:$A$600,$A9,Raw_Q!$P$2:$P$600,"&gt;=1",Raw_Q!$P$2:$P$600,"&lt;="&amp;Config!$B$5)/SUMIFS(Raw_Q!$I$2:$I$600,Raw_Q!$A$2:$A$600,$A9,Raw_Q!$P$2:$P$600,"&gt;=1",Raw_Q!$P$2:$P$600,"&lt;="&amp;Config!$B$5),""))</f>
        <v>0.205590388418855</v>
      </c>
      <c r="AB9" s="50" t="n">
        <f aca="false">IF($A9="","",IFERROR((Z9-AA9)*10000,""))</f>
        <v>-149.066672803646</v>
      </c>
      <c r="AC9" s="50" t="n">
        <f aca="false">IF($A9="","",IFERROR((SUMIFS(Raw_Q!$J$2:$J$600,Raw_Q!$A$2:$A$600,$A9,Raw_Q!$P$2:$P$600,1)/SUMIFS(Raw_Q!$I$2:$I$600,Raw_Q!$A$2:$A$600,$A9,Raw_Q!$P$2:$P$600,1)-SUMIFS(Raw_Q!$J$2:$J$600,Raw_Q!$A$2:$A$600,$A9,Raw_Q!$P$2:$P$600,5)/SUMIFS(Raw_Q!$I$2:$I$600,Raw_Q!$A$2:$A$600,$A9,Raw_Q!$P$2:$P$600,5))*10000,""))</f>
        <v>-336.804262347599</v>
      </c>
      <c r="AD9" s="51" t="n">
        <f aca="false">IF($A9="","",IFERROR(SUMIFS(Raw_Q!$M$2:$M$600,Raw_Q!$A$2:$A$600,$A9,Raw_Q!$P$2:$P$600,1)/SUMIFS(Raw_Q!$L$2:$L$600,Raw_Q!$A$2:$A$600,$A9,Raw_Q!$P$2:$P$600,1),""))</f>
        <v>-2.14024390243902</v>
      </c>
      <c r="AE9" s="48" t="n">
        <f aca="false">IF($A9="","",IFERROR(SUMPRODUCT((Raw_Q!$A$2:$A$600=$A9)*(Raw_Q!$P$2:$P$600&gt;=1)*(Raw_Q!$P$2:$P$600&lt;=4)*Raw_Q!$K$2:$K$600*Raw_Q!$L$2:$L$600),""))</f>
        <v>9142.72106037</v>
      </c>
      <c r="AF9" s="49" t="str">
        <f aca="false">IF($A9="","",IFERROR(IF(MIN(SUMIFS(Raw_Q!$M$2:$M$600,Raw_Q!$A$2:$A$600,$A9,Raw_Q!$P$2:$P$600,1),SUMIFS(Raw_Q!$M$2:$M$600,Raw_Q!$A$2:$A$600,$A9,Raw_Q!$P$2:$P$600,5))&lt;=0,"N/M",AE9/((SUMIFS(Raw_Q!$M$2:$M$600,Raw_Q!$A$2:$A$600,$A9,Raw_Q!$P$2:$P$600,1)+SUMIFS(Raw_Q!$M$2:$M$600,Raw_Q!$A$2:$A$600,$A9,Raw_Q!$P$2:$P$600,5))/2)),"N/M"))</f>
        <v>N/M</v>
      </c>
      <c r="AG9" s="49" t="str">
        <f aca="false">IF($A9="","",IFERROR(AVERAGE(AO9:AS9),""))</f>
        <v/>
      </c>
      <c r="AH9" s="49" t="str">
        <f aca="false">IF($A9="","",IFERROR(IF(AD9&lt;=0,"N/M",INDEX(Raw_Est!$B$2:$B$100,MATCH($A9,Raw_Est!$A$2:$A$100,0))/AD9),"N/M"))</f>
        <v>N/M</v>
      </c>
      <c r="AI9" s="51" t="n">
        <f aca="false">IF($A9="","",IFERROR(SUMIFS(Raw_Q!$K$2:$K$600,Raw_Q!$A$2:$A$600,$A9,Raw_Q!$P$2:$P$600,0),""))</f>
        <v>4.91986</v>
      </c>
      <c r="AJ9" s="66" t="str">
        <f aca="false">IF($A9="","",IFERROR(INDEX(Raw_Q!$B$2:$B$600,MATCH($A9&amp;"|"&amp;0,Raw_Q!$Q$2:$Q$600,0)),""))</f>
        <v>FY2027Q2E</v>
      </c>
      <c r="AK9" s="66" t="str">
        <f aca="false">IF($A9="","",IFERROR(INDEX(Raw_Q!$G$2:$G$600,MATCH($A9&amp;"|"&amp;0,Raw_Q!$Q$2:$Q$600,0)),""))</f>
        <v>consensus</v>
      </c>
      <c r="AL9" s="47" t="n">
        <f aca="false">IF($A9="","",IFERROR(INDEX(Raw_Est!$E$2:$E$100,MATCH($A9,Raw_Est!$A$2:$A$100,0)),""))</f>
        <v>23</v>
      </c>
      <c r="AM9" s="67" t="n">
        <f aca="false">IF($A9="","",IFERROR(INDEX(Raw_Price!$D$2:$D$100,MATCH($A9,Raw_Price!$A$2:$A$100,0)),""))</f>
        <v>46353</v>
      </c>
      <c r="AN9" s="67" t="n">
        <f aca="false">IF($A9="","",IFERROR(INDEX(Raw_Price!$E$2:$E$100,MATCH($A9,Raw_Price!$A$2:$A$100,0)),""))</f>
        <v>46280</v>
      </c>
      <c r="AO9" s="49" t="str">
        <f aca="false">IF($A9="","",IFERROR(IF(MIN(SUMIFS(Raw_Q!$M$2:$M$600,Raw_Q!$A$2:$A$600,$A9,Raw_Q!$P$2:$P$600,1),SUMIFS(Raw_Q!$M$2:$M$600,Raw_Q!$A$2:$A$600,$A9,Raw_Q!$P$2:$P$600,5))&lt;=0,"",SUMPRODUCT((Raw_Q!$A$2:$A$600=$A9)*(Raw_Q!$P$2:$P$600&gt;=1)*(Raw_Q!$P$2:$P$600&lt;=4)*Raw_Q!$K$2:$K$600*Raw_Q!$L$2:$L$600)/((SUMIFS(Raw_Q!$M$2:$M$600,Raw_Q!$A$2:$A$600,$A9,Raw_Q!$P$2:$P$600,1)+SUMIFS(Raw_Q!$M$2:$M$600,Raw_Q!$A$2:$A$600,$A9,Raw_Q!$P$2:$P$600,5))/2)),""))</f>
        <v/>
      </c>
      <c r="AP9" s="49" t="str">
        <f aca="false">IF($A9="","",IFERROR(IF(MIN(SUMIFS(Raw_Q!$M$2:$M$600,Raw_Q!$A$2:$A$600,$A9,Raw_Q!$P$2:$P$600,5),SUMIFS(Raw_Q!$M$2:$M$600,Raw_Q!$A$2:$A$600,$A9,Raw_Q!$P$2:$P$600,9))&lt;=0,"",SUMPRODUCT((Raw_Q!$A$2:$A$600=$A9)*(Raw_Q!$P$2:$P$600&gt;=5)*(Raw_Q!$P$2:$P$600&lt;=8)*Raw_Q!$K$2:$K$600*Raw_Q!$L$2:$L$600)/((SUMIFS(Raw_Q!$M$2:$M$600,Raw_Q!$A$2:$A$600,$A9,Raw_Q!$P$2:$P$600,5)+SUMIFS(Raw_Q!$M$2:$M$600,Raw_Q!$A$2:$A$600,$A9,Raw_Q!$P$2:$P$600,9))/2)),""))</f>
        <v/>
      </c>
      <c r="AQ9" s="49" t="str">
        <f aca="false">IF($A9="","",IFERROR(IF(MIN(SUMIFS(Raw_Q!$M$2:$M$600,Raw_Q!$A$2:$A$600,$A9,Raw_Q!$P$2:$P$600,9),SUMIFS(Raw_Q!$M$2:$M$600,Raw_Q!$A$2:$A$600,$A9,Raw_Q!$P$2:$P$600,13))&lt;=0,"",SUMPRODUCT((Raw_Q!$A$2:$A$600=$A9)*(Raw_Q!$P$2:$P$600&gt;=9)*(Raw_Q!$P$2:$P$600&lt;=12)*Raw_Q!$K$2:$K$600*Raw_Q!$L$2:$L$600)/((SUMIFS(Raw_Q!$M$2:$M$600,Raw_Q!$A$2:$A$600,$A9,Raw_Q!$P$2:$P$600,9)+SUMIFS(Raw_Q!$M$2:$M$600,Raw_Q!$A$2:$A$600,$A9,Raw_Q!$P$2:$P$600,13))/2)),""))</f>
        <v/>
      </c>
      <c r="AR9" s="49" t="str">
        <f aca="false">IF($A9="","",IFERROR(IF(MIN(SUMIFS(Raw_Q!$M$2:$M$600,Raw_Q!$A$2:$A$600,$A9,Raw_Q!$P$2:$P$600,13),SUMIFS(Raw_Q!$M$2:$M$600,Raw_Q!$A$2:$A$600,$A9,Raw_Q!$P$2:$P$600,17))&lt;=0,"",SUMPRODUCT((Raw_Q!$A$2:$A$600=$A9)*(Raw_Q!$P$2:$P$600&gt;=13)*(Raw_Q!$P$2:$P$600&lt;=16)*Raw_Q!$K$2:$K$600*Raw_Q!$L$2:$L$600)/((SUMIFS(Raw_Q!$M$2:$M$600,Raw_Q!$A$2:$A$600,$A9,Raw_Q!$P$2:$P$600,13)+SUMIFS(Raw_Q!$M$2:$M$600,Raw_Q!$A$2:$A$600,$A9,Raw_Q!$P$2:$P$600,17))/2)),""))</f>
        <v/>
      </c>
      <c r="AS9" s="49" t="str">
        <f aca="false">IF($A9="","",IFERROR(IF(MIN(SUMIFS(Raw_Q!$M$2:$M$600,Raw_Q!$A$2:$A$600,$A9,Raw_Q!$P$2:$P$600,17),SUMIFS(Raw_Q!$M$2:$M$600,Raw_Q!$A$2:$A$600,$A9,Raw_Q!$P$2:$P$600,21))&lt;=0,"",SUMPRODUCT((Raw_Q!$A$2:$A$600=$A9)*(Raw_Q!$P$2:$P$600&gt;=17)*(Raw_Q!$P$2:$P$600&lt;=20)*Raw_Q!$K$2:$K$600*Raw_Q!$L$2:$L$600)/((SUMIFS(Raw_Q!$M$2:$M$600,Raw_Q!$A$2:$A$600,$A9,Raw_Q!$P$2:$P$600,17)+SUMIFS(Raw_Q!$M$2:$M$600,Raw_Q!$A$2:$A$600,$A9,Raw_Q!$P$2:$P$600,21))/2)),""))</f>
        <v/>
      </c>
    </row>
    <row r="10" customFormat="false" ht="15" hidden="false" customHeight="false" outlineLevel="0" collapsed="false">
      <c r="A10" s="16" t="str">
        <f aca="false">IF(Tickers!A10="","",Tickers!A10)</f>
        <v>DIOD</v>
      </c>
      <c r="B10" s="66" t="str">
        <f aca="false">IF($A10="","",IFERROR(INDEX(Tickers!$B$2:$B$100,MATCH($A10,Tickers!$A$2:$A$100,0)),""))</f>
        <v>Diodes Incorporated</v>
      </c>
      <c r="C10" s="66" t="str">
        <f aca="false">IF($A10="","",IFERROR(INDEX(Tickers!$D$2:$D$100,MATCH($A10,Tickers!$A$2:$A$100,0)),""))</f>
        <v>池子</v>
      </c>
      <c r="D10" s="51" t="n">
        <f aca="false">IF($A10="","",IFERROR(INDEX(Raw_Price!$B$2:$B$100,MATCH($A10,Raw_Price!$A$2:$A$100,0)),""))</f>
        <v>87.5299987792969</v>
      </c>
      <c r="E10" s="48" t="n">
        <f aca="false">IF($A10="","",IFERROR(SUMIFS(Raw_Q!$I$2:$I$600,Raw_Q!$A$2:$A$600,$A10,Raw_Q!$P$2:$P$600,"&gt;=1",Raw_Q!$P$2:$P$600,"&lt;=4"),""))</f>
        <v>1634.744</v>
      </c>
      <c r="F10" s="51" t="n">
        <f aca="false">IF($A10="","",IFERROR(SUMIFS(Raw_Q!$K$2:$K$600,Raw_Q!$A$2:$A$600,$A10,Raw_Q!$P$2:$P$600,"&gt;=1",Raw_Q!$P$2:$P$600,"&lt;=4"),""))</f>
        <v>1.84</v>
      </c>
      <c r="G10" s="51" t="n">
        <f aca="false">IF($A10="","",IFERROR(SUMIFS(Raw_Q!$K$2:$K$600,Raw_Q!$A$2:$A$600,$A10,Raw_Q!$P$2:$P$600,"&gt;=0",Raw_Q!$P$2:$P$600,"&lt;=3"),""))</f>
        <v>2.525</v>
      </c>
      <c r="H10" s="51" t="n">
        <f aca="true">IF($A10="","",IFERROR(INDEX(Raw_Est!$B$2:$B$100,MATCH($A10,Raw_Est!$A$2:$A$100,0))*MIN(1,MAX(0,(INDEX(Raw_Est!$D$2:$D$100,MATCH($A10,Raw_Est!$A$2:$A$100,0))-TODAY())/Config!$B$8))+INDEX(Raw_Est!$C$2:$C$100,MATCH($A10,Raw_Est!$A$2:$A$100,0))*(1-MIN(1,MAX(0,(INDEX(Raw_Est!$D$2:$D$100,MATCH($A10,Raw_Est!$A$2:$A$100,0))-TODAY())/Config!$B$8))),""))</f>
        <v>5.08047945205479</v>
      </c>
      <c r="I10" s="49" t="n">
        <f aca="false">IF($A10="","",IFERROR(SUMIFS(Raw_Q!$K$2:$K$600,Raw_Q!$A$2:$A$600,$A10,Raw_Q!$P$2:$P$600,"&gt;=1",Raw_Q!$P$2:$P$600,"&lt;=4")/SUMIFS(Raw_Q!$K$2:$K$600,Raw_Q!$A$2:$A$600,$A10,Raw_Q!$P$2:$P$600,"&gt;=5",Raw_Q!$P$2:$P$600,"&lt;=8")-1,""))</f>
        <v>0.520661157024793</v>
      </c>
      <c r="J10" s="52" t="n">
        <f aca="false">IF($A10="","",IFERROR(IF(F10&lt;=0,"N/M",D10/F10),"N/M"))</f>
        <v>47.5706515104874</v>
      </c>
      <c r="K10" s="52" t="n">
        <f aca="false">IF($A10="","",IFERROR(IF(G10&lt;=0,"N/M",D10/G10),"N/M"))</f>
        <v>34.6653460512067</v>
      </c>
      <c r="L10" s="52" t="n">
        <f aca="false">IF($A10="","",IFERROR(IF(H10&lt;=0,"N/M",D10/H10),"N/M"))</f>
        <v>17.2286886710851</v>
      </c>
      <c r="M10" s="49" t="n">
        <f aca="false">IF($A10="","",IFERROR(INDEX(Raw_Est!$C$2:$C$100,MATCH($A10,Raw_Est!$A$2:$A$100,0))/INDEX(Raw_Est!$B$2:$B$100,MATCH($A10,Raw_Est!$A$2:$A$100,0))-1,""))</f>
        <v>0.813953488372093</v>
      </c>
      <c r="N10" s="51" t="n">
        <f aca="false">IF($A10="","",IFERROR(IF(OR(NOT(ISNUMBER(J10)),I10&lt;Config!$B$6),"N/M",J10/(I10*100)),"N/M"))</f>
        <v>0.913658544883965</v>
      </c>
      <c r="O10" s="51" t="n">
        <f aca="false">IF($A10="","",IFERROR(IF(OR(NOT(ISNUMBER(L10)),M10&lt;Config!$B$6),"N/M",L10/(M10*100)),"N/M"))</f>
        <v>0.211666746530474</v>
      </c>
      <c r="P10" s="51" t="n">
        <f aca="false">IF($A10="","",IFERROR(SUMIFS(Raw_Q!$N$2:$N$600,Raw_Q!$A$2:$A$600,$A10,Raw_Q!$P$2:$P$600,"&gt;=1",Raw_Q!$P$2:$P$600,"&lt;=4"),""))</f>
        <v>0</v>
      </c>
      <c r="Q10" s="49" t="str">
        <f aca="false">IF($A10="","",IFERROR(IF(P10=0,"不配息",P10/D10),""))</f>
        <v>不配息</v>
      </c>
      <c r="R10" s="49" t="str">
        <f aca="false">IF($A10="","",IFERROR(IF(SUMIFS(Raw_Q!$N$2:$N$600,Raw_Q!$A$2:$A$600,$A10,Raw_Q!$P$2:$P$600,"&gt;=5",Raw_Q!$P$2:$P$600,"&lt;=8")=0,"",SUMIFS(Raw_Q!$N$2:$N$600,Raw_Q!$A$2:$A$600,$A10,Raw_Q!$P$2:$P$600,"&gt;=1",Raw_Q!$P$2:$P$600,"&lt;=4")/SUMIFS(Raw_Q!$N$2:$N$600,Raw_Q!$A$2:$A$600,$A10,Raw_Q!$P$2:$P$600,"&gt;=5",Raw_Q!$P$2:$P$600,"&lt;=8")-1),""))</f>
        <v/>
      </c>
      <c r="S10" s="49" t="n">
        <f aca="false">IF($A10="","",IFERROR(SUMIFS(Raw_Q!$I$2:$I$600,Raw_Q!$A$2:$A$600,$A10,Raw_Q!$P$2:$P$600,1)/SUMIFS(Raw_Q!$I$2:$I$600,Raw_Q!$A$2:$A$600,$A10,Raw_Q!$P$2:$P$600,5)-1,""))</f>
        <v>0.216587659607004</v>
      </c>
      <c r="T10" s="49" t="n">
        <f aca="false">IF($A10="","",IFERROR(SUMIFS(Raw_Q!$I$2:$I$600,Raw_Q!$A$2:$A$600,$A10,Raw_Q!$P$2:$P$600,1)/SUMIFS(Raw_Q!$I$2:$I$600,Raw_Q!$A$2:$A$600,$A10,Raw_Q!$P$2:$P$600,2)-1,""))</f>
        <v>0.0988045882895525</v>
      </c>
      <c r="U10" s="49" t="n">
        <f aca="false">IF($A10="","",IFERROR(SUMIFS(Raw_Q!$I$2:$I$600,Raw_Q!$A$2:$A$600,$A10,Raw_Q!$P$2:$P$600,2)/SUMIFS(Raw_Q!$I$2:$I$600,Raw_Q!$A$2:$A$600,$A10,Raw_Q!$P$2:$P$600,3)-1,""))</f>
        <v>0.0354693062429452</v>
      </c>
      <c r="V10" s="68" t="n">
        <f aca="false">IF($A10="","",IFERROR((T10-U10)*100,""))</f>
        <v>6.33352820466073</v>
      </c>
      <c r="W10" s="66" t="str">
        <f aca="false">IF($A10="","",IFERROR(IF(NOT(ISNUMBER(T10)),"",IF(T10&gt;0,IF(V10&gt;0,"成長且加速","成長但減速"),IF(V10&gt;0,"衰退但收斂","衰退且惡化"))),""))</f>
        <v>成長且加速</v>
      </c>
      <c r="X10" s="68" t="n">
        <f aca="false">IF($A10="","",IFERROR((T10-(SUMIFS(Raw_Q!$I$2:$I$600,Raw_Q!$A$2:$A$600,$A10,Raw_Q!$P$2:$P$600,5)/SUMIFS(Raw_Q!$I$2:$I$600,Raw_Q!$A$2:$A$600,$A10,Raw_Q!$P$2:$P$600,6)-1))*100,""))</f>
        <v>-0.386829714401982</v>
      </c>
      <c r="Y10" s="49" t="n">
        <f aca="false">IF($A10="","",IFERROR(SUMIFS(Raw_Q!$K$2:$K$600,Raw_Q!$A$2:$A$600,$A10,Raw_Q!$P$2:$P$600,1)/SUMIFS(Raw_Q!$K$2:$K$600,Raw_Q!$A$2:$A$600,$A10,Raw_Q!$P$2:$P$600,5)-1,""))</f>
        <v>1.1875</v>
      </c>
      <c r="Z10" s="49" t="n">
        <f aca="false">IF($A10="","",IFERROR(SUMIFS(Raw_Q!$J$2:$J$600,Raw_Q!$A$2:$A$600,$A10,Raw_Q!$P$2:$P$600,"&gt;=1",Raw_Q!$P$2:$P$600,"&lt;=4")/E10,""))</f>
        <v>0.317343877695835</v>
      </c>
      <c r="AA10" s="49" t="n">
        <f aca="false">IF($A10="","",IFERROR(SUMIFS(Raw_Q!$J$2:$J$600,Raw_Q!$A$2:$A$600,$A10,Raw_Q!$P$2:$P$600,"&gt;=1",Raw_Q!$P$2:$P$600,"&lt;="&amp;Config!$B$5)/SUMIFS(Raw_Q!$I$2:$I$600,Raw_Q!$A$2:$A$600,$A10,Raw_Q!$P$2:$P$600,"&gt;=1",Raw_Q!$P$2:$P$600,"&lt;="&amp;Config!$B$5),""))</f>
        <v>0.367154264642682</v>
      </c>
      <c r="AB10" s="50" t="n">
        <f aca="false">IF($A10="","",IFERROR((Z10-AA10)*10000,""))</f>
        <v>-498.103869468474</v>
      </c>
      <c r="AC10" s="50" t="n">
        <f aca="false">IF($A10="","",IFERROR((SUMIFS(Raw_Q!$J$2:$J$600,Raw_Q!$A$2:$A$600,$A10,Raw_Q!$P$2:$P$600,1)/SUMIFS(Raw_Q!$I$2:$I$600,Raw_Q!$A$2:$A$600,$A10,Raw_Q!$P$2:$P$600,1)-SUMIFS(Raw_Q!$J$2:$J$600,Raw_Q!$A$2:$A$600,$A10,Raw_Q!$P$2:$P$600,5)/SUMIFS(Raw_Q!$I$2:$I$600,Raw_Q!$A$2:$A$600,$A10,Raw_Q!$P$2:$P$600,5))*10000,""))</f>
        <v>163.047629749846</v>
      </c>
      <c r="AD10" s="51" t="n">
        <f aca="false">IF($A10="","",IFERROR(SUMIFS(Raw_Q!$M$2:$M$600,Raw_Q!$A$2:$A$600,$A10,Raw_Q!$P$2:$P$600,1)/SUMIFS(Raw_Q!$L$2:$L$600,Raw_Q!$A$2:$A$600,$A10,Raw_Q!$P$2:$P$600,1),""))</f>
        <v>42.0337811652241</v>
      </c>
      <c r="AE10" s="48" t="n">
        <f aca="false">IF($A10="","",IFERROR(SUMPRODUCT((Raw_Q!$A$2:$A$600=$A10)*(Raw_Q!$P$2:$P$600&gt;=1)*(Raw_Q!$P$2:$P$600&lt;=4)*Raw_Q!$K$2:$K$600*Raw_Q!$L$2:$L$600),""))</f>
        <v>85.25857</v>
      </c>
      <c r="AF10" s="49" t="n">
        <f aca="false">IF($A10="","",IFERROR(IF(MIN(SUMIFS(Raw_Q!$M$2:$M$600,Raw_Q!$A$2:$A$600,$A10,Raw_Q!$P$2:$P$600,1),SUMIFS(Raw_Q!$M$2:$M$600,Raw_Q!$A$2:$A$600,$A10,Raw_Q!$P$2:$P$600,5))&lt;=0,"N/M",AE10/((SUMIFS(Raw_Q!$M$2:$M$600,Raw_Q!$A$2:$A$600,$A10,Raw_Q!$P$2:$P$600,1)+SUMIFS(Raw_Q!$M$2:$M$600,Raw_Q!$A$2:$A$600,$A10,Raw_Q!$P$2:$P$600,5))/2)),"N/M"))</f>
        <v>0.0445283756950168</v>
      </c>
      <c r="AG10" s="49" t="n">
        <f aca="false">IF($A10="","",IFERROR(AVERAGE(AO10:AS10),""))</f>
        <v>0.0973734285146471</v>
      </c>
      <c r="AH10" s="49" t="n">
        <f aca="false">IF($A10="","",IFERROR(IF(AD10&lt;=0,"N/M",INDEX(Raw_Est!$B$2:$B$100,MATCH($A10,Raw_Est!$A$2:$A$100,0))/AD10),"N/M"))</f>
        <v>0.0767240041366572</v>
      </c>
      <c r="AI10" s="51" t="n">
        <f aca="false">IF($A10="","",IFERROR(SUMIFS(Raw_Q!$K$2:$K$600,Raw_Q!$A$2:$A$600,$A10,Raw_Q!$P$2:$P$600,0),""))</f>
        <v>1.055</v>
      </c>
      <c r="AJ10" s="66" t="str">
        <f aca="false">IF($A10="","",IFERROR(INDEX(Raw_Q!$B$2:$B$600,MATCH($A10&amp;"|"&amp;0,Raw_Q!$Q$2:$Q$600,0)),""))</f>
        <v>FY2026Q3E</v>
      </c>
      <c r="AK10" s="66" t="str">
        <f aca="false">IF($A10="","",IFERROR(INDEX(Raw_Q!$G$2:$G$600,MATCH($A10&amp;"|"&amp;0,Raw_Q!$Q$2:$Q$600,0)),""))</f>
        <v>consensus</v>
      </c>
      <c r="AL10" s="47" t="n">
        <f aca="false">IF($A10="","",IFERROR(INDEX(Raw_Est!$E$2:$E$100,MATCH($A10,Raw_Est!$A$2:$A$100,0)),""))</f>
        <v>2</v>
      </c>
      <c r="AM10" s="67" t="n">
        <f aca="false">IF($A10="","",IFERROR(INDEX(Raw_Price!$D$2:$D$100,MATCH($A10,Raw_Price!$A$2:$A$100,0)),""))</f>
        <v>46331</v>
      </c>
      <c r="AN10" s="67" t="n">
        <f aca="false">IF($A10="","",IFERROR(INDEX(Raw_Price!$E$2:$E$100,MATCH($A10,Raw_Price!$A$2:$A$100,0)),""))</f>
        <v>46280</v>
      </c>
      <c r="AO10" s="49" t="n">
        <f aca="false">IF($A10="","",IFERROR(IF(MIN(SUMIFS(Raw_Q!$M$2:$M$600,Raw_Q!$A$2:$A$600,$A10,Raw_Q!$P$2:$P$600,1),SUMIFS(Raw_Q!$M$2:$M$600,Raw_Q!$A$2:$A$600,$A10,Raw_Q!$P$2:$P$600,5))&lt;=0,"",SUMPRODUCT((Raw_Q!$A$2:$A$600=$A10)*(Raw_Q!$P$2:$P$600&gt;=1)*(Raw_Q!$P$2:$P$600&lt;=4)*Raw_Q!$K$2:$K$600*Raw_Q!$L$2:$L$600)/((SUMIFS(Raw_Q!$M$2:$M$600,Raw_Q!$A$2:$A$600,$A10,Raw_Q!$P$2:$P$600,1)+SUMIFS(Raw_Q!$M$2:$M$600,Raw_Q!$A$2:$A$600,$A10,Raw_Q!$P$2:$P$600,5))/2)),""))</f>
        <v>0.0445283756950168</v>
      </c>
      <c r="AP10" s="49" t="n">
        <f aca="false">IF($A10="","",IFERROR(IF(MIN(SUMIFS(Raw_Q!$M$2:$M$600,Raw_Q!$A$2:$A$600,$A10,Raw_Q!$P$2:$P$600,5),SUMIFS(Raw_Q!$M$2:$M$600,Raw_Q!$A$2:$A$600,$A10,Raw_Q!$P$2:$P$600,9))&lt;=0,"",SUMPRODUCT((Raw_Q!$A$2:$A$600=$A10)*(Raw_Q!$P$2:$P$600&gt;=5)*(Raw_Q!$P$2:$P$600&lt;=8)*Raw_Q!$K$2:$K$600*Raw_Q!$L$2:$L$600)/((SUMIFS(Raw_Q!$M$2:$M$600,Raw_Q!$A$2:$A$600,$A10,Raw_Q!$P$2:$P$600,5)+SUMIFS(Raw_Q!$M$2:$M$600,Raw_Q!$A$2:$A$600,$A10,Raw_Q!$P$2:$P$600,9))/2)),""))</f>
        <v>0.03076016895169</v>
      </c>
      <c r="AQ10" s="49" t="n">
        <f aca="false">IF($A10="","",IFERROR(IF(MIN(SUMIFS(Raw_Q!$M$2:$M$600,Raw_Q!$A$2:$A$600,$A10,Raw_Q!$P$2:$P$600,9),SUMIFS(Raw_Q!$M$2:$M$600,Raw_Q!$A$2:$A$600,$A10,Raw_Q!$P$2:$P$600,13))&lt;=0,"",SUMPRODUCT((Raw_Q!$A$2:$A$600=$A10)*(Raw_Q!$P$2:$P$600&gt;=9)*(Raw_Q!$P$2:$P$600&lt;=12)*Raw_Q!$K$2:$K$600*Raw_Q!$L$2:$L$600)/((SUMIFS(Raw_Q!$M$2:$M$600,Raw_Q!$A$2:$A$600,$A10,Raw_Q!$P$2:$P$600,9)+SUMIFS(Raw_Q!$M$2:$M$600,Raw_Q!$A$2:$A$600,$A10,Raw_Q!$P$2:$P$600,13))/2)),""))</f>
        <v>0.0606432895381943</v>
      </c>
      <c r="AR10" s="49" t="n">
        <f aca="false">IF($A10="","",IFERROR(IF(MIN(SUMIFS(Raw_Q!$M$2:$M$600,Raw_Q!$A$2:$A$600,$A10,Raw_Q!$P$2:$P$600,13),SUMIFS(Raw_Q!$M$2:$M$600,Raw_Q!$A$2:$A$600,$A10,Raw_Q!$P$2:$P$600,17))&lt;=0,"",SUMPRODUCT((Raw_Q!$A$2:$A$600=$A10)*(Raw_Q!$P$2:$P$600&gt;=13)*(Raw_Q!$P$2:$P$600&lt;=16)*Raw_Q!$K$2:$K$600*Raw_Q!$L$2:$L$600)/((SUMIFS(Raw_Q!$M$2:$M$600,Raw_Q!$A$2:$A$600,$A10,Raw_Q!$P$2:$P$600,13)+SUMIFS(Raw_Q!$M$2:$M$600,Raw_Q!$A$2:$A$600,$A10,Raw_Q!$P$2:$P$600,17))/2)),""))</f>
        <v>0.158465706766267</v>
      </c>
      <c r="AS10" s="49" t="n">
        <f aca="false">IF($A10="","",IFERROR(IF(MIN(SUMIFS(Raw_Q!$M$2:$M$600,Raw_Q!$A$2:$A$600,$A10,Raw_Q!$P$2:$P$600,17),SUMIFS(Raw_Q!$M$2:$M$600,Raw_Q!$A$2:$A$600,$A10,Raw_Q!$P$2:$P$600,21))&lt;=0,"",SUMPRODUCT((Raw_Q!$A$2:$A$600=$A10)*(Raw_Q!$P$2:$P$600&gt;=17)*(Raw_Q!$P$2:$P$600&lt;=20)*Raw_Q!$K$2:$K$600*Raw_Q!$L$2:$L$600)/((SUMIFS(Raw_Q!$M$2:$M$600,Raw_Q!$A$2:$A$600,$A10,Raw_Q!$P$2:$P$600,17)+SUMIFS(Raw_Q!$M$2:$M$600,Raw_Q!$A$2:$A$600,$A10,Raw_Q!$P$2:$P$600,21))/2)),""))</f>
        <v>0.192469601622068</v>
      </c>
    </row>
    <row r="11" customFormat="false" ht="15" hidden="false" customHeight="false" outlineLevel="0" collapsed="false">
      <c r="A11" s="16" t="str">
        <f aca="false">IF(Tickers!A11="","",Tickers!A11)</f>
        <v>CRWD</v>
      </c>
      <c r="B11" s="66" t="str">
        <f aca="false">IF($A11="","",IFERROR(INDEX(Tickers!$B$2:$B$100,MATCH($A11,Tickers!$A$2:$A$100,0)),""))</f>
        <v>CrowdStrike Holdings, Inc.</v>
      </c>
      <c r="C11" s="66" t="str">
        <f aca="false">IF($A11="","",IFERROR(INDEX(Tickers!$D$2:$D$100,MATCH($A11,Tickers!$A$2:$A$100,0)),""))</f>
        <v>池子</v>
      </c>
      <c r="D11" s="51" t="n">
        <f aca="false">IF($A11="","",IFERROR(INDEX(Raw_Price!$B$2:$B$100,MATCH($A11,Raw_Price!$A$2:$A$100,0)),""))</f>
        <v>238.229995727539</v>
      </c>
      <c r="E11" s="48" t="n">
        <f aca="false">IF($A11="","",IFERROR(SUMIFS(Raw_Q!$I$2:$I$600,Raw_Q!$A$2:$A$600,$A11,Raw_Q!$P$2:$P$600,"&gt;=1",Raw_Q!$P$2:$P$600,"&lt;=4"),""))</f>
        <v>9321.393</v>
      </c>
      <c r="F11" s="51" t="n">
        <f aca="false">IF($A11="","",IFERROR(SUMIFS(Raw_Q!$K$2:$K$600,Raw_Q!$A$2:$A$600,$A11,Raw_Q!$P$2:$P$600,"&gt;=1",Raw_Q!$P$2:$P$600,"&lt;=4"),""))</f>
        <v>1.11</v>
      </c>
      <c r="G11" s="51" t="n">
        <f aca="false">IF($A11="","",IFERROR(SUMIFS(Raw_Q!$K$2:$K$600,Raw_Q!$A$2:$A$600,$A11,Raw_Q!$P$2:$P$600,"&gt;=0",Raw_Q!$P$2:$P$600,"&lt;=3"),""))</f>
        <v>1.18116</v>
      </c>
      <c r="H11" s="51" t="n">
        <f aca="true">IF($A11="","",IFERROR(INDEX(Raw_Est!$B$2:$B$100,MATCH($A11,Raw_Est!$A$2:$A$100,0))*MIN(1,MAX(0,(INDEX(Raw_Est!$D$2:$D$100,MATCH($A11,Raw_Est!$A$2:$A$100,0))-TODAY())/Config!$B$8))+INDEX(Raw_Est!$C$2:$C$100,MATCH($A11,Raw_Est!$A$2:$A$100,0))*(1-MIN(1,MAX(0,(INDEX(Raw_Est!$D$2:$D$100,MATCH($A11,Raw_Est!$A$2:$A$100,0))-TODAY())/Config!$B$8))),""))</f>
        <v>1.47364928767123</v>
      </c>
      <c r="I11" s="49" t="n">
        <f aca="false">IF($A11="","",IFERROR(SUMIFS(Raw_Q!$K$2:$K$600,Raw_Q!$A$2:$A$600,$A11,Raw_Q!$P$2:$P$600,"&gt;=1",Raw_Q!$P$2:$P$600,"&lt;=4")/SUMIFS(Raw_Q!$K$2:$K$600,Raw_Q!$A$2:$A$600,$A11,Raw_Q!$P$2:$P$600,"&gt;=5",Raw_Q!$P$2:$P$600,"&lt;=8")-1,""))</f>
        <v>0.233333333333333</v>
      </c>
      <c r="J11" s="52" t="n">
        <f aca="false">IF($A11="","",IFERROR(IF(F11&lt;=0,"N/M",D11/F11),"N/M"))</f>
        <v>214.621617772558</v>
      </c>
      <c r="K11" s="52" t="n">
        <f aca="false">IF($A11="","",IFERROR(IF(G11&lt;=0,"N/M",D11/G11),"N/M"))</f>
        <v>201.691553834823</v>
      </c>
      <c r="L11" s="52" t="n">
        <f aca="false">IF($A11="","",IFERROR(IF(H11&lt;=0,"N/M",D11/H11),"N/M"))</f>
        <v>161.659899489388</v>
      </c>
      <c r="M11" s="49" t="n">
        <f aca="false">IF($A11="","",IFERROR(INDEX(Raw_Est!$C$2:$C$100,MATCH($A11,Raw_Est!$A$2:$A$100,0))/INDEX(Raw_Est!$B$2:$B$100,MATCH($A11,Raw_Est!$A$2:$A$100,0))-1,""))</f>
        <v>0.278499152130819</v>
      </c>
      <c r="N11" s="51" t="n">
        <f aca="false">IF($A11="","",IFERROR(IF(OR(NOT(ISNUMBER(J11)),I11&lt;Config!$B$6),"N/M",J11/(I11*100)),"N/M"))</f>
        <v>9.19806933310961</v>
      </c>
      <c r="O11" s="51" t="n">
        <f aca="false">IF($A11="","",IFERROR(IF(OR(NOT(ISNUMBER(L11)),M11&lt;Config!$B$6),"N/M",L11/(M11*100)),"N/M"))</f>
        <v>5.80468192640858</v>
      </c>
      <c r="P11" s="51" t="n">
        <f aca="false">IF($A11="","",IFERROR(SUMIFS(Raw_Q!$N$2:$N$600,Raw_Q!$A$2:$A$600,$A11,Raw_Q!$P$2:$P$600,"&gt;=1",Raw_Q!$P$2:$P$600,"&lt;=4"),""))</f>
        <v>0</v>
      </c>
      <c r="Q11" s="49" t="str">
        <f aca="false">IF($A11="","",IFERROR(IF(P11=0,"不配息",P11/D11),""))</f>
        <v>不配息</v>
      </c>
      <c r="R11" s="49" t="str">
        <f aca="false">IF($A11="","",IFERROR(IF(SUMIFS(Raw_Q!$N$2:$N$600,Raw_Q!$A$2:$A$600,$A11,Raw_Q!$P$2:$P$600,"&gt;=5",Raw_Q!$P$2:$P$600,"&lt;=8")=0,"",SUMIFS(Raw_Q!$N$2:$N$600,Raw_Q!$A$2:$A$600,$A11,Raw_Q!$P$2:$P$600,"&gt;=1",Raw_Q!$P$2:$P$600,"&lt;=4")/SUMIFS(Raw_Q!$N$2:$N$600,Raw_Q!$A$2:$A$600,$A11,Raw_Q!$P$2:$P$600,"&gt;=5",Raw_Q!$P$2:$P$600,"&lt;=8")-1),""))</f>
        <v/>
      </c>
      <c r="S11" s="49" t="n">
        <f aca="false">IF($A11="","",IFERROR(SUMIFS(Raw_Q!$I$2:$I$600,Raw_Q!$A$2:$A$600,$A11,Raw_Q!$P$2:$P$600,1)/SUMIFS(Raw_Q!$I$2:$I$600,Raw_Q!$A$2:$A$600,$A11,Raw_Q!$P$2:$P$600,5)-1,""))</f>
        <v>3.61622461829057</v>
      </c>
      <c r="T11" s="49" t="n">
        <f aca="false">IF($A11="","",IFERROR(SUMIFS(Raw_Q!$I$2:$I$600,Raw_Q!$A$2:$A$600,$A11,Raw_Q!$P$2:$P$600,1)/SUMIFS(Raw_Q!$I$2:$I$600,Raw_Q!$A$2:$A$600,$A11,Raw_Q!$P$2:$P$600,2)-1,""))</f>
        <v>2.8943649418423</v>
      </c>
      <c r="U11" s="49" t="n">
        <f aca="false">IF($A11="","",IFERROR(SUMIFS(Raw_Q!$I$2:$I$600,Raw_Q!$A$2:$A$600,$A11,Raw_Q!$P$2:$P$600,2)/SUMIFS(Raw_Q!$I$2:$I$600,Raw_Q!$A$2:$A$600,$A11,Raw_Q!$P$2:$P$600,3)-1,""))</f>
        <v>0.0614796514411566</v>
      </c>
      <c r="V11" s="68" t="n">
        <f aca="false">IF($A11="","",IFERROR((T11-U11)*100,""))</f>
        <v>283.288529040114</v>
      </c>
      <c r="W11" s="66" t="str">
        <f aca="false">IF($A11="","",IFERROR(IF(NOT(ISNUMBER(T11)),"",IF(T11&gt;0,IF(V11&gt;0,"成長且加速","成長但減速"),IF(V11&gt;0,"衰退但收斂","衰退且惡化"))),""))</f>
        <v>成長且加速</v>
      </c>
      <c r="X11" s="68" t="n">
        <f aca="false">IF($A11="","",IFERROR((T11-(SUMIFS(Raw_Q!$I$2:$I$600,Raw_Q!$A$2:$A$600,$A11,Raw_Q!$P$2:$P$600,5)/SUMIFS(Raw_Q!$I$2:$I$600,Raw_Q!$A$2:$A$600,$A11,Raw_Q!$P$2:$P$600,6)-1))*100,""))</f>
        <v>283.49884861594</v>
      </c>
      <c r="Y11" s="49" t="n">
        <f aca="false">IF($A11="","",IFERROR(SUMIFS(Raw_Q!$K$2:$K$600,Raw_Q!$A$2:$A$600,$A11,Raw_Q!$P$2:$P$600,1)/SUMIFS(Raw_Q!$K$2:$K$600,Raw_Q!$A$2:$A$600,$A11,Raw_Q!$P$2:$P$600,5)-1,""))</f>
        <v>0.347826086956522</v>
      </c>
      <c r="Z11" s="49" t="n">
        <f aca="false">IF($A11="","",IFERROR(SUMIFS(Raw_Q!$J$2:$J$600,Raw_Q!$A$2:$A$600,$A11,Raw_Q!$P$2:$P$600,"&gt;=1",Raw_Q!$P$2:$P$600,"&lt;=4")/E11,""))</f>
        <v>0.75319547196433</v>
      </c>
      <c r="AA11" s="49" t="n">
        <f aca="false">IF($A11="","",IFERROR(SUMIFS(Raw_Q!$J$2:$J$600,Raw_Q!$A$2:$A$600,$A11,Raw_Q!$P$2:$P$600,"&gt;=1",Raw_Q!$P$2:$P$600,"&lt;="&amp;Config!$B$5)/SUMIFS(Raw_Q!$I$2:$I$600,Raw_Q!$A$2:$A$600,$A11,Raw_Q!$P$2:$P$600,"&gt;=1",Raw_Q!$P$2:$P$600,"&lt;="&amp;Config!$B$5),""))</f>
        <v>0.747800753212096</v>
      </c>
      <c r="AB11" s="50" t="n">
        <f aca="false">IF($A11="","",IFERROR((Z11-AA11)*10000,""))</f>
        <v>53.9471875223418</v>
      </c>
      <c r="AC11" s="50" t="n">
        <f aca="false">IF($A11="","",IFERROR((SUMIFS(Raw_Q!$J$2:$J$600,Raw_Q!$A$2:$A$600,$A11,Raw_Q!$P$2:$P$600,1)/SUMIFS(Raw_Q!$I$2:$I$600,Raw_Q!$A$2:$A$600,$A11,Raw_Q!$P$2:$P$600,1)-SUMIFS(Raw_Q!$J$2:$J$600,Raw_Q!$A$2:$A$600,$A11,Raw_Q!$P$2:$P$600,5)/SUMIFS(Raw_Q!$I$2:$I$600,Raw_Q!$A$2:$A$600,$A11,Raw_Q!$P$2:$P$600,5))*10000,""))</f>
        <v>173.371959495257</v>
      </c>
      <c r="AD11" s="51" t="n">
        <f aca="false">IF($A11="","",IFERROR(SUMIFS(Raw_Q!$M$2:$M$600,Raw_Q!$A$2:$A$600,$A11,Raw_Q!$P$2:$P$600,1)/SUMIFS(Raw_Q!$L$2:$L$600,Raw_Q!$A$2:$A$600,$A11,Raw_Q!$P$2:$P$600,1),""))</f>
        <v>4.9872394253709</v>
      </c>
      <c r="AE11" s="48" t="n">
        <f aca="false">IF($A11="","",IFERROR(SUMPRODUCT((Raw_Q!$A$2:$A$600=$A11)*(Raw_Q!$P$2:$P$600&gt;=1)*(Raw_Q!$P$2:$P$600&lt;=4)*Raw_Q!$K$2:$K$600*Raw_Q!$L$2:$L$600),""))</f>
        <v>1136.324845</v>
      </c>
      <c r="AF11" s="49" t="n">
        <f aca="false">IF($A11="","",IFERROR(IF(MIN(SUMIFS(Raw_Q!$M$2:$M$600,Raw_Q!$A$2:$A$600,$A11,Raw_Q!$P$2:$P$600,1),SUMIFS(Raw_Q!$M$2:$M$600,Raw_Q!$A$2:$A$600,$A11,Raw_Q!$P$2:$P$600,5))&lt;=0,"N/M",AE11/((SUMIFS(Raw_Q!$M$2:$M$600,Raw_Q!$A$2:$A$600,$A11,Raw_Q!$P$2:$P$600,1)+SUMIFS(Raw_Q!$M$2:$M$600,Raw_Q!$A$2:$A$600,$A11,Raw_Q!$P$2:$P$600,5))/2)),"N/M"))</f>
        <v>0.256552951299128</v>
      </c>
      <c r="AG11" s="49" t="n">
        <f aca="false">IF($A11="","",IFERROR(AVERAGE(AO11:AS11),""))</f>
        <v>0.126659297199705</v>
      </c>
      <c r="AH11" s="49" t="n">
        <f aca="false">IF($A11="","",IFERROR(IF(AD11&lt;=0,"N/M",INDEX(Raw_Est!$B$2:$B$100,MATCH($A11,Raw_Est!$A$2:$A$100,0))/AD11),"N/M"))</f>
        <v>0.251860777649869</v>
      </c>
      <c r="AI11" s="51" t="n">
        <f aca="false">IF($A11="","",IFERROR(SUMIFS(Raw_Q!$K$2:$K$600,Raw_Q!$A$2:$A$600,$A11,Raw_Q!$P$2:$P$600,0),""))</f>
        <v>0.31116</v>
      </c>
      <c r="AJ11" s="66" t="str">
        <f aca="false">IF($A11="","",IFERROR(INDEX(Raw_Q!$B$2:$B$600,MATCH($A11&amp;"|"&amp;0,Raw_Q!$Q$2:$Q$600,0)),""))</f>
        <v>FY2027Q3E</v>
      </c>
      <c r="AK11" s="66" t="str">
        <f aca="false">IF($A11="","",IFERROR(INDEX(Raw_Q!$G$2:$G$600,MATCH($A11&amp;"|"&amp;0,Raw_Q!$Q$2:$Q$600,0)),""))</f>
        <v>consensus</v>
      </c>
      <c r="AL11" s="47" t="n">
        <f aca="false">IF($A11="","",IFERROR(INDEX(Raw_Est!$E$2:$E$100,MATCH($A11,Raw_Est!$A$2:$A$100,0)),""))</f>
        <v>45</v>
      </c>
      <c r="AM11" s="67" t="n">
        <f aca="false">IF($A11="","",IFERROR(INDEX(Raw_Price!$D$2:$D$100,MATCH($A11,Raw_Price!$A$2:$A$100,0)),""))</f>
        <v>46357</v>
      </c>
      <c r="AN11" s="67" t="n">
        <f aca="false">IF($A11="","",IFERROR(INDEX(Raw_Price!$E$2:$E$100,MATCH($A11,Raw_Price!$A$2:$A$100,0)),""))</f>
        <v>46280</v>
      </c>
      <c r="AO11" s="49" t="n">
        <f aca="false">IF($A11="","",IFERROR(IF(MIN(SUMIFS(Raw_Q!$M$2:$M$600,Raw_Q!$A$2:$A$600,$A11,Raw_Q!$P$2:$P$600,1),SUMIFS(Raw_Q!$M$2:$M$600,Raw_Q!$A$2:$A$600,$A11,Raw_Q!$P$2:$P$600,5))&lt;=0,"",SUMPRODUCT((Raw_Q!$A$2:$A$600=$A11)*(Raw_Q!$P$2:$P$600&gt;=1)*(Raw_Q!$P$2:$P$600&lt;=4)*Raw_Q!$K$2:$K$600*Raw_Q!$L$2:$L$600)/((SUMIFS(Raw_Q!$M$2:$M$600,Raw_Q!$A$2:$A$600,$A11,Raw_Q!$P$2:$P$600,1)+SUMIFS(Raw_Q!$M$2:$M$600,Raw_Q!$A$2:$A$600,$A11,Raw_Q!$P$2:$P$600,5))/2)),""))</f>
        <v>0.256552951299128</v>
      </c>
      <c r="AP11" s="49" t="n">
        <f aca="false">IF($A11="","",IFERROR(IF(MIN(SUMIFS(Raw_Q!$M$2:$M$600,Raw_Q!$A$2:$A$600,$A11,Raw_Q!$P$2:$P$600,5),SUMIFS(Raw_Q!$M$2:$M$600,Raw_Q!$A$2:$A$600,$A11,Raw_Q!$P$2:$P$600,9))&lt;=0,"",SUMPRODUCT((Raw_Q!$A$2:$A$600=$A11)*(Raw_Q!$P$2:$P$600&gt;=5)*(Raw_Q!$P$2:$P$600&lt;=8)*Raw_Q!$K$2:$K$600*Raw_Q!$L$2:$L$600)/((SUMIFS(Raw_Q!$M$2:$M$600,Raw_Q!$A$2:$A$600,$A11,Raw_Q!$P$2:$P$600,5)+SUMIFS(Raw_Q!$M$2:$M$600,Raw_Q!$A$2:$A$600,$A11,Raw_Q!$P$2:$P$600,9))/2)),""))</f>
        <v>0.123695118989893</v>
      </c>
      <c r="AQ11" s="49" t="n">
        <f aca="false">IF($A11="","",IFERROR(IF(MIN(SUMIFS(Raw_Q!$M$2:$M$600,Raw_Q!$A$2:$A$600,$A11,Raw_Q!$P$2:$P$600,9),SUMIFS(Raw_Q!$M$2:$M$600,Raw_Q!$A$2:$A$600,$A11,Raw_Q!$P$2:$P$600,13))&lt;=0,"",SUMPRODUCT((Raw_Q!$A$2:$A$600=$A11)*(Raw_Q!$P$2:$P$600&gt;=9)*(Raw_Q!$P$2:$P$600&lt;=12)*Raw_Q!$K$2:$K$600*Raw_Q!$L$2:$L$600)/((SUMIFS(Raw_Q!$M$2:$M$600,Raw_Q!$A$2:$A$600,$A11,Raw_Q!$P$2:$P$600,9)+SUMIFS(Raw_Q!$M$2:$M$600,Raw_Q!$A$2:$A$600,$A11,Raw_Q!$P$2:$P$600,13))/2)),""))</f>
        <v>0.253048415709504</v>
      </c>
      <c r="AR11" s="49" t="n">
        <f aca="false">IF($A11="","",IFERROR(IF(MIN(SUMIFS(Raw_Q!$M$2:$M$600,Raw_Q!$A$2:$A$600,$A11,Raw_Q!$P$2:$P$600,13),SUMIFS(Raw_Q!$M$2:$M$600,Raw_Q!$A$2:$A$600,$A11,Raw_Q!$P$2:$P$600,17))&lt;=0,"",SUMPRODUCT((Raw_Q!$A$2:$A$600=$A11)*(Raw_Q!$P$2:$P$600&gt;=13)*(Raw_Q!$P$2:$P$600&lt;=16)*Raw_Q!$K$2:$K$600*Raw_Q!$L$2:$L$600)/((SUMIFS(Raw_Q!$M$2:$M$600,Raw_Q!$A$2:$A$600,$A11,Raw_Q!$P$2:$P$600,13)+SUMIFS(Raw_Q!$M$2:$M$600,Raw_Q!$A$2:$A$600,$A11,Raw_Q!$P$2:$P$600,17))/2)),""))</f>
        <v>0</v>
      </c>
      <c r="AS11" s="49" t="n">
        <f aca="false">IF($A11="","",IFERROR(IF(MIN(SUMIFS(Raw_Q!$M$2:$M$600,Raw_Q!$A$2:$A$600,$A11,Raw_Q!$P$2:$P$600,17),SUMIFS(Raw_Q!$M$2:$M$600,Raw_Q!$A$2:$A$600,$A11,Raw_Q!$P$2:$P$600,21))&lt;=0,"",SUMPRODUCT((Raw_Q!$A$2:$A$600=$A11)*(Raw_Q!$P$2:$P$600&gt;=17)*(Raw_Q!$P$2:$P$600&lt;=20)*Raw_Q!$K$2:$K$600*Raw_Q!$L$2:$L$600)/((SUMIFS(Raw_Q!$M$2:$M$600,Raw_Q!$A$2:$A$600,$A11,Raw_Q!$P$2:$P$600,17)+SUMIFS(Raw_Q!$M$2:$M$600,Raw_Q!$A$2:$A$600,$A11,Raw_Q!$P$2:$P$600,21))/2)),""))</f>
        <v>0</v>
      </c>
    </row>
    <row r="12" customFormat="false" ht="15" hidden="false" customHeight="false" outlineLevel="0" collapsed="false">
      <c r="A12" s="16" t="str">
        <f aca="false">IF(Tickers!A12="","",Tickers!A12)</f>
        <v>NET</v>
      </c>
      <c r="B12" s="66" t="str">
        <f aca="false">IF($A12="","",IFERROR(INDEX(Tickers!$B$2:$B$100,MATCH($A12,Tickers!$A$2:$A$100,0)),""))</f>
        <v>Cloudflare, Inc.</v>
      </c>
      <c r="C12" s="66" t="str">
        <f aca="false">IF($A12="","",IFERROR(INDEX(Tickers!$D$2:$D$100,MATCH($A12,Tickers!$A$2:$A$100,0)),""))</f>
        <v>核心</v>
      </c>
      <c r="D12" s="51" t="n">
        <f aca="false">IF($A12="","",IFERROR(INDEX(Raw_Price!$B$2:$B$100,MATCH($A12,Raw_Price!$A$2:$A$100,0)),""))</f>
        <v>327.565002441406</v>
      </c>
      <c r="E12" s="48" t="n">
        <f aca="false">IF($A12="","",IFERROR(SUMIFS(Raw_Q!$I$2:$I$600,Raw_Q!$A$2:$A$600,$A12,Raw_Q!$P$2:$P$600,"&gt;=1",Raw_Q!$P$2:$P$600,"&lt;=4"),""))</f>
        <v>2512.35</v>
      </c>
      <c r="F12" s="51" t="n">
        <f aca="false">IF($A12="","",IFERROR(SUMIFS(Raw_Q!$K$2:$K$600,Raw_Q!$A$2:$A$600,$A12,Raw_Q!$P$2:$P$600,"&gt;=1",Raw_Q!$P$2:$P$600,"&lt;=4"),""))</f>
        <v>1.09</v>
      </c>
      <c r="G12" s="51" t="n">
        <f aca="false">IF($A12="","",IFERROR(SUMIFS(Raw_Q!$K$2:$K$600,Raw_Q!$A$2:$A$600,$A12,Raw_Q!$P$2:$P$600,"&gt;=0",Raw_Q!$P$2:$P$600,"&lt;=3"),""))</f>
        <v>1.16308</v>
      </c>
      <c r="H12" s="51" t="n">
        <f aca="true">IF($A12="","",IFERROR(INDEX(Raw_Est!$B$2:$B$100,MATCH($A12,Raw_Est!$A$2:$A$100,0))*MIN(1,MAX(0,(INDEX(Raw_Est!$D$2:$D$100,MATCH($A12,Raw_Est!$A$2:$A$100,0))-TODAY())/Config!$B$8))+INDEX(Raw_Est!$C$2:$C$100,MATCH($A12,Raw_Est!$A$2:$A$100,0))*(1-MIN(1,MAX(0,(INDEX(Raw_Est!$D$2:$D$100,MATCH($A12,Raw_Est!$A$2:$A$100,0))-TODAY())/Config!$B$8))),""))</f>
        <v>1.55507463013699</v>
      </c>
      <c r="I12" s="49" t="n">
        <f aca="false">IF($A12="","",IFERROR(SUMIFS(Raw_Q!$K$2:$K$600,Raw_Q!$A$2:$A$600,$A12,Raw_Q!$P$2:$P$600,"&gt;=1",Raw_Q!$P$2:$P$600,"&lt;=4")/SUMIFS(Raw_Q!$K$2:$K$600,Raw_Q!$A$2:$A$600,$A12,Raw_Q!$P$2:$P$600,"&gt;=5",Raw_Q!$P$2:$P$600,"&lt;=8")-1,""))</f>
        <v>0.43421052631579</v>
      </c>
      <c r="J12" s="52" t="n">
        <f aca="false">IF($A12="","",IFERROR(IF(F12&lt;=0,"N/M",D12/F12),"N/M"))</f>
        <v>300.518350863675</v>
      </c>
      <c r="K12" s="52" t="n">
        <f aca="false">IF($A12="","",IFERROR(IF(G12&lt;=0,"N/M",D12/G12),"N/M"))</f>
        <v>281.63583110483</v>
      </c>
      <c r="L12" s="52" t="n">
        <f aca="false">IF($A12="","",IFERROR(IF(H12&lt;=0,"N/M",D12/H12),"N/M"))</f>
        <v>210.642625179057</v>
      </c>
      <c r="M12" s="49" t="n">
        <f aca="false">IF($A12="","",IFERROR(INDEX(Raw_Est!$C$2:$C$100,MATCH($A12,Raw_Est!$A$2:$A$100,0))/INDEX(Raw_Est!$B$2:$B$100,MATCH($A12,Raw_Est!$A$2:$A$100,0))-1,""))</f>
        <v>0.326941955096741</v>
      </c>
      <c r="N12" s="51" t="n">
        <f aca="false">IF($A12="","",IFERROR(IF(OR(NOT(ISNUMBER(J12)),I12&lt;Config!$B$6),"N/M",J12/(I12*100)),"N/M"))</f>
        <v>6.92102868655737</v>
      </c>
      <c r="O12" s="51" t="n">
        <f aca="false">IF($A12="","",IFERROR(IF(OR(NOT(ISNUMBER(L12)),M12&lt;Config!$B$6),"N/M",L12/(M12*100)),"N/M"))</f>
        <v>6.44281414163344</v>
      </c>
      <c r="P12" s="51" t="n">
        <f aca="false">IF($A12="","",IFERROR(SUMIFS(Raw_Q!$N$2:$N$600,Raw_Q!$A$2:$A$600,$A12,Raw_Q!$P$2:$P$600,"&gt;=1",Raw_Q!$P$2:$P$600,"&lt;=4"),""))</f>
        <v>0</v>
      </c>
      <c r="Q12" s="49" t="str">
        <f aca="false">IF($A12="","",IFERROR(IF(P12=0,"不配息",P12/D12),""))</f>
        <v>不配息</v>
      </c>
      <c r="R12" s="49" t="str">
        <f aca="false">IF($A12="","",IFERROR(IF(SUMIFS(Raw_Q!$N$2:$N$600,Raw_Q!$A$2:$A$600,$A12,Raw_Q!$P$2:$P$600,"&gt;=5",Raw_Q!$P$2:$P$600,"&lt;=8")=0,"",SUMIFS(Raw_Q!$N$2:$N$600,Raw_Q!$A$2:$A$600,$A12,Raw_Q!$P$2:$P$600,"&gt;=1",Raw_Q!$P$2:$P$600,"&lt;=4")/SUMIFS(Raw_Q!$N$2:$N$600,Raw_Q!$A$2:$A$600,$A12,Raw_Q!$P$2:$P$600,"&gt;=5",Raw_Q!$P$2:$P$600,"&lt;=8")-1),""))</f>
        <v/>
      </c>
      <c r="S12" s="49" t="n">
        <f aca="false">IF($A12="","",IFERROR(SUMIFS(Raw_Q!$I$2:$I$600,Raw_Q!$A$2:$A$600,$A12,Raw_Q!$P$2:$P$600,1)/SUMIFS(Raw_Q!$I$2:$I$600,Raw_Q!$A$2:$A$600,$A12,Raw_Q!$P$2:$P$600,5)-1,""))</f>
        <v>0.35865559537473</v>
      </c>
      <c r="T12" s="49" t="n">
        <f aca="false">IF($A12="","",IFERROR(SUMIFS(Raw_Q!$I$2:$I$600,Raw_Q!$A$2:$A$600,$A12,Raw_Q!$P$2:$P$600,1)/SUMIFS(Raw_Q!$I$2:$I$600,Raw_Q!$A$2:$A$600,$A12,Raw_Q!$P$2:$P$600,2)-1,""))</f>
        <v>0.0880118170237045</v>
      </c>
      <c r="U12" s="49" t="n">
        <f aca="false">IF($A12="","",IFERROR(SUMIFS(Raw_Q!$I$2:$I$600,Raw_Q!$A$2:$A$600,$A12,Raw_Q!$P$2:$P$600,2)/SUMIFS(Raw_Q!$I$2:$I$600,Raw_Q!$A$2:$A$600,$A12,Raw_Q!$P$2:$P$600,3)-1,""))</f>
        <v>0.0410865946197523</v>
      </c>
      <c r="V12" s="68" t="n">
        <f aca="false">IF($A12="","",IFERROR((T12-U12)*100,""))</f>
        <v>4.69252224039523</v>
      </c>
      <c r="W12" s="66" t="str">
        <f aca="false">IF($A12="","",IFERROR(IF(NOT(ISNUMBER(T12)),"",IF(T12&gt;0,IF(V12&gt;0,"成長且加速","成長但減速"),IF(V12&gt;0,"衰退但收斂","衰退且惡化"))),""))</f>
        <v>成長且加速</v>
      </c>
      <c r="X12" s="68" t="n">
        <f aca="false">IF($A12="","",IFERROR((T12-(SUMIFS(Raw_Q!$I$2:$I$600,Raw_Q!$A$2:$A$600,$A12,Raw_Q!$P$2:$P$600,5)/SUMIFS(Raw_Q!$I$2:$I$600,Raw_Q!$A$2:$A$600,$A12,Raw_Q!$P$2:$P$600,6)-1))*100,""))</f>
        <v>1.86528070735283</v>
      </c>
      <c r="Y12" s="49" t="n">
        <f aca="false">IF($A12="","",IFERROR(SUMIFS(Raw_Q!$K$2:$K$600,Raw_Q!$A$2:$A$600,$A12,Raw_Q!$P$2:$P$600,1)/SUMIFS(Raw_Q!$K$2:$K$600,Raw_Q!$A$2:$A$600,$A12,Raw_Q!$P$2:$P$600,5)-1,""))</f>
        <v>0.380952380952381</v>
      </c>
      <c r="Z12" s="49" t="n">
        <f aca="false">IF($A12="","",IFERROR(SUMIFS(Raw_Q!$J$2:$J$600,Raw_Q!$A$2:$A$600,$A12,Raw_Q!$P$2:$P$600,"&gt;=1",Raw_Q!$P$2:$P$600,"&lt;=4")/E12,""))</f>
        <v>0.72576512030569</v>
      </c>
      <c r="AA12" s="49" t="n">
        <f aca="false">IF($A12="","",IFERROR(SUMIFS(Raw_Q!$J$2:$J$600,Raw_Q!$A$2:$A$600,$A12,Raw_Q!$P$2:$P$600,"&gt;=1",Raw_Q!$P$2:$P$600,"&lt;="&amp;Config!$B$5)/SUMIFS(Raw_Q!$I$2:$I$600,Raw_Q!$A$2:$A$600,$A12,Raw_Q!$P$2:$P$600,"&gt;=1",Raw_Q!$P$2:$P$600,"&lt;="&amp;Config!$B$5),""))</f>
        <v>0.752721951304442</v>
      </c>
      <c r="AB12" s="50" t="n">
        <f aca="false">IF($A12="","",IFERROR((Z12-AA12)*10000,""))</f>
        <v>-269.568309987523</v>
      </c>
      <c r="AC12" s="50" t="n">
        <f aca="false">IF($A12="","",IFERROR((SUMIFS(Raw_Q!$J$2:$J$600,Raw_Q!$A$2:$A$600,$A12,Raw_Q!$P$2:$P$600,1)/SUMIFS(Raw_Q!$I$2:$I$600,Raw_Q!$A$2:$A$600,$A12,Raw_Q!$P$2:$P$600,1)-SUMIFS(Raw_Q!$J$2:$J$600,Raw_Q!$A$2:$A$600,$A12,Raw_Q!$P$2:$P$600,5)/SUMIFS(Raw_Q!$I$2:$I$600,Raw_Q!$A$2:$A$600,$A12,Raw_Q!$P$2:$P$600,5))*10000,""))</f>
        <v>-311.988086589622</v>
      </c>
      <c r="AD12" s="51" t="n">
        <f aca="false">IF($A12="","",IFERROR(SUMIFS(Raw_Q!$M$2:$M$600,Raw_Q!$A$2:$A$600,$A12,Raw_Q!$P$2:$P$600,1)/SUMIFS(Raw_Q!$L$2:$L$600,Raw_Q!$A$2:$A$600,$A12,Raw_Q!$P$2:$P$600,1),""))</f>
        <v>4.57201397551463</v>
      </c>
      <c r="AE12" s="48" t="n">
        <f aca="false">IF($A12="","",IFERROR(SUMPRODUCT((Raw_Q!$A$2:$A$600=$A12)*(Raw_Q!$P$2:$P$600&gt;=1)*(Raw_Q!$P$2:$P$600&lt;=4)*Raw_Q!$K$2:$K$600*Raw_Q!$L$2:$L$600),""))</f>
        <v>383.53171</v>
      </c>
      <c r="AF12" s="49" t="n">
        <f aca="false">IF($A12="","",IFERROR(IF(MIN(SUMIFS(Raw_Q!$M$2:$M$600,Raw_Q!$A$2:$A$600,$A12,Raw_Q!$P$2:$P$600,1),SUMIFS(Raw_Q!$M$2:$M$600,Raw_Q!$A$2:$A$600,$A12,Raw_Q!$P$2:$P$600,5))&lt;=0,"N/M",AE12/((SUMIFS(Raw_Q!$M$2:$M$600,Raw_Q!$A$2:$A$600,$A12,Raw_Q!$P$2:$P$600,1)+SUMIFS(Raw_Q!$M$2:$M$600,Raw_Q!$A$2:$A$600,$A12,Raw_Q!$P$2:$P$600,5))/2)),"N/M"))</f>
        <v>0.268227720843837</v>
      </c>
      <c r="AG12" s="49" t="n">
        <f aca="false">IF($A12="","",IFERROR(AVERAGE(AO12:AS12),""))</f>
        <v>0.188588489075384</v>
      </c>
      <c r="AH12" s="49" t="n">
        <f aca="false">IF($A12="","",IFERROR(IF(AD12&lt;=0,"N/M",INDEX(Raw_Est!$B$2:$B$100,MATCH($A12,Raw_Est!$A$2:$A$100,0))/AD12),"N/M"))</f>
        <v>0.276280870260861</v>
      </c>
      <c r="AI12" s="51" t="n">
        <f aca="false">IF($A12="","",IFERROR(SUMIFS(Raw_Q!$K$2:$K$600,Raw_Q!$A$2:$A$600,$A12,Raw_Q!$P$2:$P$600,0),""))</f>
        <v>0.34308</v>
      </c>
      <c r="AJ12" s="66" t="str">
        <f aca="false">IF($A12="","",IFERROR(INDEX(Raw_Q!$B$2:$B$600,MATCH($A12&amp;"|"&amp;0,Raw_Q!$Q$2:$Q$600,0)),""))</f>
        <v>FY2026Q3E</v>
      </c>
      <c r="AK12" s="66" t="str">
        <f aca="false">IF($A12="","",IFERROR(INDEX(Raw_Q!$G$2:$G$600,MATCH($A12&amp;"|"&amp;0,Raw_Q!$Q$2:$Q$600,0)),""))</f>
        <v>consensus</v>
      </c>
      <c r="AL12" s="47" t="n">
        <f aca="false">IF($A12="","",IFERROR(INDEX(Raw_Est!$E$2:$E$100,MATCH($A12,Raw_Est!$A$2:$A$100,0)),""))</f>
        <v>29</v>
      </c>
      <c r="AM12" s="67" t="n">
        <f aca="false">IF($A12="","",IFERROR(INDEX(Raw_Price!$D$2:$D$100,MATCH($A12,Raw_Price!$A$2:$A$100,0)),""))</f>
        <v>46324</v>
      </c>
      <c r="AN12" s="67" t="n">
        <f aca="false">IF($A12="","",IFERROR(INDEX(Raw_Price!$E$2:$E$100,MATCH($A12,Raw_Price!$A$2:$A$100,0)),""))</f>
        <v>46280</v>
      </c>
      <c r="AO12" s="49" t="n">
        <f aca="false">IF($A12="","",IFERROR(IF(MIN(SUMIFS(Raw_Q!$M$2:$M$600,Raw_Q!$A$2:$A$600,$A12,Raw_Q!$P$2:$P$600,1),SUMIFS(Raw_Q!$M$2:$M$600,Raw_Q!$A$2:$A$600,$A12,Raw_Q!$P$2:$P$600,5))&lt;=0,"",SUMPRODUCT((Raw_Q!$A$2:$A$600=$A12)*(Raw_Q!$P$2:$P$600&gt;=1)*(Raw_Q!$P$2:$P$600&lt;=4)*Raw_Q!$K$2:$K$600*Raw_Q!$L$2:$L$600)/((SUMIFS(Raw_Q!$M$2:$M$600,Raw_Q!$A$2:$A$600,$A12,Raw_Q!$P$2:$P$600,1)+SUMIFS(Raw_Q!$M$2:$M$600,Raw_Q!$A$2:$A$600,$A12,Raw_Q!$P$2:$P$600,5))/2)),""))</f>
        <v>0.268227720843837</v>
      </c>
      <c r="AP12" s="49" t="n">
        <f aca="false">IF($A12="","",IFERROR(IF(MIN(SUMIFS(Raw_Q!$M$2:$M$600,Raw_Q!$A$2:$A$600,$A12,Raw_Q!$P$2:$P$600,5),SUMIFS(Raw_Q!$M$2:$M$600,Raw_Q!$A$2:$A$600,$A12,Raw_Q!$P$2:$P$600,9))&lt;=0,"",SUMPRODUCT((Raw_Q!$A$2:$A$600=$A12)*(Raw_Q!$P$2:$P$600&gt;=5)*(Raw_Q!$P$2:$P$600&lt;=8)*Raw_Q!$K$2:$K$600*Raw_Q!$L$2:$L$600)/((SUMIFS(Raw_Q!$M$2:$M$600,Raw_Q!$A$2:$A$600,$A12,Raw_Q!$P$2:$P$600,5)+SUMIFS(Raw_Q!$M$2:$M$600,Raw_Q!$A$2:$A$600,$A12,Raw_Q!$P$2:$P$600,9))/2)),""))</f>
        <v>0.24577158421928</v>
      </c>
      <c r="AQ12" s="49" t="n">
        <f aca="false">IF($A12="","",IFERROR(IF(MIN(SUMIFS(Raw_Q!$M$2:$M$600,Raw_Q!$A$2:$A$600,$A12,Raw_Q!$P$2:$P$600,9),SUMIFS(Raw_Q!$M$2:$M$600,Raw_Q!$A$2:$A$600,$A12,Raw_Q!$P$2:$P$600,13))&lt;=0,"",SUMPRODUCT((Raw_Q!$A$2:$A$600=$A12)*(Raw_Q!$P$2:$P$600&gt;=9)*(Raw_Q!$P$2:$P$600&lt;=12)*Raw_Q!$K$2:$K$600*Raw_Q!$L$2:$L$600)/((SUMIFS(Raw_Q!$M$2:$M$600,Raw_Q!$A$2:$A$600,$A12,Raw_Q!$P$2:$P$600,9)+SUMIFS(Raw_Q!$M$2:$M$600,Raw_Q!$A$2:$A$600,$A12,Raw_Q!$P$2:$P$600,13))/2)),""))</f>
        <v>0.294581322179182</v>
      </c>
      <c r="AR12" s="49" t="n">
        <f aca="false">IF($A12="","",IFERROR(IF(MIN(SUMIFS(Raw_Q!$M$2:$M$600,Raw_Q!$A$2:$A$600,$A12,Raw_Q!$P$2:$P$600,13),SUMIFS(Raw_Q!$M$2:$M$600,Raw_Q!$A$2:$A$600,$A12,Raw_Q!$P$2:$P$600,17))&lt;=0,"",SUMPRODUCT((Raw_Q!$A$2:$A$600=$A12)*(Raw_Q!$P$2:$P$600&gt;=13)*(Raw_Q!$P$2:$P$600&lt;=16)*Raw_Q!$K$2:$K$600*Raw_Q!$L$2:$L$600)/((SUMIFS(Raw_Q!$M$2:$M$600,Raw_Q!$A$2:$A$600,$A12,Raw_Q!$P$2:$P$600,13)+SUMIFS(Raw_Q!$M$2:$M$600,Raw_Q!$A$2:$A$600,$A12,Raw_Q!$P$2:$P$600,17))/2)),""))</f>
        <v>0.129681197456648</v>
      </c>
      <c r="AS12" s="49" t="n">
        <f aca="false">IF($A12="","",IFERROR(IF(MIN(SUMIFS(Raw_Q!$M$2:$M$600,Raw_Q!$A$2:$A$600,$A12,Raw_Q!$P$2:$P$600,17),SUMIFS(Raw_Q!$M$2:$M$600,Raw_Q!$A$2:$A$600,$A12,Raw_Q!$P$2:$P$600,21))&lt;=0,"",SUMPRODUCT((Raw_Q!$A$2:$A$600=$A12)*(Raw_Q!$P$2:$P$600&gt;=17)*(Raw_Q!$P$2:$P$600&lt;=20)*Raw_Q!$K$2:$K$600*Raw_Q!$L$2:$L$600)/((SUMIFS(Raw_Q!$M$2:$M$600,Raw_Q!$A$2:$A$600,$A12,Raw_Q!$P$2:$P$600,17)+SUMIFS(Raw_Q!$M$2:$M$600,Raw_Q!$A$2:$A$600,$A12,Raw_Q!$P$2:$P$600,21))/2)),""))</f>
        <v>0.00468062067797444</v>
      </c>
    </row>
    <row r="13" customFormat="false" ht="15" hidden="false" customHeight="false" outlineLevel="0" collapsed="false">
      <c r="A13" s="16" t="str">
        <f aca="false">IF(Tickers!A13="","",Tickers!A13)</f>
        <v>CEG</v>
      </c>
      <c r="B13" s="66" t="str">
        <f aca="false">IF($A13="","",IFERROR(INDEX(Tickers!$B$2:$B$100,MATCH($A13,Tickers!$A$2:$A$100,0)),""))</f>
        <v>Constellation Energy Corporation</v>
      </c>
      <c r="C13" s="66" t="str">
        <f aca="false">IF($A13="","",IFERROR(INDEX(Tickers!$D$2:$D$100,MATCH($A13,Tickers!$A$2:$A$100,0)),""))</f>
        <v>池子</v>
      </c>
      <c r="D13" s="51" t="n">
        <f aca="false">IF($A13="","",IFERROR(INDEX(Raw_Price!$B$2:$B$100,MATCH($A13,Raw_Price!$A$2:$A$100,0)),""))</f>
        <v>261.25</v>
      </c>
      <c r="E13" s="48" t="n">
        <f aca="false">IF($A13="","",IFERROR(SUMIFS(Raw_Q!$I$2:$I$600,Raw_Q!$A$2:$A$600,$A13,Raw_Q!$P$2:$P$600,"&gt;=1",Raw_Q!$P$2:$P$600,"&lt;=4"),""))</f>
        <v>31270</v>
      </c>
      <c r="F13" s="51" t="n">
        <f aca="false">IF($A13="","",IFERROR(SUMIFS(Raw_Q!$K$2:$K$600,Raw_Q!$A$2:$A$600,$A13,Raw_Q!$P$2:$P$600,"&gt;=1",Raw_Q!$P$2:$P$600,"&lt;=4"),""))</f>
        <v>10.63</v>
      </c>
      <c r="G13" s="51" t="n">
        <f aca="false">IF($A13="","",IFERROR(SUMIFS(Raw_Q!$K$2:$K$600,Raw_Q!$A$2:$A$600,$A13,Raw_Q!$P$2:$P$600,"&gt;=0",Raw_Q!$P$2:$P$600,"&lt;=3"),""))</f>
        <v>11.33379</v>
      </c>
      <c r="H13" s="51" t="n">
        <f aca="true">IF($A13="","",IFERROR(INDEX(Raw_Est!$B$2:$B$100,MATCH($A13,Raw_Est!$A$2:$A$100,0))*MIN(1,MAX(0,(INDEX(Raw_Est!$D$2:$D$100,MATCH($A13,Raw_Est!$A$2:$A$100,0))-TODAY())/Config!$B$8))+INDEX(Raw_Est!$C$2:$C$100,MATCH($A13,Raw_Est!$A$2:$A$100,0))*(1-MIN(1,MAX(0,(INDEX(Raw_Est!$D$2:$D$100,MATCH($A13,Raw_Est!$A$2:$A$100,0))-TODAY())/Config!$B$8))),""))</f>
        <v>12.982868739726</v>
      </c>
      <c r="I13" s="49" t="n">
        <f aca="false">IF($A13="","",IFERROR(SUMIFS(Raw_Q!$K$2:$K$600,Raw_Q!$A$2:$A$600,$A13,Raw_Q!$P$2:$P$600,"&gt;=1",Raw_Q!$P$2:$P$600,"&lt;=4")/SUMIFS(Raw_Q!$K$2:$K$600,Raw_Q!$A$2:$A$600,$A13,Raw_Q!$P$2:$P$600,"&gt;=5",Raw_Q!$P$2:$P$600,"&lt;=8")-1,""))</f>
        <v>0.151679306608884</v>
      </c>
      <c r="J13" s="52" t="n">
        <f aca="false">IF($A13="","",IFERROR(IF(F13&lt;=0,"N/M",D13/F13),"N/M"))</f>
        <v>24.5766698024459</v>
      </c>
      <c r="K13" s="52" t="n">
        <f aca="false">IF($A13="","",IFERROR(IF(G13&lt;=0,"N/M",D13/G13),"N/M"))</f>
        <v>23.0505417869927</v>
      </c>
      <c r="L13" s="52" t="n">
        <f aca="false">IF($A13="","",IFERROR(IF(H13&lt;=0,"N/M",D13/H13),"N/M"))</f>
        <v>20.1226712860931</v>
      </c>
      <c r="M13" s="49" t="n">
        <f aca="false">IF($A13="","",IFERROR(INDEX(Raw_Est!$C$2:$C$100,MATCH($A13,Raw_Est!$A$2:$A$100,0))/INDEX(Raw_Est!$B$2:$B$100,MATCH($A13,Raw_Est!$A$2:$A$100,0))-1,""))</f>
        <v>0.100998781128871</v>
      </c>
      <c r="N13" s="51" t="n">
        <f aca="false">IF($A13="","",IFERROR(IF(OR(NOT(ISNUMBER(J13)),I13&lt;Config!$B$6),"N/M",J13/(I13*100)),"N/M"))</f>
        <v>1.62030473054697</v>
      </c>
      <c r="O13" s="51" t="n">
        <f aca="false">IF($A13="","",IFERROR(IF(OR(NOT(ISNUMBER(L13)),M13&lt;Config!$B$6),"N/M",L13/(M13*100)),"N/M"))</f>
        <v>1.99236773564794</v>
      </c>
      <c r="P13" s="51" t="n">
        <f aca="false">IF($A13="","",IFERROR(SUMIFS(Raw_Q!$N$2:$N$600,Raw_Q!$A$2:$A$600,$A13,Raw_Q!$P$2:$P$600,"&gt;=1",Raw_Q!$P$2:$P$600,"&lt;=4"),""))</f>
        <v>1.63</v>
      </c>
      <c r="Q13" s="49" t="n">
        <f aca="false">IF($A13="","",IFERROR(IF(P13=0,"不配息",P13/D13),""))</f>
        <v>0.00623923444976077</v>
      </c>
      <c r="R13" s="49" t="n">
        <f aca="false">IF($A13="","",IFERROR(IF(SUMIFS(Raw_Q!$N$2:$N$600,Raw_Q!$A$2:$A$600,$A13,Raw_Q!$P$2:$P$600,"&gt;=5",Raw_Q!$P$2:$P$600,"&lt;=8")=0,"",SUMIFS(Raw_Q!$N$2:$N$600,Raw_Q!$A$2:$A$600,$A13,Raw_Q!$P$2:$P$600,"&gt;=1",Raw_Q!$P$2:$P$600,"&lt;=4")/SUMIFS(Raw_Q!$N$2:$N$600,Raw_Q!$A$2:$A$600,$A13,Raw_Q!$P$2:$P$600,"&gt;=5",Raw_Q!$P$2:$P$600,"&lt;=8")-1),""))</f>
        <v>0.0998650472334681</v>
      </c>
      <c r="S13" s="49" t="n">
        <f aca="false">IF($A13="","",IFERROR(SUMIFS(Raw_Q!$I$2:$I$600,Raw_Q!$A$2:$A$600,$A13,Raw_Q!$P$2:$P$600,1)/SUMIFS(Raw_Q!$I$2:$I$600,Raw_Q!$A$2:$A$600,$A13,Raw_Q!$P$2:$P$600,5)-1,""))</f>
        <v>0.229962301262088</v>
      </c>
      <c r="T13" s="49" t="n">
        <f aca="false">IF($A13="","",IFERROR(SUMIFS(Raw_Q!$I$2:$I$600,Raw_Q!$A$2:$A$600,$A13,Raw_Q!$P$2:$P$600,1)/SUMIFS(Raw_Q!$I$2:$I$600,Raw_Q!$A$2:$A$600,$A13,Raw_Q!$P$2:$P$600,2)-1,""))</f>
        <v>-0.325301204819277</v>
      </c>
      <c r="U13" s="49" t="n">
        <f aca="false">IF($A13="","",IFERROR(SUMIFS(Raw_Q!$I$2:$I$600,Raw_Q!$A$2:$A$600,$A13,Raw_Q!$P$2:$P$600,2)/SUMIFS(Raw_Q!$I$2:$I$600,Raw_Q!$A$2:$A$600,$A13,Raw_Q!$P$2:$P$600,3)-1,""))</f>
        <v>0.831083305893974</v>
      </c>
      <c r="V13" s="68" t="n">
        <f aca="false">IF($A13="","",IFERROR((T13-U13)*100,""))</f>
        <v>-115.638451071325</v>
      </c>
      <c r="W13" s="66" t="str">
        <f aca="false">IF($A13="","",IFERROR(IF(NOT(ISNUMBER(T13)),"",IF(T13&gt;0,IF(V13&gt;0,"成長且加速","成長但減速"),IF(V13&gt;0,"衰退但收斂","衰退且惡化"))),""))</f>
        <v>衰退且惡化</v>
      </c>
      <c r="X13" s="68" t="n">
        <f aca="false">IF($A13="","",IFERROR((T13-(SUMIFS(Raw_Q!$I$2:$I$600,Raw_Q!$A$2:$A$600,$A13,Raw_Q!$P$2:$P$600,5)/SUMIFS(Raw_Q!$I$2:$I$600,Raw_Q!$A$2:$A$600,$A13,Raw_Q!$P$2:$P$600,6)-1))*100,""))</f>
        <v>-22.4093190676673</v>
      </c>
      <c r="Y13" s="49" t="n">
        <f aca="false">IF($A13="","",IFERROR(SUMIFS(Raw_Q!$K$2:$K$600,Raw_Q!$A$2:$A$600,$A13,Raw_Q!$P$2:$P$600,1)/SUMIFS(Raw_Q!$K$2:$K$600,Raw_Q!$A$2:$A$600,$A13,Raw_Q!$P$2:$P$600,5)-1,""))</f>
        <v>0.335078534031414</v>
      </c>
      <c r="Z13" s="49" t="n">
        <f aca="false">IF($A13="","",IFERROR(SUMIFS(Raw_Q!$J$2:$J$600,Raw_Q!$A$2:$A$600,$A13,Raw_Q!$P$2:$P$600,"&gt;=1",Raw_Q!$P$2:$P$600,"&lt;=4")/E13,""))</f>
        <v>0.214262871762072</v>
      </c>
      <c r="AA13" s="49" t="n">
        <f aca="false">IF($A13="","",IFERROR(SUMIFS(Raw_Q!$J$2:$J$600,Raw_Q!$A$2:$A$600,$A13,Raw_Q!$P$2:$P$600,"&gt;=1",Raw_Q!$P$2:$P$600,"&lt;="&amp;Config!$B$5)/SUMIFS(Raw_Q!$I$2:$I$600,Raw_Q!$A$2:$A$600,$A13,Raw_Q!$P$2:$P$600,"&gt;=1",Raw_Q!$P$2:$P$600,"&lt;="&amp;Config!$B$5),""))</f>
        <v>0.173244215614495</v>
      </c>
      <c r="AB13" s="50" t="n">
        <f aca="false">IF($A13="","",IFERROR((Z13-AA13)*10000,""))</f>
        <v>410.186561475772</v>
      </c>
      <c r="AC13" s="50" t="n">
        <f aca="false">IF($A13="","",IFERROR((SUMIFS(Raw_Q!$J$2:$J$600,Raw_Q!$A$2:$A$600,$A13,Raw_Q!$P$2:$P$600,1)/SUMIFS(Raw_Q!$I$2:$I$600,Raw_Q!$A$2:$A$600,$A13,Raw_Q!$P$2:$P$600,1)-SUMIFS(Raw_Q!$J$2:$J$600,Raw_Q!$A$2:$A$600,$A13,Raw_Q!$P$2:$P$600,5)/SUMIFS(Raw_Q!$I$2:$I$600,Raw_Q!$A$2:$A$600,$A13,Raw_Q!$P$2:$P$600,5))*10000,""))</f>
        <v>-579.569604619328</v>
      </c>
      <c r="AD13" s="51" t="n">
        <f aca="false">IF($A13="","",IFERROR(SUMIFS(Raw_Q!$M$2:$M$600,Raw_Q!$A$2:$A$600,$A13,Raw_Q!$P$2:$P$600,1)/SUMIFS(Raw_Q!$L$2:$L$600,Raw_Q!$A$2:$A$600,$A13,Raw_Q!$P$2:$P$600,1),""))</f>
        <v>88.825</v>
      </c>
      <c r="AE13" s="48" t="n">
        <f aca="false">IF($A13="","",IFERROR(SUMPRODUCT((Raw_Q!$A$2:$A$600=$A13)*(Raw_Q!$P$2:$P$600&gt;=1)*(Raw_Q!$P$2:$P$600&lt;=4)*Raw_Q!$K$2:$K$600*Raw_Q!$L$2:$L$600),""))</f>
        <v>3559.38</v>
      </c>
      <c r="AF13" s="49" t="n">
        <f aca="false">IF($A13="","",IFERROR(IF(MIN(SUMIFS(Raw_Q!$M$2:$M$600,Raw_Q!$A$2:$A$600,$A13,Raw_Q!$P$2:$P$600,1),SUMIFS(Raw_Q!$M$2:$M$600,Raw_Q!$A$2:$A$600,$A13,Raw_Q!$P$2:$P$600,5))&lt;=0,"N/M",AE13/((SUMIFS(Raw_Q!$M$2:$M$600,Raw_Q!$A$2:$A$600,$A13,Raw_Q!$P$2:$P$600,1)+SUMIFS(Raw_Q!$M$2:$M$600,Raw_Q!$A$2:$A$600,$A13,Raw_Q!$P$2:$P$600,5))/2)),"N/M"))</f>
        <v>0.156721484710389</v>
      </c>
      <c r="AG13" s="49" t="n">
        <f aca="false">IF($A13="","",IFERROR(AVERAGE(AO13:AS13),""))</f>
        <v>0.143746296693665</v>
      </c>
      <c r="AH13" s="49" t="n">
        <f aca="false">IF($A13="","",IFERROR(IF(AD13&lt;=0,"N/M",INDEX(Raw_Est!$B$2:$B$100,MATCH($A13,Raw_Est!$A$2:$A$100,0))/AD13),"N/M"))</f>
        <v>0.136422966507177</v>
      </c>
      <c r="AI13" s="51" t="n">
        <f aca="false">IF($A13="","",IFERROR(SUMIFS(Raw_Q!$K$2:$K$600,Raw_Q!$A$2:$A$600,$A13,Raw_Q!$P$2:$P$600,0),""))</f>
        <v>3.74379</v>
      </c>
      <c r="AJ13" s="66" t="str">
        <f aca="false">IF($A13="","",IFERROR(INDEX(Raw_Q!$B$2:$B$600,MATCH($A13&amp;"|"&amp;0,Raw_Q!$Q$2:$Q$600,0)),""))</f>
        <v>FY2026Q3E</v>
      </c>
      <c r="AK13" s="66" t="str">
        <f aca="false">IF($A13="","",IFERROR(INDEX(Raw_Q!$G$2:$G$600,MATCH($A13&amp;"|"&amp;0,Raw_Q!$Q$2:$Q$600,0)),""))</f>
        <v>consensus</v>
      </c>
      <c r="AL13" s="47" t="n">
        <f aca="false">IF($A13="","",IFERROR(INDEX(Raw_Est!$E$2:$E$100,MATCH($A13,Raw_Est!$A$2:$A$100,0)),""))</f>
        <v>10</v>
      </c>
      <c r="AM13" s="67" t="n">
        <f aca="false">IF($A13="","",IFERROR(INDEX(Raw_Price!$D$2:$D$100,MATCH($A13,Raw_Price!$A$2:$A$100,0)),""))</f>
        <v>46335</v>
      </c>
      <c r="AN13" s="67" t="n">
        <f aca="false">IF($A13="","",IFERROR(INDEX(Raw_Price!$E$2:$E$100,MATCH($A13,Raw_Price!$A$2:$A$100,0)),""))</f>
        <v>46280</v>
      </c>
      <c r="AO13" s="49" t="n">
        <f aca="false">IF($A13="","",IFERROR(IF(MIN(SUMIFS(Raw_Q!$M$2:$M$600,Raw_Q!$A$2:$A$600,$A13,Raw_Q!$P$2:$P$600,1),SUMIFS(Raw_Q!$M$2:$M$600,Raw_Q!$A$2:$A$600,$A13,Raw_Q!$P$2:$P$600,5))&lt;=0,"",SUMPRODUCT((Raw_Q!$A$2:$A$600=$A13)*(Raw_Q!$P$2:$P$600&gt;=1)*(Raw_Q!$P$2:$P$600&lt;=4)*Raw_Q!$K$2:$K$600*Raw_Q!$L$2:$L$600)/((SUMIFS(Raw_Q!$M$2:$M$600,Raw_Q!$A$2:$A$600,$A13,Raw_Q!$P$2:$P$600,1)+SUMIFS(Raw_Q!$M$2:$M$600,Raw_Q!$A$2:$A$600,$A13,Raw_Q!$P$2:$P$600,5))/2)),""))</f>
        <v>0.156721484710389</v>
      </c>
      <c r="AP13" s="49" t="n">
        <f aca="false">IF($A13="","",IFERROR(IF(MIN(SUMIFS(Raw_Q!$M$2:$M$600,Raw_Q!$A$2:$A$600,$A13,Raw_Q!$P$2:$P$600,5),SUMIFS(Raw_Q!$M$2:$M$600,Raw_Q!$A$2:$A$600,$A13,Raw_Q!$P$2:$P$600,9))&lt;=0,"",SUMPRODUCT((Raw_Q!$A$2:$A$600=$A13)*(Raw_Q!$P$2:$P$600&gt;=5)*(Raw_Q!$P$2:$P$600&lt;=8)*Raw_Q!$K$2:$K$600*Raw_Q!$L$2:$L$600)/((SUMIFS(Raw_Q!$M$2:$M$600,Raw_Q!$A$2:$A$600,$A13,Raw_Q!$P$2:$P$600,5)+SUMIFS(Raw_Q!$M$2:$M$600,Raw_Q!$A$2:$A$600,$A13,Raw_Q!$P$2:$P$600,9))/2)),""))</f>
        <v>0.233972498090145</v>
      </c>
      <c r="AQ13" s="49" t="n">
        <f aca="false">IF($A13="","",IFERROR(IF(MIN(SUMIFS(Raw_Q!$M$2:$M$600,Raw_Q!$A$2:$A$600,$A13,Raw_Q!$P$2:$P$600,9),SUMIFS(Raw_Q!$M$2:$M$600,Raw_Q!$A$2:$A$600,$A13,Raw_Q!$P$2:$P$600,13))&lt;=0,"",SUMPRODUCT((Raw_Q!$A$2:$A$600=$A13)*(Raw_Q!$P$2:$P$600&gt;=9)*(Raw_Q!$P$2:$P$600&lt;=12)*Raw_Q!$K$2:$K$600*Raw_Q!$L$2:$L$600)/((SUMIFS(Raw_Q!$M$2:$M$600,Raw_Q!$A$2:$A$600,$A13,Raw_Q!$P$2:$P$600,9)+SUMIFS(Raw_Q!$M$2:$M$600,Raw_Q!$A$2:$A$600,$A13,Raw_Q!$P$2:$P$600,13))/2)),""))</f>
        <v>0.153048146025308</v>
      </c>
      <c r="AR13" s="49" t="n">
        <f aca="false">IF($A13="","",IFERROR(IF(MIN(SUMIFS(Raw_Q!$M$2:$M$600,Raw_Q!$A$2:$A$600,$A13,Raw_Q!$P$2:$P$600,13),SUMIFS(Raw_Q!$M$2:$M$600,Raw_Q!$A$2:$A$600,$A13,Raw_Q!$P$2:$P$600,17))&lt;=0,"",SUMPRODUCT((Raw_Q!$A$2:$A$600=$A13)*(Raw_Q!$P$2:$P$600&gt;=13)*(Raw_Q!$P$2:$P$600&lt;=16)*Raw_Q!$K$2:$K$600*Raw_Q!$L$2:$L$600)/((SUMIFS(Raw_Q!$M$2:$M$600,Raw_Q!$A$2:$A$600,$A13,Raw_Q!$P$2:$P$600,13)+SUMIFS(Raw_Q!$M$2:$M$600,Raw_Q!$A$2:$A$600,$A13,Raw_Q!$P$2:$P$600,17))/2)),""))</f>
        <v>0.0697600647016535</v>
      </c>
      <c r="AS13" s="49" t="n">
        <f aca="false">IF($A13="","",IFERROR(IF(MIN(SUMIFS(Raw_Q!$M$2:$M$600,Raw_Q!$A$2:$A$600,$A13,Raw_Q!$P$2:$P$600,17),SUMIFS(Raw_Q!$M$2:$M$600,Raw_Q!$A$2:$A$600,$A13,Raw_Q!$P$2:$P$600,21))&lt;=0,"",SUMPRODUCT((Raw_Q!$A$2:$A$600=$A13)*(Raw_Q!$P$2:$P$600&gt;=17)*(Raw_Q!$P$2:$P$600&lt;=20)*Raw_Q!$K$2:$K$600*Raw_Q!$L$2:$L$600)/((SUMIFS(Raw_Q!$M$2:$M$600,Raw_Q!$A$2:$A$600,$A13,Raw_Q!$P$2:$P$600,17)+SUMIFS(Raw_Q!$M$2:$M$600,Raw_Q!$A$2:$A$600,$A13,Raw_Q!$P$2:$P$600,21))/2)),""))</f>
        <v>0.105229289940828</v>
      </c>
    </row>
    <row r="14" customFormat="false" ht="15" hidden="false" customHeight="false" outlineLevel="0" collapsed="false">
      <c r="A14" s="16" t="str">
        <f aca="false">IF(Tickers!A14="","",Tickers!A14)</f>
        <v>AMZN</v>
      </c>
      <c r="B14" s="66" t="str">
        <f aca="false">IF($A14="","",IFERROR(INDEX(Tickers!$B$2:$B$100,MATCH($A14,Tickers!$A$2:$A$100,0)),""))</f>
        <v>Amazon.com, Inc.</v>
      </c>
      <c r="C14" s="66" t="str">
        <f aca="false">IF($A14="","",IFERROR(INDEX(Tickers!$D$2:$D$100,MATCH($A14,Tickers!$A$2:$A$100,0)),""))</f>
        <v>池子</v>
      </c>
      <c r="D14" s="51" t="n">
        <f aca="false">IF($A14="","",IFERROR(INDEX(Raw_Price!$B$2:$B$100,MATCH($A14,Raw_Price!$A$2:$A$100,0)),""))</f>
        <v>248.929992675781</v>
      </c>
      <c r="E14" s="48" t="n">
        <f aca="false">IF($A14="","",IFERROR(SUMIFS(Raw_Q!$I$2:$I$600,Raw_Q!$A$2:$A$600,$A14,Raw_Q!$P$2:$P$600,"&gt;=1",Raw_Q!$P$2:$P$600,"&lt;=4"),""))</f>
        <v>1350754</v>
      </c>
      <c r="F14" s="51" t="n">
        <f aca="false">IF($A14="","",IFERROR(SUMIFS(Raw_Q!$K$2:$K$600,Raw_Q!$A$2:$A$600,$A14,Raw_Q!$P$2:$P$600,"&gt;=1",Raw_Q!$P$2:$P$600,"&lt;=4"),""))</f>
        <v>12.43</v>
      </c>
      <c r="G14" s="51" t="n">
        <f aca="false">IF($A14="","",IFERROR(SUMIFS(Raw_Q!$K$2:$K$600,Raw_Q!$A$2:$A$600,$A14,Raw_Q!$P$2:$P$600,"&gt;=0",Raw_Q!$P$2:$P$600,"&lt;=3"),""))</f>
        <v>12.43485</v>
      </c>
      <c r="H14" s="51" t="n">
        <f aca="true">IF($A14="","",IFERROR(INDEX(Raw_Est!$B$2:$B$100,MATCH($A14,Raw_Est!$A$2:$A$100,0))*MIN(1,MAX(0,(INDEX(Raw_Est!$D$2:$D$100,MATCH($A14,Raw_Est!$A$2:$A$100,0))-TODAY())/Config!$B$8))+INDEX(Raw_Est!$C$2:$C$100,MATCH($A14,Raw_Est!$A$2:$A$100,0))*(1-MIN(1,MAX(0,(INDEX(Raw_Est!$D$2:$D$100,MATCH($A14,Raw_Est!$A$2:$A$100,0))-TODAY())/Config!$B$8))),""))</f>
        <v>11.1959364109589</v>
      </c>
      <c r="I14" s="49" t="n">
        <f aca="false">IF($A14="","",IFERROR(SUMIFS(Raw_Q!$K$2:$K$600,Raw_Q!$A$2:$A$600,$A14,Raw_Q!$P$2:$P$600,"&gt;=1",Raw_Q!$P$2:$P$600,"&lt;=4")/SUMIFS(Raw_Q!$K$2:$K$600,Raw_Q!$A$2:$A$600,$A14,Raw_Q!$P$2:$P$600,"&gt;=5",Raw_Q!$P$2:$P$600,"&lt;=8")-1,""))</f>
        <v>0.894817073170731</v>
      </c>
      <c r="J14" s="52" t="n">
        <f aca="false">IF($A14="","",IFERROR(IF(F14&lt;=0,"N/M",D14/F14),"N/M"))</f>
        <v>20.0265480833291</v>
      </c>
      <c r="K14" s="52" t="n">
        <f aca="false">IF($A14="","",IFERROR(IF(G14&lt;=0,"N/M",D14/G14),"N/M"))</f>
        <v>20.0187370716801</v>
      </c>
      <c r="L14" s="52" t="n">
        <f aca="false">IF($A14="","",IFERROR(IF(H14&lt;=0,"N/M",D14/H14),"N/M"))</f>
        <v>22.2339591382568</v>
      </c>
      <c r="M14" s="49" t="n">
        <f aca="false">IF($A14="","",IFERROR(INDEX(Raw_Est!$C$2:$C$100,MATCH($A14,Raw_Est!$A$2:$A$100,0))/INDEX(Raw_Est!$B$2:$B$100,MATCH($A14,Raw_Est!$A$2:$A$100,0))-1,""))</f>
        <v>-0.186316169085741</v>
      </c>
      <c r="N14" s="51" t="n">
        <f aca="false">IF($A14="","",IFERROR(IF(OR(NOT(ISNUMBER(J14)),I14&lt;Config!$B$6),"N/M",J14/(I14*100)),"N/M"))</f>
        <v>0.223806056944871</v>
      </c>
      <c r="O14" s="51" t="str">
        <f aca="false">IF($A14="","",IFERROR(IF(OR(NOT(ISNUMBER(L14)),M14&lt;Config!$B$6),"N/M",L14/(M14*100)),"N/M"))</f>
        <v>N/M</v>
      </c>
      <c r="P14" s="51" t="n">
        <f aca="false">IF($A14="","",IFERROR(SUMIFS(Raw_Q!$N$2:$N$600,Raw_Q!$A$2:$A$600,$A14,Raw_Q!$P$2:$P$600,"&gt;=1",Raw_Q!$P$2:$P$600,"&lt;=4"),""))</f>
        <v>0</v>
      </c>
      <c r="Q14" s="49" t="str">
        <f aca="false">IF($A14="","",IFERROR(IF(P14=0,"不配息",P14/D14),""))</f>
        <v>不配息</v>
      </c>
      <c r="R14" s="49" t="str">
        <f aca="false">IF($A14="","",IFERROR(IF(SUMIFS(Raw_Q!$N$2:$N$600,Raw_Q!$A$2:$A$600,$A14,Raw_Q!$P$2:$P$600,"&gt;=5",Raw_Q!$P$2:$P$600,"&lt;=8")=0,"",SUMIFS(Raw_Q!$N$2:$N$600,Raw_Q!$A$2:$A$600,$A14,Raw_Q!$P$2:$P$600,"&gt;=1",Raw_Q!$P$2:$P$600,"&lt;=4")/SUMIFS(Raw_Q!$N$2:$N$600,Raw_Q!$A$2:$A$600,$A14,Raw_Q!$P$2:$P$600,"&gt;=5",Raw_Q!$P$2:$P$600,"&lt;=8")-1),""))</f>
        <v/>
      </c>
      <c r="S14" s="49" t="n">
        <f aca="false">IF($A14="","",IFERROR(SUMIFS(Raw_Q!$I$2:$I$600,Raw_Q!$A$2:$A$600,$A14,Raw_Q!$P$2:$P$600,1)/SUMIFS(Raw_Q!$I$2:$I$600,Raw_Q!$A$2:$A$600,$A14,Raw_Q!$P$2:$P$600,5)-1,""))</f>
        <v>3.62534734230957</v>
      </c>
      <c r="T14" s="49" t="n">
        <f aca="false">IF($A14="","",IFERROR(SUMIFS(Raw_Q!$I$2:$I$600,Raw_Q!$A$2:$A$600,$A14,Raw_Q!$P$2:$P$600,1)/SUMIFS(Raw_Q!$I$2:$I$600,Raw_Q!$A$2:$A$600,$A14,Raw_Q!$P$2:$P$600,2)-1,""))</f>
        <v>3.27327166853057</v>
      </c>
      <c r="U14" s="49" t="n">
        <f aca="false">IF($A14="","",IFERROR(SUMIFS(Raw_Q!$I$2:$I$600,Raw_Q!$A$2:$A$600,$A14,Raw_Q!$P$2:$P$600,2)/SUMIFS(Raw_Q!$I$2:$I$600,Raw_Q!$A$2:$A$600,$A14,Raw_Q!$P$2:$P$600,3)-1,""))</f>
        <v>-0.149339694262979</v>
      </c>
      <c r="V14" s="68" t="n">
        <f aca="false">IF($A14="","",IFERROR((T14-U14)*100,""))</f>
        <v>342.261136279355</v>
      </c>
      <c r="W14" s="66" t="str">
        <f aca="false">IF($A14="","",IFERROR(IF(NOT(ISNUMBER(T14)),"",IF(T14&gt;0,IF(V14&gt;0,"成長且加速","成長但減速"),IF(V14&gt;0,"衰退但收斂","衰退且惡化"))),""))</f>
        <v>成長且加速</v>
      </c>
      <c r="X14" s="68" t="n">
        <f aca="false">IF($A14="","",IFERROR((T14-(SUMIFS(Raw_Q!$I$2:$I$600,Raw_Q!$A$2:$A$600,$A14,Raw_Q!$P$2:$P$600,5)/SUMIFS(Raw_Q!$I$2:$I$600,Raw_Q!$A$2:$A$600,$A14,Raw_Q!$P$2:$P$600,6)-1))*100,""))</f>
        <v>319.595920024892</v>
      </c>
      <c r="Y14" s="49" t="n">
        <f aca="false">IF($A14="","",IFERROR(SUMIFS(Raw_Q!$K$2:$K$600,Raw_Q!$A$2:$A$600,$A14,Raw_Q!$P$2:$P$600,1)/SUMIFS(Raw_Q!$K$2:$K$600,Raw_Q!$A$2:$A$600,$A14,Raw_Q!$P$2:$P$600,5)-1,""))</f>
        <v>2.42261904761905</v>
      </c>
      <c r="Z14" s="49" t="n">
        <f aca="false">IF($A14="","",IFERROR(SUMIFS(Raw_Q!$J$2:$J$600,Raw_Q!$A$2:$A$600,$A14,Raw_Q!$P$2:$P$600,"&gt;=1",Raw_Q!$P$2:$P$600,"&lt;=4")/E14,""))</f>
        <v>0.505489526590334</v>
      </c>
      <c r="AA14" s="49" t="n">
        <f aca="false">IF($A14="","",IFERROR(SUMIFS(Raw_Q!$J$2:$J$600,Raw_Q!$A$2:$A$600,$A14,Raw_Q!$P$2:$P$600,"&gt;=1",Raw_Q!$P$2:$P$600,"&lt;="&amp;Config!$B$5)/SUMIFS(Raw_Q!$I$2:$I$600,Raw_Q!$A$2:$A$600,$A14,Raw_Q!$P$2:$P$600,"&gt;=1",Raw_Q!$P$2:$P$600,"&lt;="&amp;Config!$B$5),""))</f>
        <v>0.481684942536106</v>
      </c>
      <c r="AB14" s="50" t="n">
        <f aca="false">IF($A14="","",IFERROR((Z14-AA14)*10000,""))</f>
        <v>238.045840542275</v>
      </c>
      <c r="AC14" s="50" t="n">
        <f aca="false">IF($A14="","",IFERROR((SUMIFS(Raw_Q!$J$2:$J$600,Raw_Q!$A$2:$A$600,$A14,Raw_Q!$P$2:$P$600,1)/SUMIFS(Raw_Q!$I$2:$I$600,Raw_Q!$A$2:$A$600,$A14,Raw_Q!$P$2:$P$600,1)-SUMIFS(Raw_Q!$J$2:$J$600,Raw_Q!$A$2:$A$600,$A14,Raw_Q!$P$2:$P$600,5)/SUMIFS(Raw_Q!$I$2:$I$600,Raw_Q!$A$2:$A$600,$A14,Raw_Q!$P$2:$P$600,5))*10000,""))</f>
        <v>-104.428457808706</v>
      </c>
      <c r="AD14" s="51" t="n">
        <f aca="false">IF($A14="","",IFERROR(SUMIFS(Raw_Q!$M$2:$M$600,Raw_Q!$A$2:$A$600,$A14,Raw_Q!$P$2:$P$600,1)/SUMIFS(Raw_Q!$L$2:$L$600,Raw_Q!$A$2:$A$600,$A14,Raw_Q!$P$2:$P$600,1),""))</f>
        <v>50.5934146565166</v>
      </c>
      <c r="AE14" s="48" t="n">
        <f aca="false">IF($A14="","",IFERROR(SUMPRODUCT((Raw_Q!$A$2:$A$600=$A14)*(Raw_Q!$P$2:$P$600&gt;=1)*(Raw_Q!$P$2:$P$600&lt;=4)*Raw_Q!$K$2:$K$600*Raw_Q!$L$2:$L$600),""))</f>
        <v>135252.57</v>
      </c>
      <c r="AF14" s="49" t="n">
        <f aca="false">IF($A14="","",IFERROR(IF(MIN(SUMIFS(Raw_Q!$M$2:$M$600,Raw_Q!$A$2:$A$600,$A14,Raw_Q!$P$2:$P$600,1),SUMIFS(Raw_Q!$M$2:$M$600,Raw_Q!$A$2:$A$600,$A14,Raw_Q!$P$2:$P$600,5))&lt;=0,"N/M",AE14/((SUMIFS(Raw_Q!$M$2:$M$600,Raw_Q!$A$2:$A$600,$A14,Raw_Q!$P$2:$P$600,1)+SUMIFS(Raw_Q!$M$2:$M$600,Raw_Q!$A$2:$A$600,$A14,Raw_Q!$P$2:$P$600,5))/2)),"N/M"))</f>
        <v>0.305519163763066</v>
      </c>
      <c r="AG14" s="49" t="n">
        <f aca="false">IF($A14="","",IFERROR(AVERAGE(AO14:AS14),""))</f>
        <v>0.16680834042705</v>
      </c>
      <c r="AH14" s="49" t="n">
        <f aca="false">IF($A14="","",IFERROR(IF(AD14&lt;=0,"N/M",INDEX(Raw_Est!$B$2:$B$100,MATCH($A14,Raw_Est!$A$2:$A$100,0))/AD14),"N/M"))</f>
        <v>0.25485629083427</v>
      </c>
      <c r="AI14" s="51" t="n">
        <f aca="false">IF($A14="","",IFERROR(SUMIFS(Raw_Q!$K$2:$K$600,Raw_Q!$A$2:$A$600,$A14,Raw_Q!$P$2:$P$600,0),""))</f>
        <v>1.95485</v>
      </c>
      <c r="AJ14" s="66" t="str">
        <f aca="false">IF($A14="","",IFERROR(INDEX(Raw_Q!$B$2:$B$600,MATCH($A14&amp;"|"&amp;0,Raw_Q!$Q$2:$Q$600,0)),""))</f>
        <v>FY2026Q3E</v>
      </c>
      <c r="AK14" s="66" t="str">
        <f aca="false">IF($A14="","",IFERROR(INDEX(Raw_Q!$G$2:$G$600,MATCH($A14&amp;"|"&amp;0,Raw_Q!$Q$2:$Q$600,0)),""))</f>
        <v>consensus</v>
      </c>
      <c r="AL14" s="47" t="n">
        <f aca="false">IF($A14="","",IFERROR(INDEX(Raw_Est!$E$2:$E$100,MATCH($A14,Raw_Est!$A$2:$A$100,0)),""))</f>
        <v>44</v>
      </c>
      <c r="AM14" s="67" t="n">
        <f aca="false">IF($A14="","",IFERROR(INDEX(Raw_Price!$D$2:$D$100,MATCH($A14,Raw_Price!$A$2:$A$100,0)),""))</f>
        <v>46324</v>
      </c>
      <c r="AN14" s="67" t="n">
        <f aca="false">IF($A14="","",IFERROR(INDEX(Raw_Price!$E$2:$E$100,MATCH($A14,Raw_Price!$A$2:$A$100,0)),""))</f>
        <v>46280</v>
      </c>
      <c r="AO14" s="49" t="n">
        <f aca="false">IF($A14="","",IFERROR(IF(MIN(SUMIFS(Raw_Q!$M$2:$M$600,Raw_Q!$A$2:$A$600,$A14,Raw_Q!$P$2:$P$600,1),SUMIFS(Raw_Q!$M$2:$M$600,Raw_Q!$A$2:$A$600,$A14,Raw_Q!$P$2:$P$600,5))&lt;=0,"",SUMPRODUCT((Raw_Q!$A$2:$A$600=$A14)*(Raw_Q!$P$2:$P$600&gt;=1)*(Raw_Q!$P$2:$P$600&lt;=4)*Raw_Q!$K$2:$K$600*Raw_Q!$L$2:$L$600)/((SUMIFS(Raw_Q!$M$2:$M$600,Raw_Q!$A$2:$A$600,$A14,Raw_Q!$P$2:$P$600,1)+SUMIFS(Raw_Q!$M$2:$M$600,Raw_Q!$A$2:$A$600,$A14,Raw_Q!$P$2:$P$600,5))/2)),""))</f>
        <v>0.305519163763066</v>
      </c>
      <c r="AP14" s="49" t="n">
        <f aca="false">IF($A14="","",IFERROR(IF(MIN(SUMIFS(Raw_Q!$M$2:$M$600,Raw_Q!$A$2:$A$600,$A14,Raw_Q!$P$2:$P$600,5),SUMIFS(Raw_Q!$M$2:$M$600,Raw_Q!$A$2:$A$600,$A14,Raw_Q!$P$2:$P$600,9))&lt;=0,"",SUMPRODUCT((Raw_Q!$A$2:$A$600=$A14)*(Raw_Q!$P$2:$P$600&gt;=5)*(Raw_Q!$P$2:$P$600&lt;=8)*Raw_Q!$K$2:$K$600*Raw_Q!$L$2:$L$600)/((SUMIFS(Raw_Q!$M$2:$M$600,Raw_Q!$A$2:$A$600,$A14,Raw_Q!$P$2:$P$600,5)+SUMIFS(Raw_Q!$M$2:$M$600,Raw_Q!$A$2:$A$600,$A14,Raw_Q!$P$2:$P$600,9))/2)),""))</f>
        <v>0.247150495771822</v>
      </c>
      <c r="AQ14" s="49" t="n">
        <f aca="false">IF($A14="","",IFERROR(IF(MIN(SUMIFS(Raw_Q!$M$2:$M$600,Raw_Q!$A$2:$A$600,$A14,Raw_Q!$P$2:$P$600,9),SUMIFS(Raw_Q!$M$2:$M$600,Raw_Q!$A$2:$A$600,$A14,Raw_Q!$P$2:$P$600,13))&lt;=0,"",SUMPRODUCT((Raw_Q!$A$2:$A$600=$A14)*(Raw_Q!$P$2:$P$600&gt;=9)*(Raw_Q!$P$2:$P$600&lt;=12)*Raw_Q!$K$2:$K$600*Raw_Q!$L$2:$L$600)/((SUMIFS(Raw_Q!$M$2:$M$600,Raw_Q!$A$2:$A$600,$A14,Raw_Q!$P$2:$P$600,9)+SUMIFS(Raw_Q!$M$2:$M$600,Raw_Q!$A$2:$A$600,$A14,Raw_Q!$P$2:$P$600,13))/2)),""))</f>
        <v>0.217392833953423</v>
      </c>
      <c r="AR14" s="49" t="n">
        <f aca="false">IF($A14="","",IFERROR(IF(MIN(SUMIFS(Raw_Q!$M$2:$M$600,Raw_Q!$A$2:$A$600,$A14,Raw_Q!$P$2:$P$600,13),SUMIFS(Raw_Q!$M$2:$M$600,Raw_Q!$A$2:$A$600,$A14,Raw_Q!$P$2:$P$600,17))&lt;=0,"",SUMPRODUCT((Raw_Q!$A$2:$A$600=$A14)*(Raw_Q!$P$2:$P$600&gt;=13)*(Raw_Q!$P$2:$P$600&lt;=16)*Raw_Q!$K$2:$K$600*Raw_Q!$L$2:$L$600)/((SUMIFS(Raw_Q!$M$2:$M$600,Raw_Q!$A$2:$A$600,$A14,Raw_Q!$P$2:$P$600,13)+SUMIFS(Raw_Q!$M$2:$M$600,Raw_Q!$A$2:$A$600,$A14,Raw_Q!$P$2:$P$600,17))/2)),""))</f>
        <v>0.0859461873841682</v>
      </c>
      <c r="AS14" s="49" t="n">
        <f aca="false">IF($A14="","",IFERROR(IF(MIN(SUMIFS(Raw_Q!$M$2:$M$600,Raw_Q!$A$2:$A$600,$A14,Raw_Q!$P$2:$P$600,17),SUMIFS(Raw_Q!$M$2:$M$600,Raw_Q!$A$2:$A$600,$A14,Raw_Q!$P$2:$P$600,21))&lt;=0,"",SUMPRODUCT((Raw_Q!$A$2:$A$600=$A14)*(Raw_Q!$P$2:$P$600&gt;=17)*(Raw_Q!$P$2:$P$600&lt;=20)*Raw_Q!$K$2:$K$600*Raw_Q!$L$2:$L$600)/((SUMIFS(Raw_Q!$M$2:$M$600,Raw_Q!$A$2:$A$600,$A14,Raw_Q!$P$2:$P$600,17)+SUMIFS(Raw_Q!$M$2:$M$600,Raw_Q!$A$2:$A$600,$A14,Raw_Q!$P$2:$P$600,21))/2)),""))</f>
        <v>-0.0219669787372312</v>
      </c>
    </row>
    <row r="15" customFormat="false" ht="15" hidden="false" customHeight="false" outlineLevel="0" collapsed="false">
      <c r="A15" s="16" t="str">
        <f aca="false">IF(Tickers!A15="","",Tickers!A15)</f>
        <v>GOOG</v>
      </c>
      <c r="B15" s="66" t="str">
        <f aca="false">IF($A15="","",IFERROR(INDEX(Tickers!$B$2:$B$100,MATCH($A15,Tickers!$A$2:$A$100,0)),""))</f>
        <v>Alphabet Inc.</v>
      </c>
      <c r="C15" s="66" t="str">
        <f aca="false">IF($A15="","",IFERROR(INDEX(Tickers!$D$2:$D$100,MATCH($A15,Tickers!$A$2:$A$100,0)),""))</f>
        <v>池子</v>
      </c>
      <c r="D15" s="51" t="n">
        <f aca="false">IF($A15="","",IFERROR(INDEX(Raw_Price!$B$2:$B$100,MATCH($A15,Raw_Price!$A$2:$A$100,0)),""))</f>
        <v>340.739990234375</v>
      </c>
      <c r="E15" s="48" t="n">
        <f aca="false">IF($A15="","",IFERROR(SUMIFS(Raw_Q!$I$2:$I$600,Raw_Q!$A$2:$A$600,$A15,Raw_Q!$P$2:$P$600,"&gt;=1",Raw_Q!$P$2:$P$600,"&lt;=4"),""))</f>
        <v>445867</v>
      </c>
      <c r="F15" s="51" t="n">
        <f aca="false">IF($A15="","",IFERROR(SUMIFS(Raw_Q!$K$2:$K$600,Raw_Q!$A$2:$A$600,$A15,Raw_Q!$P$2:$P$600,"&gt;=1",Raw_Q!$P$2:$P$600,"&lt;=4"),""))</f>
        <v>19.91</v>
      </c>
      <c r="G15" s="51" t="n">
        <f aca="false">IF($A15="","",IFERROR(SUMIFS(Raw_Q!$K$2:$K$600,Raw_Q!$A$2:$A$600,$A15,Raw_Q!$P$2:$P$600,"&gt;=0",Raw_Q!$P$2:$P$600,"&lt;=3"),""))</f>
        <v>20.04444</v>
      </c>
      <c r="H15" s="51" t="n">
        <f aca="true">IF($A15="","",IFERROR(INDEX(Raw_Est!$B$2:$B$100,MATCH($A15,Raw_Est!$A$2:$A$100,0))*MIN(1,MAX(0,(INDEX(Raw_Est!$D$2:$D$100,MATCH($A15,Raw_Est!$A$2:$A$100,0))-TODAY())/Config!$B$8))+INDEX(Raw_Est!$C$2:$C$100,MATCH($A15,Raw_Est!$A$2:$A$100,0))*(1-MIN(1,MAX(0,(INDEX(Raw_Est!$D$2:$D$100,MATCH($A15,Raw_Est!$A$2:$A$100,0))-TODAY())/Config!$B$8))),""))</f>
        <v>16.5417282191781</v>
      </c>
      <c r="I15" s="49" t="n">
        <f aca="false">IF($A15="","",IFERROR(SUMIFS(Raw_Q!$K$2:$K$600,Raw_Q!$A$2:$A$600,$A15,Raw_Q!$P$2:$P$600,"&gt;=1",Raw_Q!$P$2:$P$600,"&lt;=4")/SUMIFS(Raw_Q!$K$2:$K$600,Raw_Q!$A$2:$A$600,$A15,Raw_Q!$P$2:$P$600,"&gt;=5",Raw_Q!$P$2:$P$600,"&lt;=8")-1,""))</f>
        <v>1.12034078807242</v>
      </c>
      <c r="J15" s="52" t="n">
        <f aca="false">IF($A15="","",IFERROR(IF(F15&lt;=0,"N/M",D15/F15),"N/M"))</f>
        <v>17.114012568276</v>
      </c>
      <c r="K15" s="52" t="n">
        <f aca="false">IF($A15="","",IFERROR(IF(G15&lt;=0,"N/M",D15/G15),"N/M"))</f>
        <v>16.9992272288163</v>
      </c>
      <c r="L15" s="52" t="n">
        <f aca="false">IF($A15="","",IFERROR(IF(H15&lt;=0,"N/M",D15/H15),"N/M"))</f>
        <v>20.598814447896</v>
      </c>
      <c r="M15" s="49" t="n">
        <f aca="false">IF($A15="","",IFERROR(INDEX(Raw_Est!$C$2:$C$100,MATCH($A15,Raw_Est!$A$2:$A$100,0))/INDEX(Raw_Est!$B$2:$B$100,MATCH($A15,Raw_Est!$A$2:$A$100,0))-1,""))</f>
        <v>-0.278947971256597</v>
      </c>
      <c r="N15" s="51" t="n">
        <f aca="false">IF($A15="","",IFERROR(IF(OR(NOT(ISNUMBER(J15)),I15&lt;Config!$B$6),"N/M",J15/(I15*100)),"N/M"))</f>
        <v>0.152757203437368</v>
      </c>
      <c r="O15" s="51" t="str">
        <f aca="false">IF($A15="","",IFERROR(IF(OR(NOT(ISNUMBER(L15)),M15&lt;Config!$B$6),"N/M",L15/(M15*100)),"N/M"))</f>
        <v>N/M</v>
      </c>
      <c r="P15" s="51" t="n">
        <f aca="false">IF($A15="","",IFERROR(SUMIFS(Raw_Q!$N$2:$N$600,Raw_Q!$A$2:$A$600,$A15,Raw_Q!$P$2:$P$600,"&gt;=1",Raw_Q!$P$2:$P$600,"&lt;=4"),""))</f>
        <v>0.85</v>
      </c>
      <c r="Q15" s="49" t="n">
        <f aca="false">IF($A15="","",IFERROR(IF(P15=0,"不配息",P15/D15),""))</f>
        <v>0.00249457071186548</v>
      </c>
      <c r="R15" s="49" t="n">
        <f aca="false">IF($A15="","",IFERROR(IF(SUMIFS(Raw_Q!$N$2:$N$600,Raw_Q!$A$2:$A$600,$A15,Raw_Q!$P$2:$P$600,"&gt;=5",Raw_Q!$P$2:$P$600,"&lt;=8")=0,"",SUMIFS(Raw_Q!$N$2:$N$600,Raw_Q!$A$2:$A$600,$A15,Raw_Q!$P$2:$P$600,"&gt;=1",Raw_Q!$P$2:$P$600,"&lt;=4")/SUMIFS(Raw_Q!$N$2:$N$600,Raw_Q!$A$2:$A$600,$A15,Raw_Q!$P$2:$P$600,"&gt;=5",Raw_Q!$P$2:$P$600,"&lt;=8")-1),""))</f>
        <v>0.0493827160493827</v>
      </c>
      <c r="S15" s="49" t="n">
        <f aca="false">IF($A15="","",IFERROR(SUMIFS(Raw_Q!$I$2:$I$600,Raw_Q!$A$2:$A$600,$A15,Raw_Q!$P$2:$P$600,1)/SUMIFS(Raw_Q!$I$2:$I$600,Raw_Q!$A$2:$A$600,$A15,Raw_Q!$P$2:$P$600,5)-1,""))</f>
        <v>0.242336250881487</v>
      </c>
      <c r="T15" s="49" t="n">
        <f aca="false">IF($A15="","",IFERROR(SUMIFS(Raw_Q!$I$2:$I$600,Raw_Q!$A$2:$A$600,$A15,Raw_Q!$P$2:$P$600,1)/SUMIFS(Raw_Q!$I$2:$I$600,Raw_Q!$A$2:$A$600,$A15,Raw_Q!$P$2:$P$600,2)-1,""))</f>
        <v>0.090085171434811</v>
      </c>
      <c r="U15" s="49" t="n">
        <f aca="false">IF($A15="","",IFERROR(SUMIFS(Raw_Q!$I$2:$I$600,Raw_Q!$A$2:$A$600,$A15,Raw_Q!$P$2:$P$600,2)/SUMIFS(Raw_Q!$I$2:$I$600,Raw_Q!$A$2:$A$600,$A15,Raw_Q!$P$2:$P$600,3)-1,""))</f>
        <v>-0.0345518277416125</v>
      </c>
      <c r="V15" s="68" t="n">
        <f aca="false">IF($A15="","",IFERROR((T15-U15)*100,""))</f>
        <v>12.4636999176423</v>
      </c>
      <c r="W15" s="66" t="str">
        <f aca="false">IF($A15="","",IFERROR(IF(NOT(ISNUMBER(T15)),"",IF(T15&gt;0,IF(V15&gt;0,"成長且加速","成長但減速"),IF(V15&gt;0,"衰退但收斂","衰退且惡化"))),""))</f>
        <v>成長且加速</v>
      </c>
      <c r="X15" s="68" t="n">
        <f aca="false">IF($A15="","",IFERROR((T15-(SUMIFS(Raw_Q!$I$2:$I$600,Raw_Q!$A$2:$A$600,$A15,Raw_Q!$P$2:$P$600,5)/SUMIFS(Raw_Q!$I$2:$I$600,Raw_Q!$A$2:$A$600,$A15,Raw_Q!$P$2:$P$600,6)-1))*100,""))</f>
        <v>2.14414229586268</v>
      </c>
      <c r="Y15" s="49" t="n">
        <f aca="false">IF($A15="","",IFERROR(SUMIFS(Raw_Q!$K$2:$K$600,Raw_Q!$A$2:$A$600,$A15,Raw_Q!$P$2:$P$600,1)/SUMIFS(Raw_Q!$K$2:$K$600,Raw_Q!$A$2:$A$600,$A15,Raw_Q!$P$2:$P$600,5)-1,""))</f>
        <v>2.94372294372294</v>
      </c>
      <c r="Z15" s="49" t="n">
        <f aca="false">IF($A15="","",IFERROR(SUMIFS(Raw_Q!$J$2:$J$600,Raw_Q!$A$2:$A$600,$A15,Raw_Q!$P$2:$P$600,"&gt;=1",Raw_Q!$P$2:$P$600,"&lt;=4")/E15,""))</f>
        <v>0.6089641081309</v>
      </c>
      <c r="AA15" s="49" t="n">
        <f aca="false">IF($A15="","",IFERROR(SUMIFS(Raw_Q!$J$2:$J$600,Raw_Q!$A$2:$A$600,$A15,Raw_Q!$P$2:$P$600,"&gt;=1",Raw_Q!$P$2:$P$600,"&lt;="&amp;Config!$B$5)/SUMIFS(Raw_Q!$I$2:$I$600,Raw_Q!$A$2:$A$600,$A15,Raw_Q!$P$2:$P$600,"&gt;=1",Raw_Q!$P$2:$P$600,"&lt;="&amp;Config!$B$5),""))</f>
        <v>0.525885758980166</v>
      </c>
      <c r="AB15" s="50" t="n">
        <f aca="false">IF($A15="","",IFERROR((Z15-AA15)*10000,""))</f>
        <v>830.783491507341</v>
      </c>
      <c r="AC15" s="50" t="n">
        <f aca="false">IF($A15="","",IFERROR((SUMIFS(Raw_Q!$J$2:$J$600,Raw_Q!$A$2:$A$600,$A15,Raw_Q!$P$2:$P$600,1)/SUMIFS(Raw_Q!$I$2:$I$600,Raw_Q!$A$2:$A$600,$A15,Raw_Q!$P$2:$P$600,1)-SUMIFS(Raw_Q!$J$2:$J$600,Raw_Q!$A$2:$A$600,$A15,Raw_Q!$P$2:$P$600,5)/SUMIFS(Raw_Q!$I$2:$I$600,Raw_Q!$A$2:$A$600,$A15,Raw_Q!$P$2:$P$600,5))*10000,""))</f>
        <v>213.409871628631</v>
      </c>
      <c r="AD15" s="51" t="n">
        <f aca="false">IF($A15="","",IFERROR(SUMIFS(Raw_Q!$M$2:$M$600,Raw_Q!$A$2:$A$600,$A15,Raw_Q!$P$2:$P$600,1)/SUMIFS(Raw_Q!$L$2:$L$600,Raw_Q!$A$2:$A$600,$A15,Raw_Q!$P$2:$P$600,1),""))</f>
        <v>52.0334714436591</v>
      </c>
      <c r="AE15" s="48" t="n">
        <f aca="false">IF($A15="","",IFERROR(SUMPRODUCT((Raw_Q!$A$2:$A$600=$A15)*(Raw_Q!$P$2:$P$600&gt;=1)*(Raw_Q!$P$2:$P$600&lt;=4)*Raw_Q!$K$2:$K$600*Raw_Q!$L$2:$L$600),""))</f>
        <v>244176.74</v>
      </c>
      <c r="AF15" s="49" t="n">
        <f aca="false">IF($A15="","",IFERROR(IF(MIN(SUMIFS(Raw_Q!$M$2:$M$600,Raw_Q!$A$2:$A$600,$A15,Raw_Q!$P$2:$P$600,1),SUMIFS(Raw_Q!$M$2:$M$600,Raw_Q!$A$2:$A$600,$A15,Raw_Q!$P$2:$P$600,5))&lt;=0,"N/M",AE15/((SUMIFS(Raw_Q!$M$2:$M$600,Raw_Q!$A$2:$A$600,$A15,Raw_Q!$P$2:$P$600,1)+SUMIFS(Raw_Q!$M$2:$M$600,Raw_Q!$A$2:$A$600,$A15,Raw_Q!$P$2:$P$600,5))/2)),"N/M"))</f>
        <v>0.486700644610901</v>
      </c>
      <c r="AG15" s="49" t="n">
        <f aca="false">IF($A15="","",IFERROR(AVERAGE(AO15:AS15),""))</f>
        <v>0.193749214862732</v>
      </c>
      <c r="AH15" s="49" t="n">
        <f aca="false">IF($A15="","",IFERROR(IF(AD15&lt;=0,"N/M",INDEX(Raw_Est!$B$2:$B$100,MATCH($A15,Raw_Est!$A$2:$A$100,0))/AD15),"N/M"))</f>
        <v>0.39598318982638</v>
      </c>
      <c r="AI15" s="51" t="n">
        <f aca="false">IF($A15="","",IFERROR(SUMIFS(Raw_Q!$K$2:$K$600,Raw_Q!$A$2:$A$600,$A15,Raw_Q!$P$2:$P$600,0),""))</f>
        <v>3.00444</v>
      </c>
      <c r="AJ15" s="66" t="str">
        <f aca="false">IF($A15="","",IFERROR(INDEX(Raw_Q!$B$2:$B$600,MATCH($A15&amp;"|"&amp;0,Raw_Q!$Q$2:$Q$600,0)),""))</f>
        <v>FY2026Q3E</v>
      </c>
      <c r="AK15" s="66" t="str">
        <f aca="false">IF($A15="","",IFERROR(INDEX(Raw_Q!$G$2:$G$600,MATCH($A15&amp;"|"&amp;0,Raw_Q!$Q$2:$Q$600,0)),""))</f>
        <v>consensus</v>
      </c>
      <c r="AL15" s="47" t="n">
        <f aca="false">IF($A15="","",IFERROR(INDEX(Raw_Est!$E$2:$E$100,MATCH($A15,Raw_Est!$A$2:$A$100,0)),""))</f>
        <v>39</v>
      </c>
      <c r="AM15" s="67" t="n">
        <f aca="false">IF($A15="","",IFERROR(INDEX(Raw_Price!$D$2:$D$100,MATCH($A15,Raw_Price!$A$2:$A$100,0)),""))</f>
        <v>46323</v>
      </c>
      <c r="AN15" s="67" t="n">
        <f aca="false">IF($A15="","",IFERROR(INDEX(Raw_Price!$E$2:$E$100,MATCH($A15,Raw_Price!$A$2:$A$100,0)),""))</f>
        <v>46280</v>
      </c>
      <c r="AO15" s="49" t="n">
        <f aca="false">IF($A15="","",IFERROR(IF(MIN(SUMIFS(Raw_Q!$M$2:$M$600,Raw_Q!$A$2:$A$600,$A15,Raw_Q!$P$2:$P$600,1),SUMIFS(Raw_Q!$M$2:$M$600,Raw_Q!$A$2:$A$600,$A15,Raw_Q!$P$2:$P$600,5))&lt;=0,"",SUMPRODUCT((Raw_Q!$A$2:$A$600=$A15)*(Raw_Q!$P$2:$P$600&gt;=1)*(Raw_Q!$P$2:$P$600&lt;=4)*Raw_Q!$K$2:$K$600*Raw_Q!$L$2:$L$600)/((SUMIFS(Raw_Q!$M$2:$M$600,Raw_Q!$A$2:$A$600,$A15,Raw_Q!$P$2:$P$600,1)+SUMIFS(Raw_Q!$M$2:$M$600,Raw_Q!$A$2:$A$600,$A15,Raw_Q!$P$2:$P$600,5))/2)),""))</f>
        <v>0.486700644610901</v>
      </c>
      <c r="AP15" s="49" t="n">
        <f aca="false">IF($A15="","",IFERROR(IF(MIN(SUMIFS(Raw_Q!$M$2:$M$600,Raw_Q!$A$2:$A$600,$A15,Raw_Q!$P$2:$P$600,5),SUMIFS(Raw_Q!$M$2:$M$600,Raw_Q!$A$2:$A$600,$A15,Raw_Q!$P$2:$P$600,9))&lt;=0,"",SUMPRODUCT((Raw_Q!$A$2:$A$600=$A15)*(Raw_Q!$P$2:$P$600&gt;=5)*(Raw_Q!$P$2:$P$600&lt;=8)*Raw_Q!$K$2:$K$600*Raw_Q!$L$2:$L$600)/((SUMIFS(Raw_Q!$M$2:$M$600,Raw_Q!$A$2:$A$600,$A15,Raw_Q!$P$2:$P$600,5)+SUMIFS(Raw_Q!$M$2:$M$600,Raw_Q!$A$2:$A$600,$A15,Raw_Q!$P$2:$P$600,9))/2)),""))</f>
        <v>0.268336685908186</v>
      </c>
      <c r="AQ15" s="49" t="n">
        <f aca="false">IF($A15="","",IFERROR(IF(MIN(SUMIFS(Raw_Q!$M$2:$M$600,Raw_Q!$A$2:$A$600,$A15,Raw_Q!$P$2:$P$600,9),SUMIFS(Raw_Q!$M$2:$M$600,Raw_Q!$A$2:$A$600,$A15,Raw_Q!$P$2:$P$600,13))&lt;=0,"",SUMPRODUCT((Raw_Q!$A$2:$A$600=$A15)*(Raw_Q!$P$2:$P$600&gt;=9)*(Raw_Q!$P$2:$P$600&lt;=12)*Raw_Q!$K$2:$K$600*Raw_Q!$L$2:$L$600)/((SUMIFS(Raw_Q!$M$2:$M$600,Raw_Q!$A$2:$A$600,$A15,Raw_Q!$P$2:$P$600,9)+SUMIFS(Raw_Q!$M$2:$M$600,Raw_Q!$A$2:$A$600,$A15,Raw_Q!$P$2:$P$600,13))/2)),""))</f>
        <v>0.143362142447358</v>
      </c>
      <c r="AR15" s="49" t="n">
        <f aca="false">IF($A15="","",IFERROR(IF(MIN(SUMIFS(Raw_Q!$M$2:$M$600,Raw_Q!$A$2:$A$600,$A15,Raw_Q!$P$2:$P$600,13),SUMIFS(Raw_Q!$M$2:$M$600,Raw_Q!$A$2:$A$600,$A15,Raw_Q!$P$2:$P$600,17))&lt;=0,"",SUMPRODUCT((Raw_Q!$A$2:$A$600=$A15)*(Raw_Q!$P$2:$P$600&gt;=13)*(Raw_Q!$P$2:$P$600&lt;=16)*Raw_Q!$K$2:$K$600*Raw_Q!$L$2:$L$600)/((SUMIFS(Raw_Q!$M$2:$M$600,Raw_Q!$A$2:$A$600,$A15,Raw_Q!$P$2:$P$600,13)+SUMIFS(Raw_Q!$M$2:$M$600,Raw_Q!$A$2:$A$600,$A15,Raw_Q!$P$2:$P$600,17))/2)),""))</f>
        <v>0.0703466013472137</v>
      </c>
      <c r="AS15" s="49" t="n">
        <f aca="false">IF($A15="","",IFERROR(IF(MIN(SUMIFS(Raw_Q!$M$2:$M$600,Raw_Q!$A$2:$A$600,$A15,Raw_Q!$P$2:$P$600,17),SUMIFS(Raw_Q!$M$2:$M$600,Raw_Q!$A$2:$A$600,$A15,Raw_Q!$P$2:$P$600,21))&lt;=0,"",SUMPRODUCT((Raw_Q!$A$2:$A$600=$A15)*(Raw_Q!$P$2:$P$600&gt;=17)*(Raw_Q!$P$2:$P$600&lt;=20)*Raw_Q!$K$2:$K$600*Raw_Q!$L$2:$L$600)/((SUMIFS(Raw_Q!$M$2:$M$600,Raw_Q!$A$2:$A$600,$A15,Raw_Q!$P$2:$P$600,17)+SUMIFS(Raw_Q!$M$2:$M$600,Raw_Q!$A$2:$A$600,$A15,Raw_Q!$P$2:$P$600,21))/2)),""))</f>
        <v>0</v>
      </c>
    </row>
    <row r="16" customFormat="false" ht="15" hidden="false" customHeight="false" outlineLevel="0" collapsed="false">
      <c r="A16" s="16" t="str">
        <f aca="false">IF(Tickers!A16="","",Tickers!A16)</f>
        <v>OKTA</v>
      </c>
      <c r="B16" s="66" t="str">
        <f aca="false">IF($A16="","",IFERROR(INDEX(Tickers!$B$2:$B$100,MATCH($A16,Tickers!$A$2:$A$100,0)),""))</f>
        <v>Okta, Inc.</v>
      </c>
      <c r="C16" s="66" t="str">
        <f aca="false">IF($A16="","",IFERROR(INDEX(Tickers!$D$2:$D$100,MATCH($A16,Tickers!$A$2:$A$100,0)),""))</f>
        <v>池子</v>
      </c>
      <c r="D16" s="51" t="n">
        <f aca="false">IF($A16="","",IFERROR(INDEX(Raw_Price!$B$2:$B$100,MATCH($A16,Raw_Price!$A$2:$A$100,0)),""))</f>
        <v>187.755004882813</v>
      </c>
      <c r="E16" s="48" t="n">
        <f aca="false">IF($A16="","",IFERROR(SUMIFS(Raw_Q!$I$2:$I$600,Raw_Q!$A$2:$A$600,$A16,Raw_Q!$P$2:$P$600,"&gt;=1",Raw_Q!$P$2:$P$600,"&lt;=4"),""))</f>
        <v>3073</v>
      </c>
      <c r="F16" s="51" t="n">
        <f aca="false">IF($A16="","",IFERROR(SUMIFS(Raw_Q!$K$2:$K$600,Raw_Q!$A$2:$A$600,$A16,Raw_Q!$P$2:$P$600,"&gt;=1",Raw_Q!$P$2:$P$600,"&lt;=4"),""))</f>
        <v>3.68</v>
      </c>
      <c r="G16" s="51" t="n">
        <f aca="false">IF($A16="","",IFERROR(SUMIFS(Raw_Q!$K$2:$K$600,Raw_Q!$A$2:$A$600,$A16,Raw_Q!$P$2:$P$600,"&gt;=0",Raw_Q!$P$2:$P$600,"&lt;=3"),""))</f>
        <v>3.79474</v>
      </c>
      <c r="H16" s="51" t="n">
        <f aca="true">IF($A16="","",IFERROR(INDEX(Raw_Est!$B$2:$B$100,MATCH($A16,Raw_Est!$A$2:$A$100,0))*MIN(1,MAX(0,(INDEX(Raw_Est!$D$2:$D$100,MATCH($A16,Raw_Est!$A$2:$A$100,0))-TODAY())/Config!$B$8))+INDEX(Raw_Est!$C$2:$C$100,MATCH($A16,Raw_Est!$A$2:$A$100,0))*(1-MIN(1,MAX(0,(INDEX(Raw_Est!$D$2:$D$100,MATCH($A16,Raw_Est!$A$2:$A$100,0))-TODAY())/Config!$B$8))),""))</f>
        <v>4.20853583561644</v>
      </c>
      <c r="I16" s="49" t="n">
        <f aca="false">IF($A16="","",IFERROR(SUMIFS(Raw_Q!$K$2:$K$600,Raw_Q!$A$2:$A$600,$A16,Raw_Q!$P$2:$P$600,"&gt;=1",Raw_Q!$P$2:$P$600,"&lt;=4")/SUMIFS(Raw_Q!$K$2:$K$600,Raw_Q!$A$2:$A$600,$A16,Raw_Q!$P$2:$P$600,"&gt;=5",Raw_Q!$P$2:$P$600,"&lt;=8")-1,""))</f>
        <v>0.142857142857143</v>
      </c>
      <c r="J16" s="52" t="n">
        <f aca="false">IF($A16="","",IFERROR(IF(F16&lt;=0,"N/M",D16/F16),"N/M"))</f>
        <v>51.0203817616338</v>
      </c>
      <c r="K16" s="52" t="n">
        <f aca="false">IF($A16="","",IFERROR(IF(G16&lt;=0,"N/M",D16/G16),"N/M"))</f>
        <v>49.4776993635434</v>
      </c>
      <c r="L16" s="52" t="n">
        <f aca="false">IF($A16="","",IFERROR(IF(H16&lt;=0,"N/M",D16/H16),"N/M"))</f>
        <v>44.6129039210881</v>
      </c>
      <c r="M16" s="49" t="n">
        <f aca="false">IF($A16="","",IFERROR(INDEX(Raw_Est!$C$2:$C$100,MATCH($A16,Raw_Est!$A$2:$A$100,0))/INDEX(Raw_Est!$B$2:$B$100,MATCH($A16,Raw_Est!$A$2:$A$100,0))-1,""))</f>
        <v>0.114403447196353</v>
      </c>
      <c r="N16" s="51" t="n">
        <f aca="false">IF($A16="","",IFERROR(IF(OR(NOT(ISNUMBER(J16)),I16&lt;Config!$B$6),"N/M",J16/(I16*100)),"N/M"))</f>
        <v>3.57142672331437</v>
      </c>
      <c r="O16" s="51" t="n">
        <f aca="false">IF($A16="","",IFERROR(IF(OR(NOT(ISNUMBER(L16)),M16&lt;Config!$B$6),"N/M",L16/(M16*100)),"N/M"))</f>
        <v>3.89961185736983</v>
      </c>
      <c r="P16" s="51" t="n">
        <f aca="false">IF($A16="","",IFERROR(SUMIFS(Raw_Q!$N$2:$N$600,Raw_Q!$A$2:$A$600,$A16,Raw_Q!$P$2:$P$600,"&gt;=1",Raw_Q!$P$2:$P$600,"&lt;=4"),""))</f>
        <v>0</v>
      </c>
      <c r="Q16" s="49" t="str">
        <f aca="false">IF($A16="","",IFERROR(IF(P16=0,"不配息",P16/D16),""))</f>
        <v>不配息</v>
      </c>
      <c r="R16" s="49" t="str">
        <f aca="false">IF($A16="","",IFERROR(IF(SUMIFS(Raw_Q!$N$2:$N$600,Raw_Q!$A$2:$A$600,$A16,Raw_Q!$P$2:$P$600,"&gt;=5",Raw_Q!$P$2:$P$600,"&lt;=8")=0,"",SUMIFS(Raw_Q!$N$2:$N$600,Raw_Q!$A$2:$A$600,$A16,Raw_Q!$P$2:$P$600,"&gt;=1",Raw_Q!$P$2:$P$600,"&lt;=4")/SUMIFS(Raw_Q!$N$2:$N$600,Raw_Q!$A$2:$A$600,$A16,Raw_Q!$P$2:$P$600,"&gt;=5",Raw_Q!$P$2:$P$600,"&lt;=8")-1),""))</f>
        <v/>
      </c>
      <c r="S16" s="49" t="n">
        <f aca="false">IF($A16="","",IFERROR(SUMIFS(Raw_Q!$I$2:$I$600,Raw_Q!$A$2:$A$600,$A16,Raw_Q!$P$2:$P$600,1)/SUMIFS(Raw_Q!$I$2:$I$600,Raw_Q!$A$2:$A$600,$A16,Raw_Q!$P$2:$P$600,5)-1,""))</f>
        <v>0.105769230769231</v>
      </c>
      <c r="T16" s="49" t="n">
        <f aca="false">IF($A16="","",IFERROR(SUMIFS(Raw_Q!$I$2:$I$600,Raw_Q!$A$2:$A$600,$A16,Raw_Q!$P$2:$P$600,1)/SUMIFS(Raw_Q!$I$2:$I$600,Raw_Q!$A$2:$A$600,$A16,Raw_Q!$P$2:$P$600,2)-1,""))</f>
        <v>0.0522875816993464</v>
      </c>
      <c r="U16" s="49" t="n">
        <f aca="false">IF($A16="","",IFERROR(SUMIFS(Raw_Q!$I$2:$I$600,Raw_Q!$A$2:$A$600,$A16,Raw_Q!$P$2:$P$600,2)/SUMIFS(Raw_Q!$I$2:$I$600,Raw_Q!$A$2:$A$600,$A16,Raw_Q!$P$2:$P$600,3)-1,""))</f>
        <v>0.00525624178712225</v>
      </c>
      <c r="V16" s="68" t="n">
        <f aca="false">IF($A16="","",IFERROR((T16-U16)*100,""))</f>
        <v>4.70313399122242</v>
      </c>
      <c r="W16" s="66" t="str">
        <f aca="false">IF($A16="","",IFERROR(IF(NOT(ISNUMBER(T16)),"",IF(T16&gt;0,IF(V16&gt;0,"成長且加速","成長但減速"),IF(V16&gt;0,"衰退但收斂","衰退且惡化"))),""))</f>
        <v>成長且加速</v>
      </c>
      <c r="X16" s="68" t="n">
        <f aca="false">IF($A16="","",IFERROR((T16-(SUMIFS(Raw_Q!$I$2:$I$600,Raw_Q!$A$2:$A$600,$A16,Raw_Q!$P$2:$P$600,5)/SUMIFS(Raw_Q!$I$2:$I$600,Raw_Q!$A$2:$A$600,$A16,Raw_Q!$P$2:$P$600,6)-1))*100,""))</f>
        <v>-0.585195318437459</v>
      </c>
      <c r="Y16" s="49" t="n">
        <f aca="false">IF($A16="","",IFERROR(SUMIFS(Raw_Q!$K$2:$K$600,Raw_Q!$A$2:$A$600,$A16,Raw_Q!$P$2:$P$600,1)/SUMIFS(Raw_Q!$K$2:$K$600,Raw_Q!$A$2:$A$600,$A16,Raw_Q!$P$2:$P$600,5)-1,""))</f>
        <v>0.153846153846154</v>
      </c>
      <c r="Z16" s="49" t="n">
        <f aca="false">IF($A16="","",IFERROR(SUMIFS(Raw_Q!$J$2:$J$600,Raw_Q!$A$2:$A$600,$A16,Raw_Q!$P$2:$P$600,"&gt;=1",Raw_Q!$P$2:$P$600,"&lt;=4")/E16,""))</f>
        <v>0.781321184510251</v>
      </c>
      <c r="AA16" s="49" t="n">
        <f aca="false">IF($A16="","",IFERROR(SUMIFS(Raw_Q!$J$2:$J$600,Raw_Q!$A$2:$A$600,$A16,Raw_Q!$P$2:$P$600,"&gt;=1",Raw_Q!$P$2:$P$600,"&lt;="&amp;Config!$B$5)/SUMIFS(Raw_Q!$I$2:$I$600,Raw_Q!$A$2:$A$600,$A16,Raw_Q!$P$2:$P$600,"&gt;=1",Raw_Q!$P$2:$P$600,"&lt;="&amp;Config!$B$5),""))</f>
        <v>0.751640093804975</v>
      </c>
      <c r="AB16" s="50" t="n">
        <f aca="false">IF($A16="","",IFERROR((Z16-AA16)*10000,""))</f>
        <v>296.810907052756</v>
      </c>
      <c r="AC16" s="50" t="n">
        <f aca="false">IF($A16="","",IFERROR((SUMIFS(Raw_Q!$J$2:$J$600,Raw_Q!$A$2:$A$600,$A16,Raw_Q!$P$2:$P$600,1)/SUMIFS(Raw_Q!$I$2:$I$600,Raw_Q!$A$2:$A$600,$A16,Raw_Q!$P$2:$P$600,1)-SUMIFS(Raw_Q!$J$2:$J$600,Raw_Q!$A$2:$A$600,$A16,Raw_Q!$P$2:$P$600,5)/SUMIFS(Raw_Q!$I$2:$I$600,Raw_Q!$A$2:$A$600,$A16,Raw_Q!$P$2:$P$600,5))*10000,""))</f>
        <v>270.425226946965</v>
      </c>
      <c r="AD16" s="51" t="n">
        <f aca="false">IF($A16="","",IFERROR(SUMIFS(Raw_Q!$M$2:$M$600,Raw_Q!$A$2:$A$600,$A16,Raw_Q!$P$2:$P$600,1)/SUMIFS(Raw_Q!$L$2:$L$600,Raw_Q!$A$2:$A$600,$A16,Raw_Q!$P$2:$P$600,1),""))</f>
        <v>38.997136593441</v>
      </c>
      <c r="AE16" s="48" t="n">
        <f aca="false">IF($A16="","",IFERROR(SUMPRODUCT((Raw_Q!$A$2:$A$600=$A16)*(Raw_Q!$P$2:$P$600&gt;=1)*(Raw_Q!$P$2:$P$600&lt;=4)*Raw_Q!$K$2:$K$600*Raw_Q!$L$2:$L$600),""))</f>
        <v>658.14913</v>
      </c>
      <c r="AF16" s="49" t="n">
        <f aca="false">IF($A16="","",IFERROR(IF(MIN(SUMIFS(Raw_Q!$M$2:$M$600,Raw_Q!$A$2:$A$600,$A16,Raw_Q!$P$2:$P$600,1),SUMIFS(Raw_Q!$M$2:$M$600,Raw_Q!$A$2:$A$600,$A16,Raw_Q!$P$2:$P$600,5))&lt;=0,"N/M",AE16/((SUMIFS(Raw_Q!$M$2:$M$600,Raw_Q!$A$2:$A$600,$A16,Raw_Q!$P$2:$P$600,1)+SUMIFS(Raw_Q!$M$2:$M$600,Raw_Q!$A$2:$A$600,$A16,Raw_Q!$P$2:$P$600,5))/2)),"N/M"))</f>
        <v>0.095891182341371</v>
      </c>
      <c r="AG16" s="49" t="n">
        <f aca="false">IF($A16="","",IFERROR(AVERAGE(AO16:AS16),""))</f>
        <v>0.0511715271572818</v>
      </c>
      <c r="AH16" s="49" t="n">
        <f aca="false">IF($A16="","",IFERROR(IF(AD16&lt;=0,"N/M",INDEX(Raw_Est!$B$2:$B$100,MATCH($A16,Raw_Est!$A$2:$A$100,0))/AD16),"N/M"))</f>
        <v>0.100750730520579</v>
      </c>
      <c r="AI16" s="51" t="n">
        <f aca="false">IF($A16="","",IFERROR(SUMIFS(Raw_Q!$K$2:$K$600,Raw_Q!$A$2:$A$600,$A16,Raw_Q!$P$2:$P$600,0),""))</f>
        <v>0.93474</v>
      </c>
      <c r="AJ16" s="66" t="str">
        <f aca="false">IF($A16="","",IFERROR(INDEX(Raw_Q!$B$2:$B$600,MATCH($A16&amp;"|"&amp;0,Raw_Q!$Q$2:$Q$600,0)),""))</f>
        <v>FY2027Q3E</v>
      </c>
      <c r="AK16" s="66" t="str">
        <f aca="false">IF($A16="","",IFERROR(INDEX(Raw_Q!$G$2:$G$600,MATCH($A16&amp;"|"&amp;0,Raw_Q!$Q$2:$Q$600,0)),""))</f>
        <v>consensus</v>
      </c>
      <c r="AL16" s="47" t="n">
        <f aca="false">IF($A16="","",IFERROR(INDEX(Raw_Est!$E$2:$E$100,MATCH($A16,Raw_Est!$A$2:$A$100,0)),""))</f>
        <v>41</v>
      </c>
      <c r="AM16" s="67" t="n">
        <f aca="false">IF($A16="","",IFERROR(INDEX(Raw_Price!$D$2:$D$100,MATCH($A16,Raw_Price!$A$2:$A$100,0)),""))</f>
        <v>46357</v>
      </c>
      <c r="AN16" s="67" t="n">
        <f aca="false">IF($A16="","",IFERROR(INDEX(Raw_Price!$E$2:$E$100,MATCH($A16,Raw_Price!$A$2:$A$100,0)),""))</f>
        <v>46280</v>
      </c>
      <c r="AO16" s="49" t="n">
        <f aca="false">IF($A16="","",IFERROR(IF(MIN(SUMIFS(Raw_Q!$M$2:$M$600,Raw_Q!$A$2:$A$600,$A16,Raw_Q!$P$2:$P$600,1),SUMIFS(Raw_Q!$M$2:$M$600,Raw_Q!$A$2:$A$600,$A16,Raw_Q!$P$2:$P$600,5))&lt;=0,"",SUMPRODUCT((Raw_Q!$A$2:$A$600=$A16)*(Raw_Q!$P$2:$P$600&gt;=1)*(Raw_Q!$P$2:$P$600&lt;=4)*Raw_Q!$K$2:$K$600*Raw_Q!$L$2:$L$600)/((SUMIFS(Raw_Q!$M$2:$M$600,Raw_Q!$A$2:$A$600,$A16,Raw_Q!$P$2:$P$600,1)+SUMIFS(Raw_Q!$M$2:$M$600,Raw_Q!$A$2:$A$600,$A16,Raw_Q!$P$2:$P$600,5))/2)),""))</f>
        <v>0.095891182341371</v>
      </c>
      <c r="AP16" s="49" t="n">
        <f aca="false">IF($A16="","",IFERROR(IF(MIN(SUMIFS(Raw_Q!$M$2:$M$600,Raw_Q!$A$2:$A$600,$A16,Raw_Q!$P$2:$P$600,5),SUMIFS(Raw_Q!$M$2:$M$600,Raw_Q!$A$2:$A$600,$A16,Raw_Q!$P$2:$P$600,9))&lt;=0,"",SUMPRODUCT((Raw_Q!$A$2:$A$600=$A16)*(Raw_Q!$P$2:$P$600&gt;=5)*(Raw_Q!$P$2:$P$600&lt;=8)*Raw_Q!$K$2:$K$600*Raw_Q!$L$2:$L$600)/((SUMIFS(Raw_Q!$M$2:$M$600,Raw_Q!$A$2:$A$600,$A16,Raw_Q!$P$2:$P$600,5)+SUMIFS(Raw_Q!$M$2:$M$600,Raw_Q!$A$2:$A$600,$A16,Raw_Q!$P$2:$P$600,9))/2)),""))</f>
        <v>0.0881524551873982</v>
      </c>
      <c r="AQ16" s="49" t="n">
        <f aca="false">IF($A16="","",IFERROR(IF(MIN(SUMIFS(Raw_Q!$M$2:$M$600,Raw_Q!$A$2:$A$600,$A16,Raw_Q!$P$2:$P$600,9),SUMIFS(Raw_Q!$M$2:$M$600,Raw_Q!$A$2:$A$600,$A16,Raw_Q!$P$2:$P$600,13))&lt;=0,"",SUMPRODUCT((Raw_Q!$A$2:$A$600=$A16)*(Raw_Q!$P$2:$P$600&gt;=9)*(Raw_Q!$P$2:$P$600&lt;=12)*Raw_Q!$K$2:$K$600*Raw_Q!$L$2:$L$600)/((SUMIFS(Raw_Q!$M$2:$M$600,Raw_Q!$A$2:$A$600,$A16,Raw_Q!$P$2:$P$600,9)+SUMIFS(Raw_Q!$M$2:$M$600,Raw_Q!$A$2:$A$600,$A16,Raw_Q!$P$2:$P$600,13))/2)),""))</f>
        <v>0.0682521693705937</v>
      </c>
      <c r="AR16" s="49" t="n">
        <f aca="false">IF($A16="","",IFERROR(IF(MIN(SUMIFS(Raw_Q!$M$2:$M$600,Raw_Q!$A$2:$A$600,$A16,Raw_Q!$P$2:$P$600,13),SUMIFS(Raw_Q!$M$2:$M$600,Raw_Q!$A$2:$A$600,$A16,Raw_Q!$P$2:$P$600,17))&lt;=0,"",SUMPRODUCT((Raw_Q!$A$2:$A$600=$A16)*(Raw_Q!$P$2:$P$600&gt;=13)*(Raw_Q!$P$2:$P$600&lt;=16)*Raw_Q!$K$2:$K$600*Raw_Q!$L$2:$L$600)/((SUMIFS(Raw_Q!$M$2:$M$600,Raw_Q!$A$2:$A$600,$A16,Raw_Q!$P$2:$P$600,13)+SUMIFS(Raw_Q!$M$2:$M$600,Raw_Q!$A$2:$A$600,$A16,Raw_Q!$P$2:$P$600,17))/2)),""))</f>
        <v>0.0154953549152007</v>
      </c>
      <c r="AS16" s="49" t="n">
        <f aca="false">IF($A16="","",IFERROR(IF(MIN(SUMIFS(Raw_Q!$M$2:$M$600,Raw_Q!$A$2:$A$600,$A16,Raw_Q!$P$2:$P$600,17),SUMIFS(Raw_Q!$M$2:$M$600,Raw_Q!$A$2:$A$600,$A16,Raw_Q!$P$2:$P$600,21))&lt;=0,"",SUMPRODUCT((Raw_Q!$A$2:$A$600=$A16)*(Raw_Q!$P$2:$P$600&gt;=17)*(Raw_Q!$P$2:$P$600&lt;=20)*Raw_Q!$K$2:$K$600*Raw_Q!$L$2:$L$600)/((SUMIFS(Raw_Q!$M$2:$M$600,Raw_Q!$A$2:$A$600,$A16,Raw_Q!$P$2:$P$600,17)+SUMIFS(Raw_Q!$M$2:$M$600,Raw_Q!$A$2:$A$600,$A16,Raw_Q!$P$2:$P$600,21))/2)),""))</f>
        <v>-0.0119335260281547</v>
      </c>
    </row>
    <row r="17" customFormat="false" ht="15" hidden="false" customHeight="false" outlineLevel="0" collapsed="false">
      <c r="A17" s="16" t="str">
        <f aca="false">IF(Tickers!A17="","",Tickers!A17)</f>
        <v>PLTR</v>
      </c>
      <c r="B17" s="66" t="str">
        <f aca="false">IF($A17="","",IFERROR(INDEX(Tickers!$B$2:$B$100,MATCH($A17,Tickers!$A$2:$A$100,0)),""))</f>
        <v>Palantir Technologies Inc.</v>
      </c>
      <c r="C17" s="66" t="str">
        <f aca="false">IF($A17="","",IFERROR(INDEX(Tickers!$D$2:$D$100,MATCH($A17,Tickers!$A$2:$A$100,0)),""))</f>
        <v>池子</v>
      </c>
      <c r="D17" s="51" t="n">
        <f aca="false">IF($A17="","",IFERROR(INDEX(Raw_Price!$B$2:$B$100,MATCH($A17,Raw_Price!$A$2:$A$100,0)),""))</f>
        <v>171.809997558594</v>
      </c>
      <c r="E17" s="48" t="n">
        <f aca="false">IF($A17="","",IFERROR(SUMIFS(Raw_Q!$I$2:$I$600,Raw_Q!$A$2:$A$600,$A17,Raw_Q!$P$2:$P$600,"&gt;=1",Raw_Q!$P$2:$P$600,"&lt;=4"),""))</f>
        <v>6155.941</v>
      </c>
      <c r="F17" s="51" t="n">
        <f aca="false">IF($A17="","",IFERROR(SUMIFS(Raw_Q!$K$2:$K$600,Raw_Q!$A$2:$A$600,$A17,Raw_Q!$P$2:$P$600,"&gt;=1",Raw_Q!$P$2:$P$600,"&lt;=4"),""))</f>
        <v>1.2</v>
      </c>
      <c r="G17" s="51" t="n">
        <f aca="false">IF($A17="","",IFERROR(SUMIFS(Raw_Q!$K$2:$K$600,Raw_Q!$A$2:$A$600,$A17,Raw_Q!$P$2:$P$600,"&gt;=0",Raw_Q!$P$2:$P$600,"&lt;=3"),""))</f>
        <v>1.40452</v>
      </c>
      <c r="H17" s="51" t="n">
        <f aca="true">IF($A17="","",IFERROR(INDEX(Raw_Est!$B$2:$B$100,MATCH($A17,Raw_Est!$A$2:$A$100,0))*MIN(1,MAX(0,(INDEX(Raw_Est!$D$2:$D$100,MATCH($A17,Raw_Est!$A$2:$A$100,0))-TODAY())/Config!$B$8))+INDEX(Raw_Est!$C$2:$C$100,MATCH($A17,Raw_Est!$A$2:$A$100,0))*(1-MIN(1,MAX(0,(INDEX(Raw_Est!$D$2:$D$100,MATCH($A17,Raw_Est!$A$2:$A$100,0))-TODAY())/Config!$B$8))),""))</f>
        <v>2.11320257534247</v>
      </c>
      <c r="I17" s="49" t="n">
        <f aca="false">IF($A17="","",IFERROR(SUMIFS(Raw_Q!$K$2:$K$600,Raw_Q!$A$2:$A$600,$A17,Raw_Q!$P$2:$P$600,"&gt;=1",Raw_Q!$P$2:$P$600,"&lt;=4")/SUMIFS(Raw_Q!$K$2:$K$600,Raw_Q!$A$2:$A$600,$A17,Raw_Q!$P$2:$P$600,"&gt;=5",Raw_Q!$P$2:$P$600,"&lt;=8")-1,""))</f>
        <v>1.26415094339623</v>
      </c>
      <c r="J17" s="52" t="n">
        <f aca="false">IF($A17="","",IFERROR(IF(F17&lt;=0,"N/M",D17/F17),"N/M"))</f>
        <v>143.174997965495</v>
      </c>
      <c r="K17" s="52" t="n">
        <f aca="false">IF($A17="","",IFERROR(IF(G17&lt;=0,"N/M",D17/G17),"N/M"))</f>
        <v>122.326487026595</v>
      </c>
      <c r="L17" s="52" t="n">
        <f aca="false">IF($A17="","",IFERROR(IF(H17&lt;=0,"N/M",D17/H17),"N/M"))</f>
        <v>81.3031365583824</v>
      </c>
      <c r="M17" s="49" t="n">
        <f aca="false">IF($A17="","",IFERROR(INDEX(Raw_Est!$C$2:$C$100,MATCH($A17,Raw_Est!$A$2:$A$100,0))/INDEX(Raw_Est!$B$2:$B$100,MATCH($A17,Raw_Est!$A$2:$A$100,0))-1,""))</f>
        <v>0.445220734620745</v>
      </c>
      <c r="N17" s="51" t="n">
        <f aca="false">IF($A17="","",IFERROR(IF(OR(NOT(ISNUMBER(J17)),I17&lt;Config!$B$6),"N/M",J17/(I17*100)),"N/M"))</f>
        <v>1.13257834211511</v>
      </c>
      <c r="O17" s="51" t="n">
        <f aca="false">IF($A17="","",IFERROR(IF(OR(NOT(ISNUMBER(L17)),M17&lt;Config!$B$6),"N/M",L17/(M17*100)),"N/M"))</f>
        <v>1.82613095564023</v>
      </c>
      <c r="P17" s="51" t="n">
        <f aca="false">IF($A17="","",IFERROR(SUMIFS(Raw_Q!$N$2:$N$600,Raw_Q!$A$2:$A$600,$A17,Raw_Q!$P$2:$P$600,"&gt;=1",Raw_Q!$P$2:$P$600,"&lt;=4"),""))</f>
        <v>0</v>
      </c>
      <c r="Q17" s="49" t="str">
        <f aca="false">IF($A17="","",IFERROR(IF(P17=0,"不配息",P17/D17),""))</f>
        <v>不配息</v>
      </c>
      <c r="R17" s="49" t="str">
        <f aca="false">IF($A17="","",IFERROR(IF(SUMIFS(Raw_Q!$N$2:$N$600,Raw_Q!$A$2:$A$600,$A17,Raw_Q!$P$2:$P$600,"&gt;=5",Raw_Q!$P$2:$P$600,"&lt;=8")=0,"",SUMIFS(Raw_Q!$N$2:$N$600,Raw_Q!$A$2:$A$600,$A17,Raw_Q!$P$2:$P$600,"&gt;=1",Raw_Q!$P$2:$P$600,"&lt;=4")/SUMIFS(Raw_Q!$N$2:$N$600,Raw_Q!$A$2:$A$600,$A17,Raw_Q!$P$2:$P$600,"&gt;=5",Raw_Q!$P$2:$P$600,"&lt;=8")-1),""))</f>
        <v/>
      </c>
      <c r="S17" s="49" t="n">
        <f aca="false">IF($A17="","",IFERROR(SUMIFS(Raw_Q!$I$2:$I$600,Raw_Q!$A$2:$A$600,$A17,Raw_Q!$P$2:$P$600,1)/SUMIFS(Raw_Q!$I$2:$I$600,Raw_Q!$A$2:$A$600,$A17,Raw_Q!$P$2:$P$600,5)-1,""))</f>
        <v>0.928334945705726</v>
      </c>
      <c r="T17" s="49" t="n">
        <f aca="false">IF($A17="","",IFERROR(SUMIFS(Raw_Q!$I$2:$I$600,Raw_Q!$A$2:$A$600,$A17,Raw_Q!$P$2:$P$600,1)/SUMIFS(Raw_Q!$I$2:$I$600,Raw_Q!$A$2:$A$600,$A17,Raw_Q!$P$2:$P$600,2)-1,""))</f>
        <v>0.185522573737446</v>
      </c>
      <c r="U17" s="49" t="n">
        <f aca="false">IF($A17="","",IFERROR(SUMIFS(Raw_Q!$I$2:$I$600,Raw_Q!$A$2:$A$600,$A17,Raw_Q!$P$2:$P$600,2)/SUMIFS(Raw_Q!$I$2:$I$600,Raw_Q!$A$2:$A$600,$A17,Raw_Q!$P$2:$P$600,3)-1,""))</f>
        <v>0.160492379169208</v>
      </c>
      <c r="V17" s="68" t="n">
        <f aca="false">IF($A17="","",IFERROR((T17-U17)*100,""))</f>
        <v>2.50301945682374</v>
      </c>
      <c r="W17" s="66" t="str">
        <f aca="false">IF($A17="","",IFERROR(IF(NOT(ISNUMBER(T17)),"",IF(T17&gt;0,IF(V17&gt;0,"成長且加速","成長但減速"),IF(V17&gt;0,"衰退但收斂","衰退且惡化"))),""))</f>
        <v>成長且加速</v>
      </c>
      <c r="X17" s="68" t="n">
        <f aca="false">IF($A17="","",IFERROR((T17-(SUMIFS(Raw_Q!$I$2:$I$600,Raw_Q!$A$2:$A$600,$A17,Raw_Q!$P$2:$P$600,5)/SUMIFS(Raw_Q!$I$2:$I$600,Raw_Q!$A$2:$A$600,$A17,Raw_Q!$P$2:$P$600,6)-1))*100,""))</f>
        <v>4.99324599744415</v>
      </c>
      <c r="Y17" s="49" t="n">
        <f aca="false">IF($A17="","",IFERROR(SUMIFS(Raw_Q!$K$2:$K$600,Raw_Q!$A$2:$A$600,$A17,Raw_Q!$P$2:$P$600,1)/SUMIFS(Raw_Q!$K$2:$K$600,Raw_Q!$A$2:$A$600,$A17,Raw_Q!$P$2:$P$600,5)-1,""))</f>
        <v>1.5625</v>
      </c>
      <c r="Z17" s="49" t="n">
        <f aca="false">IF($A17="","",IFERROR(SUMIFS(Raw_Q!$J$2:$J$600,Raw_Q!$A$2:$A$600,$A17,Raw_Q!$P$2:$P$600,"&gt;=1",Raw_Q!$P$2:$P$600,"&lt;=4")/E17,""))</f>
        <v>0.847961343359204</v>
      </c>
      <c r="AA17" s="49" t="n">
        <f aca="false">IF($A17="","",IFERROR(SUMIFS(Raw_Q!$J$2:$J$600,Raw_Q!$A$2:$A$600,$A17,Raw_Q!$P$2:$P$600,"&gt;=1",Raw_Q!$P$2:$P$600,"&lt;="&amp;Config!$B$5)/SUMIFS(Raw_Q!$I$2:$I$600,Raw_Q!$A$2:$A$600,$A17,Raw_Q!$P$2:$P$600,"&gt;=1",Raw_Q!$P$2:$P$600,"&lt;="&amp;Config!$B$5),""))</f>
        <v>0.818350148655245</v>
      </c>
      <c r="AB17" s="50" t="n">
        <f aca="false">IF($A17="","",IFERROR((Z17-AA17)*10000,""))</f>
        <v>296.111947039589</v>
      </c>
      <c r="AC17" s="50" t="n">
        <f aca="false">IF($A17="","",IFERROR((SUMIFS(Raw_Q!$J$2:$J$600,Raw_Q!$A$2:$A$600,$A17,Raw_Q!$P$2:$P$600,1)/SUMIFS(Raw_Q!$I$2:$I$600,Raw_Q!$A$2:$A$600,$A17,Raw_Q!$P$2:$P$600,1)-SUMIFS(Raw_Q!$J$2:$J$600,Raw_Q!$A$2:$A$600,$A17,Raw_Q!$P$2:$P$600,5)/SUMIFS(Raw_Q!$I$2:$I$600,Raw_Q!$A$2:$A$600,$A17,Raw_Q!$P$2:$P$600,5))*10000,""))</f>
        <v>388.389421941139</v>
      </c>
      <c r="AD17" s="51" t="n">
        <f aca="false">IF($A17="","",IFERROR(SUMIFS(Raw_Q!$M$2:$M$600,Raw_Q!$A$2:$A$600,$A17,Raw_Q!$P$2:$P$600,1)/SUMIFS(Raw_Q!$L$2:$L$600,Raw_Q!$A$2:$A$600,$A17,Raw_Q!$P$2:$P$600,1),""))</f>
        <v>3.8051219802748</v>
      </c>
      <c r="AE17" s="48" t="n">
        <f aca="false">IF($A17="","",IFERROR(SUMPRODUCT((Raw_Q!$A$2:$A$600=$A17)*(Raw_Q!$P$2:$P$600&gt;=1)*(Raw_Q!$P$2:$P$600&lt;=4)*Raw_Q!$K$2:$K$600*Raw_Q!$L$2:$L$600),""))</f>
        <v>3084.07876506</v>
      </c>
      <c r="AF17" s="49" t="n">
        <f aca="false">IF($A17="","",IFERROR(IF(MIN(SUMIFS(Raw_Q!$M$2:$M$600,Raw_Q!$A$2:$A$600,$A17,Raw_Q!$P$2:$P$600,1),SUMIFS(Raw_Q!$M$2:$M$600,Raw_Q!$A$2:$A$600,$A17,Raw_Q!$P$2:$P$600,5))&lt;=0,"N/M",AE17/((SUMIFS(Raw_Q!$M$2:$M$600,Raw_Q!$A$2:$A$600,$A17,Raw_Q!$P$2:$P$600,1)+SUMIFS(Raw_Q!$M$2:$M$600,Raw_Q!$A$2:$A$600,$A17,Raw_Q!$P$2:$P$600,5))/2)),"N/M"))</f>
        <v>0.392798841891997</v>
      </c>
      <c r="AG17" s="49" t="n">
        <f aca="false">IF($A17="","",IFERROR(AVERAGE(AO17:AS17),""))</f>
        <v>0.201125942281595</v>
      </c>
      <c r="AH17" s="49" t="n">
        <f aca="false">IF($A17="","",IFERROR(IF(AD17&lt;=0,"N/M",INDEX(Raw_Est!$B$2:$B$100,MATCH($A17,Raw_Est!$A$2:$A$100,0))/AD17),"N/M"))</f>
        <v>0.422420098050028</v>
      </c>
      <c r="AI17" s="51" t="n">
        <f aca="false">IF($A17="","",IFERROR(SUMIFS(Raw_Q!$K$2:$K$600,Raw_Q!$A$2:$A$600,$A17,Raw_Q!$P$2:$P$600,0),""))</f>
        <v>0.41452</v>
      </c>
      <c r="AJ17" s="66" t="str">
        <f aca="false">IF($A17="","",IFERROR(INDEX(Raw_Q!$B$2:$B$600,MATCH($A17&amp;"|"&amp;0,Raw_Q!$Q$2:$Q$600,0)),""))</f>
        <v>FY2026Q3E</v>
      </c>
      <c r="AK17" s="66" t="str">
        <f aca="false">IF($A17="","",IFERROR(INDEX(Raw_Q!$G$2:$G$600,MATCH($A17&amp;"|"&amp;0,Raw_Q!$Q$2:$Q$600,0)),""))</f>
        <v>consensus</v>
      </c>
      <c r="AL17" s="47" t="n">
        <f aca="false">IF($A17="","",IFERROR(INDEX(Raw_Est!$E$2:$E$100,MATCH($A17,Raw_Est!$A$2:$A$100,0)),""))</f>
        <v>23</v>
      </c>
      <c r="AM17" s="67" t="n">
        <f aca="false">IF($A17="","",IFERROR(INDEX(Raw_Price!$D$2:$D$100,MATCH($A17,Raw_Price!$A$2:$A$100,0)),""))</f>
        <v>46328</v>
      </c>
      <c r="AN17" s="67" t="n">
        <f aca="false">IF($A17="","",IFERROR(INDEX(Raw_Price!$E$2:$E$100,MATCH($A17,Raw_Price!$A$2:$A$100,0)),""))</f>
        <v>46280</v>
      </c>
      <c r="AO17" s="49" t="n">
        <f aca="false">IF($A17="","",IFERROR(IF(MIN(SUMIFS(Raw_Q!$M$2:$M$600,Raw_Q!$A$2:$A$600,$A17,Raw_Q!$P$2:$P$600,1),SUMIFS(Raw_Q!$M$2:$M$600,Raw_Q!$A$2:$A$600,$A17,Raw_Q!$P$2:$P$600,5))&lt;=0,"",SUMPRODUCT((Raw_Q!$A$2:$A$600=$A17)*(Raw_Q!$P$2:$P$600&gt;=1)*(Raw_Q!$P$2:$P$600&lt;=4)*Raw_Q!$K$2:$K$600*Raw_Q!$L$2:$L$600)/((SUMIFS(Raw_Q!$M$2:$M$600,Raw_Q!$A$2:$A$600,$A17,Raw_Q!$P$2:$P$600,1)+SUMIFS(Raw_Q!$M$2:$M$600,Raw_Q!$A$2:$A$600,$A17,Raw_Q!$P$2:$P$600,5))/2)),""))</f>
        <v>0.392798841891997</v>
      </c>
      <c r="AP17" s="49" t="n">
        <f aca="false">IF($A17="","",IFERROR(IF(MIN(SUMIFS(Raw_Q!$M$2:$M$600,Raw_Q!$A$2:$A$600,$A17,Raw_Q!$P$2:$P$600,5),SUMIFS(Raw_Q!$M$2:$M$600,Raw_Q!$A$2:$A$600,$A17,Raw_Q!$P$2:$P$600,9))&lt;=0,"",SUMPRODUCT((Raw_Q!$A$2:$A$600=$A17)*(Raw_Q!$P$2:$P$600&gt;=5)*(Raw_Q!$P$2:$P$600&lt;=8)*Raw_Q!$K$2:$K$600*Raw_Q!$L$2:$L$600)/((SUMIFS(Raw_Q!$M$2:$M$600,Raw_Q!$A$2:$A$600,$A17,Raw_Q!$P$2:$P$600,5)+SUMIFS(Raw_Q!$M$2:$M$600,Raw_Q!$A$2:$A$600,$A17,Raw_Q!$P$2:$P$600,9))/2)),""))</f>
        <v>0.263884684261869</v>
      </c>
      <c r="AQ17" s="49" t="n">
        <f aca="false">IF($A17="","",IFERROR(IF(MIN(SUMIFS(Raw_Q!$M$2:$M$600,Raw_Q!$A$2:$A$600,$A17,Raw_Q!$P$2:$P$600,9),SUMIFS(Raw_Q!$M$2:$M$600,Raw_Q!$A$2:$A$600,$A17,Raw_Q!$P$2:$P$600,13))&lt;=0,"",SUMPRODUCT((Raw_Q!$A$2:$A$600=$A17)*(Raw_Q!$P$2:$P$600&gt;=9)*(Raw_Q!$P$2:$P$600&lt;=12)*Raw_Q!$K$2:$K$600*Raw_Q!$L$2:$L$600)/((SUMIFS(Raw_Q!$M$2:$M$600,Raw_Q!$A$2:$A$600,$A17,Raw_Q!$P$2:$P$600,9)+SUMIFS(Raw_Q!$M$2:$M$600,Raw_Q!$A$2:$A$600,$A17,Raw_Q!$P$2:$P$600,13))/2)),""))</f>
        <v>0.211667656056996</v>
      </c>
      <c r="AR17" s="49" t="n">
        <f aca="false">IF($A17="","",IFERROR(IF(MIN(SUMIFS(Raw_Q!$M$2:$M$600,Raw_Q!$A$2:$A$600,$A17,Raw_Q!$P$2:$P$600,13),SUMIFS(Raw_Q!$M$2:$M$600,Raw_Q!$A$2:$A$600,$A17,Raw_Q!$P$2:$P$600,17))&lt;=0,"",SUMPRODUCT((Raw_Q!$A$2:$A$600=$A17)*(Raw_Q!$P$2:$P$600&gt;=13)*(Raw_Q!$P$2:$P$600&lt;=16)*Raw_Q!$K$2:$K$600*Raw_Q!$L$2:$L$600)/((SUMIFS(Raw_Q!$M$2:$M$600,Raw_Q!$A$2:$A$600,$A17,Raw_Q!$P$2:$P$600,13)+SUMIFS(Raw_Q!$M$2:$M$600,Raw_Q!$A$2:$A$600,$A17,Raw_Q!$P$2:$P$600,17))/2)),""))</f>
        <v>0.0925710998891842</v>
      </c>
      <c r="AS17" s="49" t="n">
        <f aca="false">IF($A17="","",IFERROR(IF(MIN(SUMIFS(Raw_Q!$M$2:$M$600,Raw_Q!$A$2:$A$600,$A17,Raw_Q!$P$2:$P$600,17),SUMIFS(Raw_Q!$M$2:$M$600,Raw_Q!$A$2:$A$600,$A17,Raw_Q!$P$2:$P$600,21))&lt;=0,"",SUMPRODUCT((Raw_Q!$A$2:$A$600=$A17)*(Raw_Q!$P$2:$P$600&gt;=17)*(Raw_Q!$P$2:$P$600&lt;=20)*Raw_Q!$K$2:$K$600*Raw_Q!$L$2:$L$600)/((SUMIFS(Raw_Q!$M$2:$M$600,Raw_Q!$A$2:$A$600,$A17,Raw_Q!$P$2:$P$600,17)+SUMIFS(Raw_Q!$M$2:$M$600,Raw_Q!$A$2:$A$600,$A17,Raw_Q!$P$2:$P$600,21))/2)),""))</f>
        <v>0.0447074293079318</v>
      </c>
    </row>
    <row r="18" customFormat="false" ht="15" hidden="false" customHeight="false" outlineLevel="0" collapsed="false">
      <c r="A18" s="16" t="str">
        <f aca="false">IF(Tickers!A18="","",Tickers!A18)</f>
        <v>SMTC</v>
      </c>
      <c r="B18" s="66" t="str">
        <f aca="false">IF($A18="","",IFERROR(INDEX(Tickers!$B$2:$B$100,MATCH($A18,Tickers!$A$2:$A$100,0)),""))</f>
        <v>Semtech Corporation</v>
      </c>
      <c r="C18" s="66" t="str">
        <f aca="false">IF($A18="","",IFERROR(INDEX(Tickers!$D$2:$D$100,MATCH($A18,Tickers!$A$2:$A$100,0)),""))</f>
        <v>池子</v>
      </c>
      <c r="D18" s="51" t="n">
        <f aca="false">IF($A18="","",IFERROR(INDEX(Raw_Price!$B$2:$B$100,MATCH($A18,Raw_Price!$A$2:$A$100,0)),""))</f>
        <v>151.039993286133</v>
      </c>
      <c r="E18" s="48" t="n">
        <f aca="false">IF($A18="","",IFERROR(SUMIFS(Raw_Q!$I$2:$I$600,Raw_Q!$A$2:$A$600,$A18,Raw_Q!$P$2:$P$600,"&gt;=1",Raw_Q!$P$2:$P$600,"&lt;=4"),""))</f>
        <v>1174.215</v>
      </c>
      <c r="F18" s="51" t="n">
        <f aca="false">IF($A18="","",IFERROR(SUMIFS(Raw_Q!$K$2:$K$600,Raw_Q!$A$2:$A$600,$A18,Raw_Q!$P$2:$P$600,"&gt;=1",Raw_Q!$P$2:$P$600,"&lt;=4"),""))</f>
        <v>2.14</v>
      </c>
      <c r="G18" s="51" t="n">
        <f aca="false">IF($A18="","",IFERROR(SUMIFS(Raw_Q!$K$2:$K$600,Raw_Q!$A$2:$A$600,$A18,Raw_Q!$P$2:$P$600,"&gt;=0",Raw_Q!$P$2:$P$600,"&lt;=3"),""))</f>
        <v>2.7157</v>
      </c>
      <c r="H18" s="51" t="n">
        <f aca="true">IF($A18="","",IFERROR(INDEX(Raw_Est!$B$2:$B$100,MATCH($A18,Raw_Est!$A$2:$A$100,0))*MIN(1,MAX(0,(INDEX(Raw_Est!$D$2:$D$100,MATCH($A18,Raw_Est!$A$2:$A$100,0))-TODAY())/Config!$B$8))+INDEX(Raw_Est!$C$2:$C$100,MATCH($A18,Raw_Est!$A$2:$A$100,0))*(1-MIN(1,MAX(0,(INDEX(Raw_Est!$D$2:$D$100,MATCH($A18,Raw_Est!$A$2:$A$100,0))-TODAY())/Config!$B$8))),""))</f>
        <v>4.94281049315068</v>
      </c>
      <c r="I18" s="49" t="n">
        <f aca="false">IF($A18="","",IFERROR(SUMIFS(Raw_Q!$K$2:$K$600,Raw_Q!$A$2:$A$600,$A18,Raw_Q!$P$2:$P$600,"&gt;=1",Raw_Q!$P$2:$P$600,"&lt;=4")/SUMIFS(Raw_Q!$K$2:$K$600,Raw_Q!$A$2:$A$600,$A18,Raw_Q!$P$2:$P$600,"&gt;=5",Raw_Q!$P$2:$P$600,"&lt;=8")-1,""))</f>
        <v>0.475862068965517</v>
      </c>
      <c r="J18" s="52" t="n">
        <f aca="false">IF($A18="","",IFERROR(IF(F18&lt;=0,"N/M",D18/F18),"N/M"))</f>
        <v>70.5794361150153</v>
      </c>
      <c r="K18" s="52" t="n">
        <f aca="false">IF($A18="","",IFERROR(IF(G18&lt;=0,"N/M",D18/G18),"N/M"))</f>
        <v>55.6173337578277</v>
      </c>
      <c r="L18" s="52" t="n">
        <f aca="false">IF($A18="","",IFERROR(IF(H18&lt;=0,"N/M",D18/H18),"N/M"))</f>
        <v>30.557512470978</v>
      </c>
      <c r="M18" s="49" t="n">
        <f aca="false">IF($A18="","",IFERROR(INDEX(Raw_Est!$C$2:$C$100,MATCH($A18,Raw_Est!$A$2:$A$100,0))/INDEX(Raw_Est!$B$2:$B$100,MATCH($A18,Raw_Est!$A$2:$A$100,0))-1,""))</f>
        <v>0.679689253990824</v>
      </c>
      <c r="N18" s="51" t="n">
        <f aca="false">IF($A18="","",IFERROR(IF(OR(NOT(ISNUMBER(J18)),I18&lt;Config!$B$6),"N/M",J18/(I18*100)),"N/M"))</f>
        <v>1.4831910487938</v>
      </c>
      <c r="O18" s="51" t="n">
        <f aca="false">IF($A18="","",IFERROR(IF(OR(NOT(ISNUMBER(L18)),M18&lt;Config!$B$6),"N/M",L18/(M18*100)),"N/M"))</f>
        <v>0.44958063249578</v>
      </c>
      <c r="P18" s="51" t="n">
        <f aca="false">IF($A18="","",IFERROR(SUMIFS(Raw_Q!$N$2:$N$600,Raw_Q!$A$2:$A$600,$A18,Raw_Q!$P$2:$P$600,"&gt;=1",Raw_Q!$P$2:$P$600,"&lt;=4"),""))</f>
        <v>0</v>
      </c>
      <c r="Q18" s="49" t="str">
        <f aca="false">IF($A18="","",IFERROR(IF(P18=0,"不配息",P18/D18),""))</f>
        <v>不配息</v>
      </c>
      <c r="R18" s="49" t="str">
        <f aca="false">IF($A18="","",IFERROR(IF(SUMIFS(Raw_Q!$N$2:$N$600,Raw_Q!$A$2:$A$600,$A18,Raw_Q!$P$2:$P$600,"&gt;=5",Raw_Q!$P$2:$P$600,"&lt;=8")=0,"",SUMIFS(Raw_Q!$N$2:$N$600,Raw_Q!$A$2:$A$600,$A18,Raw_Q!$P$2:$P$600,"&gt;=1",Raw_Q!$P$2:$P$600,"&lt;=4")/SUMIFS(Raw_Q!$N$2:$N$600,Raw_Q!$A$2:$A$600,$A18,Raw_Q!$P$2:$P$600,"&gt;=5",Raw_Q!$P$2:$P$600,"&lt;=8")-1),""))</f>
        <v/>
      </c>
      <c r="S18" s="49" t="n">
        <f aca="false">IF($A18="","",IFERROR(SUMIFS(Raw_Q!$I$2:$I$600,Raw_Q!$A$2:$A$600,$A18,Raw_Q!$P$2:$P$600,1)/SUMIFS(Raw_Q!$I$2:$I$600,Raw_Q!$A$2:$A$600,$A18,Raw_Q!$P$2:$P$600,5)-1,""))</f>
        <v>0.327195648882522</v>
      </c>
      <c r="T18" s="49" t="n">
        <f aca="false">IF($A18="","",IFERROR(SUMIFS(Raw_Q!$I$2:$I$600,Raw_Q!$A$2:$A$600,$A18,Raw_Q!$P$2:$P$600,1)/SUMIFS(Raw_Q!$I$2:$I$600,Raw_Q!$A$2:$A$600,$A18,Raw_Q!$P$2:$P$600,2)-1,""))</f>
        <v>0.174741768550399</v>
      </c>
      <c r="U18" s="49" t="n">
        <f aca="false">IF($A18="","",IFERROR(SUMIFS(Raw_Q!$I$2:$I$600,Raw_Q!$A$2:$A$600,$A18,Raw_Q!$P$2:$P$600,2)/SUMIFS(Raw_Q!$I$2:$I$600,Raw_Q!$A$2:$A$600,$A18,Raw_Q!$P$2:$P$600,3)-1,""))</f>
        <v>0.0607351788740864</v>
      </c>
      <c r="V18" s="68" t="n">
        <f aca="false">IF($A18="","",IFERROR((T18-U18)*100,""))</f>
        <v>11.4006589676313</v>
      </c>
      <c r="W18" s="66" t="str">
        <f aca="false">IF($A18="","",IFERROR(IF(NOT(ISNUMBER(T18)),"",IF(T18&gt;0,IF(V18&gt;0,"成長且加速","成長但減速"),IF(V18&gt;0,"衰退但收斂","衰退且惡化"))),""))</f>
        <v>成長且加速</v>
      </c>
      <c r="X18" s="68" t="n">
        <f aca="false">IF($A18="","",IFERROR((T18-(SUMIFS(Raw_Q!$I$2:$I$600,Raw_Q!$A$2:$A$600,$A18,Raw_Q!$P$2:$P$600,5)/SUMIFS(Raw_Q!$I$2:$I$600,Raw_Q!$A$2:$A$600,$A18,Raw_Q!$P$2:$P$600,6)-1))*100,""))</f>
        <v>14.8736032869685</v>
      </c>
      <c r="Y18" s="49" t="n">
        <f aca="false">IF($A18="","",IFERROR(SUMIFS(Raw_Q!$K$2:$K$600,Raw_Q!$A$2:$A$600,$A18,Raw_Q!$P$2:$P$600,1)/SUMIFS(Raw_Q!$K$2:$K$600,Raw_Q!$A$2:$A$600,$A18,Raw_Q!$P$2:$P$600,5)-1,""))</f>
        <v>0.731707317073171</v>
      </c>
      <c r="Z18" s="49" t="n">
        <f aca="false">IF($A18="","",IFERROR(SUMIFS(Raw_Q!$J$2:$J$600,Raw_Q!$A$2:$A$600,$A18,Raw_Q!$P$2:$P$600,"&gt;=1",Raw_Q!$P$2:$P$600,"&lt;=4")/E18,""))</f>
        <v>0.521180533377618</v>
      </c>
      <c r="AA18" s="49" t="n">
        <f aca="false">IF($A18="","",IFERROR(SUMIFS(Raw_Q!$J$2:$J$600,Raw_Q!$A$2:$A$600,$A18,Raw_Q!$P$2:$P$600,"&gt;=1",Raw_Q!$P$2:$P$600,"&lt;="&amp;Config!$B$5)/SUMIFS(Raw_Q!$I$2:$I$600,Raw_Q!$A$2:$A$600,$A18,Raw_Q!$P$2:$P$600,"&gt;=1",Raw_Q!$P$2:$P$600,"&lt;="&amp;Config!$B$5),""))</f>
        <v>0.528690470966052</v>
      </c>
      <c r="AB18" s="50" t="n">
        <f aca="false">IF($A18="","",IFERROR((Z18-AA18)*10000,""))</f>
        <v>-75.0993758843332</v>
      </c>
      <c r="AC18" s="50" t="n">
        <f aca="false">IF($A18="","",IFERROR((SUMIFS(Raw_Q!$J$2:$J$600,Raw_Q!$A$2:$A$600,$A18,Raw_Q!$P$2:$P$600,1)/SUMIFS(Raw_Q!$I$2:$I$600,Raw_Q!$A$2:$A$600,$A18,Raw_Q!$P$2:$P$600,1)-SUMIFS(Raw_Q!$J$2:$J$600,Raw_Q!$A$2:$A$600,$A18,Raw_Q!$P$2:$P$600,5)/SUMIFS(Raw_Q!$I$2:$I$600,Raw_Q!$A$2:$A$600,$A18,Raw_Q!$P$2:$P$600,5))*10000,""))</f>
        <v>169.082124737384</v>
      </c>
      <c r="AD18" s="51" t="n">
        <f aca="false">IF($A18="","",IFERROR(SUMIFS(Raw_Q!$M$2:$M$600,Raw_Q!$A$2:$A$600,$A18,Raw_Q!$P$2:$P$600,1)/SUMIFS(Raw_Q!$L$2:$L$600,Raw_Q!$A$2:$A$600,$A18,Raw_Q!$P$2:$P$600,1),""))</f>
        <v>7.42928571428571</v>
      </c>
      <c r="AE18" s="48" t="n">
        <f aca="false">IF($A18="","",IFERROR(SUMPRODUCT((Raw_Q!$A$2:$A$600=$A18)*(Raw_Q!$P$2:$P$600&gt;=1)*(Raw_Q!$P$2:$P$600&lt;=4)*Raw_Q!$K$2:$K$600*Raw_Q!$L$2:$L$600),""))</f>
        <v>204.388</v>
      </c>
      <c r="AF18" s="49" t="n">
        <f aca="false">IF($A18="","",IFERROR(IF(MIN(SUMIFS(Raw_Q!$M$2:$M$600,Raw_Q!$A$2:$A$600,$A18,Raw_Q!$P$2:$P$600,1),SUMIFS(Raw_Q!$M$2:$M$600,Raw_Q!$A$2:$A$600,$A18,Raw_Q!$P$2:$P$600,5))&lt;=0,"N/M",AE18/((SUMIFS(Raw_Q!$M$2:$M$600,Raw_Q!$A$2:$A$600,$A18,Raw_Q!$P$2:$P$600,1)+SUMIFS(Raw_Q!$M$2:$M$600,Raw_Q!$A$2:$A$600,$A18,Raw_Q!$P$2:$P$600,5))/2)),"N/M"))</f>
        <v>0.31401698003632</v>
      </c>
      <c r="AG18" s="49" t="n">
        <f aca="false">IF($A18="","",IFERROR(AVERAGE(AO18:AS18),""))</f>
        <v>0.201999641068383</v>
      </c>
      <c r="AH18" s="49" t="n">
        <f aca="false">IF($A18="","",IFERROR(IF(AD18&lt;=0,"N/M",INDEX(Raw_Est!$B$2:$B$100,MATCH($A18,Raw_Est!$A$2:$A$100,0))/AD18),"N/M"))</f>
        <v>0.467638496298433</v>
      </c>
      <c r="AI18" s="51" t="n">
        <f aca="false">IF($A18="","",IFERROR(SUMIFS(Raw_Q!$K$2:$K$600,Raw_Q!$A$2:$A$600,$A18,Raw_Q!$P$2:$P$600,0),""))</f>
        <v>1.0557</v>
      </c>
      <c r="AJ18" s="66" t="str">
        <f aca="false">IF($A18="","",IFERROR(INDEX(Raw_Q!$B$2:$B$600,MATCH($A18&amp;"|"&amp;0,Raw_Q!$Q$2:$Q$600,0)),""))</f>
        <v>FY2027Q3E</v>
      </c>
      <c r="AK18" s="66" t="str">
        <f aca="false">IF($A18="","",IFERROR(INDEX(Raw_Q!$G$2:$G$600,MATCH($A18&amp;"|"&amp;0,Raw_Q!$Q$2:$Q$600,0)),""))</f>
        <v>consensus</v>
      </c>
      <c r="AL18" s="47" t="n">
        <f aca="false">IF($A18="","",IFERROR(INDEX(Raw_Est!$E$2:$E$100,MATCH($A18,Raw_Est!$A$2:$A$100,0)),""))</f>
        <v>14</v>
      </c>
      <c r="AM18" s="67" t="n">
        <f aca="false">IF($A18="","",IFERROR(INDEX(Raw_Price!$D$2:$D$100,MATCH($A18,Raw_Price!$A$2:$A$100,0)),""))</f>
        <v>46349</v>
      </c>
      <c r="AN18" s="67" t="n">
        <f aca="false">IF($A18="","",IFERROR(INDEX(Raw_Price!$E$2:$E$100,MATCH($A18,Raw_Price!$A$2:$A$100,0)),""))</f>
        <v>46280</v>
      </c>
      <c r="AO18" s="49" t="n">
        <f aca="false">IF($A18="","",IFERROR(IF(MIN(SUMIFS(Raw_Q!$M$2:$M$600,Raw_Q!$A$2:$A$600,$A18,Raw_Q!$P$2:$P$600,1),SUMIFS(Raw_Q!$M$2:$M$600,Raw_Q!$A$2:$A$600,$A18,Raw_Q!$P$2:$P$600,5))&lt;=0,"",SUMPRODUCT((Raw_Q!$A$2:$A$600=$A18)*(Raw_Q!$P$2:$P$600&gt;=1)*(Raw_Q!$P$2:$P$600&lt;=4)*Raw_Q!$K$2:$K$600*Raw_Q!$L$2:$L$600)/((SUMIFS(Raw_Q!$M$2:$M$600,Raw_Q!$A$2:$A$600,$A18,Raw_Q!$P$2:$P$600,1)+SUMIFS(Raw_Q!$M$2:$M$600,Raw_Q!$A$2:$A$600,$A18,Raw_Q!$P$2:$P$600,5))/2)),""))</f>
        <v>0.31401698003632</v>
      </c>
      <c r="AP18" s="49" t="str">
        <f aca="false">IF($A18="","",IFERROR(IF(MIN(SUMIFS(Raw_Q!$M$2:$M$600,Raw_Q!$A$2:$A$600,$A18,Raw_Q!$P$2:$P$600,5),SUMIFS(Raw_Q!$M$2:$M$600,Raw_Q!$A$2:$A$600,$A18,Raw_Q!$P$2:$P$600,9))&lt;=0,"",SUMPRODUCT((Raw_Q!$A$2:$A$600=$A18)*(Raw_Q!$P$2:$P$600&gt;=5)*(Raw_Q!$P$2:$P$600&lt;=8)*Raw_Q!$K$2:$K$600*Raw_Q!$L$2:$L$600)/((SUMIFS(Raw_Q!$M$2:$M$600,Raw_Q!$A$2:$A$600,$A18,Raw_Q!$P$2:$P$600,5)+SUMIFS(Raw_Q!$M$2:$M$600,Raw_Q!$A$2:$A$600,$A18,Raw_Q!$P$2:$P$600,9))/2)),""))</f>
        <v/>
      </c>
      <c r="AQ18" s="49" t="str">
        <f aca="false">IF($A18="","",IFERROR(IF(MIN(SUMIFS(Raw_Q!$M$2:$M$600,Raw_Q!$A$2:$A$600,$A18,Raw_Q!$P$2:$P$600,9),SUMIFS(Raw_Q!$M$2:$M$600,Raw_Q!$A$2:$A$600,$A18,Raw_Q!$P$2:$P$600,13))&lt;=0,"",SUMPRODUCT((Raw_Q!$A$2:$A$600=$A18)*(Raw_Q!$P$2:$P$600&gt;=9)*(Raw_Q!$P$2:$P$600&lt;=12)*Raw_Q!$K$2:$K$600*Raw_Q!$L$2:$L$600)/((SUMIFS(Raw_Q!$M$2:$M$600,Raw_Q!$A$2:$A$600,$A18,Raw_Q!$P$2:$P$600,9)+SUMIFS(Raw_Q!$M$2:$M$600,Raw_Q!$A$2:$A$600,$A18,Raw_Q!$P$2:$P$600,13))/2)),""))</f>
        <v/>
      </c>
      <c r="AR18" s="49" t="n">
        <f aca="false">IF($A18="","",IFERROR(IF(MIN(SUMIFS(Raw_Q!$M$2:$M$600,Raw_Q!$A$2:$A$600,$A18,Raw_Q!$P$2:$P$600,13),SUMIFS(Raw_Q!$M$2:$M$600,Raw_Q!$A$2:$A$600,$A18,Raw_Q!$P$2:$P$600,17))&lt;=0,"",SUMPRODUCT((Raw_Q!$A$2:$A$600=$A18)*(Raw_Q!$P$2:$P$600&gt;=13)*(Raw_Q!$P$2:$P$600&lt;=16)*Raw_Q!$K$2:$K$600*Raw_Q!$L$2:$L$600)/((SUMIFS(Raw_Q!$M$2:$M$600,Raw_Q!$A$2:$A$600,$A18,Raw_Q!$P$2:$P$600,13)+SUMIFS(Raw_Q!$M$2:$M$600,Raw_Q!$A$2:$A$600,$A18,Raw_Q!$P$2:$P$600,17))/2)),""))</f>
        <v>0.0854852521204125</v>
      </c>
      <c r="AS18" s="49" t="n">
        <f aca="false">IF($A18="","",IFERROR(IF(MIN(SUMIFS(Raw_Q!$M$2:$M$600,Raw_Q!$A$2:$A$600,$A18,Raw_Q!$P$2:$P$600,17),SUMIFS(Raw_Q!$M$2:$M$600,Raw_Q!$A$2:$A$600,$A18,Raw_Q!$P$2:$P$600,21))&lt;=0,"",SUMPRODUCT((Raw_Q!$A$2:$A$600=$A18)*(Raw_Q!$P$2:$P$600&gt;=17)*(Raw_Q!$P$2:$P$600&lt;=20)*Raw_Q!$K$2:$K$600*Raw_Q!$L$2:$L$600)/((SUMIFS(Raw_Q!$M$2:$M$600,Raw_Q!$A$2:$A$600,$A18,Raw_Q!$P$2:$P$600,17)+SUMIFS(Raw_Q!$M$2:$M$600,Raw_Q!$A$2:$A$600,$A18,Raw_Q!$P$2:$P$600,21))/2)),""))</f>
        <v>0.206496691048415</v>
      </c>
    </row>
    <row r="19" customFormat="false" ht="15" hidden="false" customHeight="false" outlineLevel="0" collapsed="false">
      <c r="A19" s="16" t="str">
        <f aca="false">IF(Tickers!A19="","",Tickers!A19)</f>
        <v>QCOM</v>
      </c>
      <c r="B19" s="66" t="str">
        <f aca="false">IF($A19="","",IFERROR(INDEX(Tickers!$B$2:$B$100,MATCH($A19,Tickers!$A$2:$A$100,0)),""))</f>
        <v>QUALCOMM Incorporated</v>
      </c>
      <c r="C19" s="66" t="str">
        <f aca="false">IF($A19="","",IFERROR(INDEX(Tickers!$D$2:$D$100,MATCH($A19,Tickers!$A$2:$A$100,0)),""))</f>
        <v>池子</v>
      </c>
      <c r="D19" s="51" t="n">
        <f aca="false">IF($A19="","",IFERROR(INDEX(Raw_Price!$B$2:$B$100,MATCH($A19,Raw_Price!$A$2:$A$100,0)),""))</f>
        <v>187.162506103516</v>
      </c>
      <c r="E19" s="48" t="n">
        <f aca="false">IF($A19="","",IFERROR(SUMIFS(Raw_Q!$I$2:$I$600,Raw_Q!$A$2:$A$600,$A19,Raw_Q!$P$2:$P$600,"&gt;=1",Raw_Q!$P$2:$P$600,"&lt;=4"),""))</f>
        <v>44069</v>
      </c>
      <c r="F19" s="51" t="n">
        <f aca="false">IF($A19="","",IFERROR(SUMIFS(Raw_Q!$K$2:$K$600,Raw_Q!$A$2:$A$600,$A19,Raw_Q!$P$2:$P$600,"&gt;=1",Raw_Q!$P$2:$P$600,"&lt;=4"),""))</f>
        <v>11.36</v>
      </c>
      <c r="G19" s="51" t="n">
        <f aca="false">IF($A19="","",IFERROR(SUMIFS(Raw_Q!$K$2:$K$600,Raw_Q!$A$2:$A$600,$A19,Raw_Q!$P$2:$P$600,"&gt;=0",Raw_Q!$P$2:$P$600,"&lt;=3"),""))</f>
        <v>10.5166</v>
      </c>
      <c r="H19" s="51" t="n">
        <f aca="true">IF($A19="","",IFERROR(INDEX(Raw_Est!$B$2:$B$100,MATCH($A19,Raw_Est!$A$2:$A$100,0))*MIN(1,MAX(0,(INDEX(Raw_Est!$D$2:$D$100,MATCH($A19,Raw_Est!$A$2:$A$100,0))-TODAY())/Config!$B$8))+INDEX(Raw_Est!$C$2:$C$100,MATCH($A19,Raw_Est!$A$2:$A$100,0))*(1-MIN(1,MAX(0,(INDEX(Raw_Est!$D$2:$D$100,MATCH($A19,Raw_Est!$A$2:$A$100,0))-TODAY())/Config!$B$8))),""))</f>
        <v>10.2155254794521</v>
      </c>
      <c r="I19" s="49" t="n">
        <f aca="false">IF($A19="","",IFERROR(SUMIFS(Raw_Q!$K$2:$K$600,Raw_Q!$A$2:$A$600,$A19,Raw_Q!$P$2:$P$600,"&gt;=1",Raw_Q!$P$2:$P$600,"&lt;=4")/SUMIFS(Raw_Q!$K$2:$K$600,Raw_Q!$A$2:$A$600,$A19,Raw_Q!$P$2:$P$600,"&gt;=5",Raw_Q!$P$2:$P$600,"&lt;=8")-1,""))</f>
        <v>-0.0307167235494882</v>
      </c>
      <c r="J19" s="52" t="n">
        <f aca="false">IF($A19="","",IFERROR(IF(F19&lt;=0,"N/M",D19/F19),"N/M"))</f>
        <v>16.4755727203799</v>
      </c>
      <c r="K19" s="52" t="n">
        <f aca="false">IF($A19="","",IFERROR(IF(G19&lt;=0,"N/M",D19/G19),"N/M"))</f>
        <v>17.7968645858467</v>
      </c>
      <c r="L19" s="52" t="n">
        <f aca="false">IF($A19="","",IFERROR(IF(H19&lt;=0,"N/M",D19/H19),"N/M"))</f>
        <v>18.3213782276773</v>
      </c>
      <c r="M19" s="49" t="n">
        <f aca="false">IF($A19="","",IFERROR(INDEX(Raw_Est!$C$2:$C$100,MATCH($A19,Raw_Est!$A$2:$A$100,0))/INDEX(Raw_Est!$B$2:$B$100,MATCH($A19,Raw_Est!$A$2:$A$100,0))-1,""))</f>
        <v>-0.026726833278966</v>
      </c>
      <c r="N19" s="51" t="str">
        <f aca="false">IF($A19="","",IFERROR(IF(OR(NOT(ISNUMBER(J19)),I19&lt;Config!$B$6),"N/M",J19/(I19*100)),"N/M"))</f>
        <v>N/M</v>
      </c>
      <c r="O19" s="51" t="str">
        <f aca="false">IF($A19="","",IFERROR(IF(OR(NOT(ISNUMBER(L19)),M19&lt;Config!$B$6),"N/M",L19/(M19*100)),"N/M"))</f>
        <v>N/M</v>
      </c>
      <c r="P19" s="51" t="n">
        <f aca="false">IF($A19="","",IFERROR(SUMIFS(Raw_Q!$N$2:$N$600,Raw_Q!$A$2:$A$600,$A19,Raw_Q!$P$2:$P$600,"&gt;=1",Raw_Q!$P$2:$P$600,"&lt;=4"),""))</f>
        <v>3.59</v>
      </c>
      <c r="Q19" s="49" t="n">
        <f aca="false">IF($A19="","",IFERROR(IF(P19=0,"不配息",P19/D19),""))</f>
        <v>0.0191811921882177</v>
      </c>
      <c r="R19" s="49" t="n">
        <f aca="false">IF($A19="","",IFERROR(IF(SUMIFS(Raw_Q!$N$2:$N$600,Raw_Q!$A$2:$A$600,$A19,Raw_Q!$P$2:$P$600,"&gt;=5",Raw_Q!$P$2:$P$600,"&lt;=8")=0,"",SUMIFS(Raw_Q!$N$2:$N$600,Raw_Q!$A$2:$A$600,$A19,Raw_Q!$P$2:$P$600,"&gt;=1",Raw_Q!$P$2:$P$600,"&lt;=4")/SUMIFS(Raw_Q!$N$2:$N$600,Raw_Q!$A$2:$A$600,$A19,Raw_Q!$P$2:$P$600,"&gt;=5",Raw_Q!$P$2:$P$600,"&lt;=8")-1),""))</f>
        <v>0.0436046511627908</v>
      </c>
      <c r="S19" s="49" t="n">
        <f aca="false">IF($A19="","",IFERROR(SUMIFS(Raw_Q!$I$2:$I$600,Raw_Q!$A$2:$A$600,$A19,Raw_Q!$P$2:$P$600,1)/SUMIFS(Raw_Q!$I$2:$I$600,Raw_Q!$A$2:$A$600,$A19,Raw_Q!$P$2:$P$600,5)-1,""))</f>
        <v>-0.0403280270139894</v>
      </c>
      <c r="T19" s="49" t="n">
        <f aca="false">IF($A19="","",IFERROR(SUMIFS(Raw_Q!$I$2:$I$600,Raw_Q!$A$2:$A$600,$A19,Raw_Q!$P$2:$P$600,1)/SUMIFS(Raw_Q!$I$2:$I$600,Raw_Q!$A$2:$A$600,$A19,Raw_Q!$P$2:$P$600,2)-1,""))</f>
        <v>-0.0615152372865365</v>
      </c>
      <c r="U19" s="49" t="n">
        <f aca="false">IF($A19="","",IFERROR(SUMIFS(Raw_Q!$I$2:$I$600,Raw_Q!$A$2:$A$600,$A19,Raw_Q!$P$2:$P$600,2)/SUMIFS(Raw_Q!$I$2:$I$600,Raw_Q!$A$2:$A$600,$A19,Raw_Q!$P$2:$P$600,3)-1,""))</f>
        <v>-0.134916748285994</v>
      </c>
      <c r="V19" s="68" t="n">
        <f aca="false">IF($A19="","",IFERROR((T19-U19)*100,""))</f>
        <v>7.34015109994576</v>
      </c>
      <c r="W19" s="66" t="str">
        <f aca="false">IF($A19="","",IFERROR(IF(NOT(ISNUMBER(T19)),"",IF(T19&gt;0,IF(V19&gt;0,"成長且加速","成長但減速"),IF(V19&gt;0,"衰退但收斂","衰退且惡化"))),""))</f>
        <v>衰退但收斂</v>
      </c>
      <c r="X19" s="68" t="n">
        <f aca="false">IF($A19="","",IFERROR((T19-(SUMIFS(Raw_Q!$I$2:$I$600,Raw_Q!$A$2:$A$600,$A19,Raw_Q!$P$2:$P$600,5)/SUMIFS(Raw_Q!$I$2:$I$600,Raw_Q!$A$2:$A$600,$A19,Raw_Q!$P$2:$P$600,6)-1))*100,""))</f>
        <v>-0.559028965924802</v>
      </c>
      <c r="Y19" s="49" t="n">
        <f aca="false">IF($A19="","",IFERROR(SUMIFS(Raw_Q!$K$2:$K$600,Raw_Q!$A$2:$A$600,$A19,Raw_Q!$P$2:$P$600,1)/SUMIFS(Raw_Q!$K$2:$K$600,Raw_Q!$A$2:$A$600,$A19,Raw_Q!$P$2:$P$600,5)-1,""))</f>
        <v>-0.202166064981949</v>
      </c>
      <c r="Z19" s="49" t="n">
        <f aca="false">IF($A19="","",IFERROR(SUMIFS(Raw_Q!$J$2:$J$600,Raw_Q!$A$2:$A$600,$A19,Raw_Q!$P$2:$P$600,"&gt;=1",Raw_Q!$P$2:$P$600,"&lt;=4")/E19,""))</f>
        <v>0.542263268964578</v>
      </c>
      <c r="AA19" s="49" t="n">
        <f aca="false">IF($A19="","",IFERROR(SUMIFS(Raw_Q!$J$2:$J$600,Raw_Q!$A$2:$A$600,$A19,Raw_Q!$P$2:$P$600,"&gt;=1",Raw_Q!$P$2:$P$600,"&lt;="&amp;Config!$B$5)/SUMIFS(Raw_Q!$I$2:$I$600,Raw_Q!$A$2:$A$600,$A19,Raw_Q!$P$2:$P$600,"&gt;=1",Raw_Q!$P$2:$P$600,"&lt;="&amp;Config!$B$5),""))</f>
        <v>0.508868105492237</v>
      </c>
      <c r="AB19" s="50" t="n">
        <f aca="false">IF($A19="","",IFERROR((Z19-AA19)*10000,""))</f>
        <v>333.951634723413</v>
      </c>
      <c r="AC19" s="50" t="n">
        <f aca="false">IF($A19="","",IFERROR((SUMIFS(Raw_Q!$J$2:$J$600,Raw_Q!$A$2:$A$600,$A19,Raw_Q!$P$2:$P$600,1)/SUMIFS(Raw_Q!$I$2:$I$600,Raw_Q!$A$2:$A$600,$A19,Raw_Q!$P$2:$P$600,1)-SUMIFS(Raw_Q!$J$2:$J$600,Raw_Q!$A$2:$A$600,$A19,Raw_Q!$P$2:$P$600,5)/SUMIFS(Raw_Q!$I$2:$I$600,Raw_Q!$A$2:$A$600,$A19,Raw_Q!$P$2:$P$600,5))*10000,""))</f>
        <v>-251.081625039142</v>
      </c>
      <c r="AD19" s="51" t="n">
        <f aca="false">IF($A19="","",IFERROR(SUMIFS(Raw_Q!$M$2:$M$600,Raw_Q!$A$2:$A$600,$A19,Raw_Q!$P$2:$P$600,1)/SUMIFS(Raw_Q!$L$2:$L$600,Raw_Q!$A$2:$A$600,$A19,Raw_Q!$P$2:$P$600,1),""))</f>
        <v>25.8727782974743</v>
      </c>
      <c r="AE19" s="48" t="n">
        <f aca="false">IF($A19="","",IFERROR(SUMPRODUCT((Raw_Q!$A$2:$A$600=$A19)*(Raw_Q!$P$2:$P$600&gt;=1)*(Raw_Q!$P$2:$P$600&lt;=4)*Raw_Q!$K$2:$K$600*Raw_Q!$L$2:$L$600),""))</f>
        <v>12213.79</v>
      </c>
      <c r="AF19" s="49" t="n">
        <f aca="false">IF($A19="","",IFERROR(IF(MIN(SUMIFS(Raw_Q!$M$2:$M$600,Raw_Q!$A$2:$A$600,$A19,Raw_Q!$P$2:$P$600,1),SUMIFS(Raw_Q!$M$2:$M$600,Raw_Q!$A$2:$A$600,$A19,Raw_Q!$P$2:$P$600,5))&lt;=0,"N/M",AE19/((SUMIFS(Raw_Q!$M$2:$M$600,Raw_Q!$A$2:$A$600,$A19,Raw_Q!$P$2:$P$600,1)+SUMIFS(Raw_Q!$M$2:$M$600,Raw_Q!$A$2:$A$600,$A19,Raw_Q!$P$2:$P$600,5))/2)),"N/M"))</f>
        <v>0.445214427615871</v>
      </c>
      <c r="AG19" s="49" t="n">
        <f aca="false">IF($A19="","",IFERROR(AVERAGE(AO19:AS19),""))</f>
        <v>0.469030966181663</v>
      </c>
      <c r="AH19" s="49" t="n">
        <f aca="false">IF($A19="","",IFERROR(IF(AD19&lt;=0,"N/M",INDEX(Raw_Est!$B$2:$B$100,MATCH($A19,Raw_Est!$A$2:$A$100,0))/AD19),"N/M"))</f>
        <v>0.405222039916118</v>
      </c>
      <c r="AI19" s="51" t="n">
        <f aca="false">IF($A19="","",IFERROR(SUMIFS(Raw_Q!$K$2:$K$600,Raw_Q!$A$2:$A$600,$A19,Raw_Q!$P$2:$P$600,0),""))</f>
        <v>2.1566</v>
      </c>
      <c r="AJ19" s="66" t="str">
        <f aca="false">IF($A19="","",IFERROR(INDEX(Raw_Q!$B$2:$B$600,MATCH($A19&amp;"|"&amp;0,Raw_Q!$Q$2:$Q$600,0)),""))</f>
        <v>FY2026Q4E</v>
      </c>
      <c r="AK19" s="66" t="str">
        <f aca="false">IF($A19="","",IFERROR(INDEX(Raw_Q!$G$2:$G$600,MATCH($A19&amp;"|"&amp;0,Raw_Q!$Q$2:$Q$600,0)),""))</f>
        <v>consensus</v>
      </c>
      <c r="AL19" s="47" t="n">
        <f aca="false">IF($A19="","",IFERROR(INDEX(Raw_Est!$E$2:$E$100,MATCH($A19,Raw_Est!$A$2:$A$100,0)),""))</f>
        <v>26</v>
      </c>
      <c r="AM19" s="67" t="n">
        <f aca="false">IF($A19="","",IFERROR(INDEX(Raw_Price!$D$2:$D$100,MATCH($A19,Raw_Price!$A$2:$A$100,0)),""))</f>
        <v>46324</v>
      </c>
      <c r="AN19" s="67" t="n">
        <f aca="false">IF($A19="","",IFERROR(INDEX(Raw_Price!$E$2:$E$100,MATCH($A19,Raw_Price!$A$2:$A$100,0)),""))</f>
        <v>46280</v>
      </c>
      <c r="AO19" s="49" t="n">
        <f aca="false">IF($A19="","",IFERROR(IF(MIN(SUMIFS(Raw_Q!$M$2:$M$600,Raw_Q!$A$2:$A$600,$A19,Raw_Q!$P$2:$P$600,1),SUMIFS(Raw_Q!$M$2:$M$600,Raw_Q!$A$2:$A$600,$A19,Raw_Q!$P$2:$P$600,5))&lt;=0,"",SUMPRODUCT((Raw_Q!$A$2:$A$600=$A19)*(Raw_Q!$P$2:$P$600&gt;=1)*(Raw_Q!$P$2:$P$600&lt;=4)*Raw_Q!$K$2:$K$600*Raw_Q!$L$2:$L$600)/((SUMIFS(Raw_Q!$M$2:$M$600,Raw_Q!$A$2:$A$600,$A19,Raw_Q!$P$2:$P$600,1)+SUMIFS(Raw_Q!$M$2:$M$600,Raw_Q!$A$2:$A$600,$A19,Raw_Q!$P$2:$P$600,5))/2)),""))</f>
        <v>0.445214427615871</v>
      </c>
      <c r="AP19" s="49" t="n">
        <f aca="false">IF($A19="","",IFERROR(IF(MIN(SUMIFS(Raw_Q!$M$2:$M$600,Raw_Q!$A$2:$A$600,$A19,Raw_Q!$P$2:$P$600,5),SUMIFS(Raw_Q!$M$2:$M$600,Raw_Q!$A$2:$A$600,$A19,Raw_Q!$P$2:$P$600,9))&lt;=0,"",SUMPRODUCT((Raw_Q!$A$2:$A$600=$A19)*(Raw_Q!$P$2:$P$600&gt;=5)*(Raw_Q!$P$2:$P$600&lt;=8)*Raw_Q!$K$2:$K$600*Raw_Q!$L$2:$L$600)/((SUMIFS(Raw_Q!$M$2:$M$600,Raw_Q!$A$2:$A$600,$A19,Raw_Q!$P$2:$P$600,5)+SUMIFS(Raw_Q!$M$2:$M$600,Raw_Q!$A$2:$A$600,$A19,Raw_Q!$P$2:$P$600,9))/2)),""))</f>
        <v>0.387362902137667</v>
      </c>
      <c r="AQ19" s="49" t="n">
        <f aca="false">IF($A19="","",IFERROR(IF(MIN(SUMIFS(Raw_Q!$M$2:$M$600,Raw_Q!$A$2:$A$600,$A19,Raw_Q!$P$2:$P$600,9),SUMIFS(Raw_Q!$M$2:$M$600,Raw_Q!$A$2:$A$600,$A19,Raw_Q!$P$2:$P$600,13))&lt;=0,"",SUMPRODUCT((Raw_Q!$A$2:$A$600=$A19)*(Raw_Q!$P$2:$P$600&gt;=9)*(Raw_Q!$P$2:$P$600&lt;=12)*Raw_Q!$K$2:$K$600*Raw_Q!$L$2:$L$600)/((SUMIFS(Raw_Q!$M$2:$M$600,Raw_Q!$A$2:$A$600,$A19,Raw_Q!$P$2:$P$600,9)+SUMIFS(Raw_Q!$M$2:$M$600,Raw_Q!$A$2:$A$600,$A19,Raw_Q!$P$2:$P$600,13))/2)),""))</f>
        <v>0.236800617556242</v>
      </c>
      <c r="AR19" s="49" t="n">
        <f aca="false">IF($A19="","",IFERROR(IF(MIN(SUMIFS(Raw_Q!$M$2:$M$600,Raw_Q!$A$2:$A$600,$A19,Raw_Q!$P$2:$P$600,13),SUMIFS(Raw_Q!$M$2:$M$600,Raw_Q!$A$2:$A$600,$A19,Raw_Q!$P$2:$P$600,17))&lt;=0,"",SUMPRODUCT((Raw_Q!$A$2:$A$600=$A19)*(Raw_Q!$P$2:$P$600&gt;=13)*(Raw_Q!$P$2:$P$600&lt;=16)*Raw_Q!$K$2:$K$600*Raw_Q!$L$2:$L$600)/((SUMIFS(Raw_Q!$M$2:$M$600,Raw_Q!$A$2:$A$600,$A19,Raw_Q!$P$2:$P$600,13)+SUMIFS(Raw_Q!$M$2:$M$600,Raw_Q!$A$2:$A$600,$A19,Raw_Q!$P$2:$P$600,17))/2)),""))</f>
        <v>0.392003921782232</v>
      </c>
      <c r="AS19" s="49" t="n">
        <f aca="false">IF($A19="","",IFERROR(IF(MIN(SUMIFS(Raw_Q!$M$2:$M$600,Raw_Q!$A$2:$A$600,$A19,Raw_Q!$P$2:$P$600,17),SUMIFS(Raw_Q!$M$2:$M$600,Raw_Q!$A$2:$A$600,$A19,Raw_Q!$P$2:$P$600,21))&lt;=0,"",SUMPRODUCT((Raw_Q!$A$2:$A$600=$A19)*(Raw_Q!$P$2:$P$600&gt;=17)*(Raw_Q!$P$2:$P$600&lt;=20)*Raw_Q!$K$2:$K$600*Raw_Q!$L$2:$L$600)/((SUMIFS(Raw_Q!$M$2:$M$600,Raw_Q!$A$2:$A$600,$A19,Raw_Q!$P$2:$P$600,17)+SUMIFS(Raw_Q!$M$2:$M$600,Raw_Q!$A$2:$A$600,$A19,Raw_Q!$P$2:$P$600,21))/2)),""))</f>
        <v>0.883772961816306</v>
      </c>
    </row>
    <row r="20" customFormat="false" ht="15" hidden="false" customHeight="false" outlineLevel="0" collapsed="false">
      <c r="A20" s="16" t="str">
        <f aca="false">IF(Tickers!A20="","",Tickers!A20)</f>
        <v>AVGO</v>
      </c>
      <c r="B20" s="66" t="str">
        <f aca="false">IF($A20="","",IFERROR(INDEX(Tickers!$B$2:$B$100,MATCH($A20,Tickers!$A$2:$A$100,0)),""))</f>
        <v>Broadcom Inc.</v>
      </c>
      <c r="C20" s="66" t="str">
        <f aca="false">IF($A20="","",IFERROR(INDEX(Tickers!$D$2:$D$100,MATCH($A20,Tickers!$A$2:$A$100,0)),""))</f>
        <v>池子</v>
      </c>
      <c r="D20" s="51" t="n">
        <f aca="false">IF($A20="","",IFERROR(INDEX(Raw_Price!$B$2:$B$100,MATCH($A20,Raw_Price!$A$2:$A$100,0)),""))</f>
        <v>341.700012207031</v>
      </c>
      <c r="E20" s="48" t="n">
        <f aca="false">IF($A20="","",IFERROR(SUMIFS(Raw_Q!$I$2:$I$600,Raw_Q!$A$2:$A$600,$A20,Raw_Q!$P$2:$P$600,"&gt;=1",Raw_Q!$P$2:$P$600,"&lt;=4"),""))</f>
        <v>89104</v>
      </c>
      <c r="F20" s="51" t="n">
        <f aca="false">IF($A20="","",IFERROR(SUMIFS(Raw_Q!$K$2:$K$600,Raw_Q!$A$2:$A$600,$A20,Raw_Q!$P$2:$P$600,"&gt;=1",Raw_Q!$P$2:$P$600,"&lt;=4"),""))</f>
        <v>6.44</v>
      </c>
      <c r="G20" s="51" t="n">
        <f aca="false">IF($A20="","",IFERROR(SUMIFS(Raw_Q!$K$2:$K$600,Raw_Q!$A$2:$A$600,$A20,Raw_Q!$P$2:$P$600,"&gt;=0",Raw_Q!$P$2:$P$600,"&lt;=3"),""))</f>
        <v>8.31578</v>
      </c>
      <c r="H20" s="51" t="n">
        <f aca="true">IF($A20="","",IFERROR(INDEX(Raw_Est!$B$2:$B$100,MATCH($A20,Raw_Est!$A$2:$A$100,0))*MIN(1,MAX(0,(INDEX(Raw_Est!$D$2:$D$100,MATCH($A20,Raw_Est!$A$2:$A$100,0))-TODAY())/Config!$B$8))+INDEX(Raw_Est!$C$2:$C$100,MATCH($A20,Raw_Est!$A$2:$A$100,0))*(1-MIN(1,MAX(0,(INDEX(Raw_Est!$D$2:$D$100,MATCH($A20,Raw_Est!$A$2:$A$100,0))-TODAY())/Config!$B$8))),""))</f>
        <v>18.4101908219178</v>
      </c>
      <c r="I20" s="49" t="n">
        <f aca="false">IF($A20="","",IFERROR(SUMIFS(Raw_Q!$K$2:$K$600,Raw_Q!$A$2:$A$600,$A20,Raw_Q!$P$2:$P$600,"&gt;=1",Raw_Q!$P$2:$P$600,"&lt;=4")/SUMIFS(Raw_Q!$K$2:$K$600,Raw_Q!$A$2:$A$600,$A20,Raw_Q!$P$2:$P$600,"&gt;=5",Raw_Q!$P$2:$P$600,"&lt;=8")-1,""))</f>
        <v>0.0238473767885532</v>
      </c>
      <c r="J20" s="52" t="n">
        <f aca="false">IF($A20="","",IFERROR(IF(F20&lt;=0,"N/M",D20/F20),"N/M"))</f>
        <v>53.0590081066819</v>
      </c>
      <c r="K20" s="52" t="n">
        <f aca="false">IF($A20="","",IFERROR(IF(G20&lt;=0,"N/M",D20/G20),"N/M"))</f>
        <v>41.0905546090723</v>
      </c>
      <c r="L20" s="52" t="n">
        <f aca="false">IF($A20="","",IFERROR(IF(H20&lt;=0,"N/M",D20/H20),"N/M"))</f>
        <v>18.5603731928856</v>
      </c>
      <c r="M20" s="49" t="n">
        <f aca="false">IF($A20="","",IFERROR(INDEX(Raw_Est!$C$2:$C$100,MATCH($A20,Raw_Est!$A$2:$A$100,0))/INDEX(Raw_Est!$B$2:$B$100,MATCH($A20,Raw_Est!$A$2:$A$100,0))-1,""))</f>
        <v>0.662761651995341</v>
      </c>
      <c r="N20" s="51" t="str">
        <f aca="false">IF($A20="","",IFERROR(IF(OR(NOT(ISNUMBER(J20)),I20&lt;Config!$B$6),"N/M",J20/(I20*100)),"N/M"))</f>
        <v>N/M</v>
      </c>
      <c r="O20" s="51" t="n">
        <f aca="false">IF($A20="","",IFERROR(IF(OR(NOT(ISNUMBER(L20)),M20&lt;Config!$B$6),"N/M",L20/(M20*100)),"N/M"))</f>
        <v>0.280045973345121</v>
      </c>
      <c r="P20" s="51" t="n">
        <f aca="false">IF($A20="","",IFERROR(SUMIFS(Raw_Q!$N$2:$N$600,Raw_Q!$A$2:$A$600,$A20,Raw_Q!$P$2:$P$600,"&gt;=1",Raw_Q!$P$2:$P$600,"&lt;=4"),""))</f>
        <v>2.54</v>
      </c>
      <c r="Q20" s="49" t="n">
        <f aca="false">IF($A20="","",IFERROR(IF(P20=0,"不配息",P20/D20),""))</f>
        <v>0.00743342086409131</v>
      </c>
      <c r="R20" s="49" t="n">
        <f aca="false">IF($A20="","",IFERROR(IF(SUMIFS(Raw_Q!$N$2:$N$600,Raw_Q!$A$2:$A$600,$A20,Raw_Q!$P$2:$P$600,"&gt;=5",Raw_Q!$P$2:$P$600,"&lt;=8")=0,"",SUMIFS(Raw_Q!$N$2:$N$600,Raw_Q!$A$2:$A$600,$A20,Raw_Q!$P$2:$P$600,"&gt;=1",Raw_Q!$P$2:$P$600,"&lt;=4")/SUMIFS(Raw_Q!$N$2:$N$600,Raw_Q!$A$2:$A$600,$A20,Raw_Q!$P$2:$P$600,"&gt;=5",Raw_Q!$P$2:$P$600,"&lt;=8")-1),""))</f>
        <v>0.104347826086957</v>
      </c>
      <c r="S20" s="49" t="n">
        <f aca="false">IF($A20="","",IFERROR(SUMIFS(Raw_Q!$I$2:$I$600,Raw_Q!$A$2:$A$600,$A20,Raw_Q!$P$2:$P$600,1)/SUMIFS(Raw_Q!$I$2:$I$600,Raw_Q!$A$2:$A$600,$A20,Raw_Q!$P$2:$P$600,5)-1,""))</f>
        <v>0.855002507522568</v>
      </c>
      <c r="T20" s="49" t="n">
        <f aca="false">IF($A20="","",IFERROR(SUMIFS(Raw_Q!$I$2:$I$600,Raw_Q!$A$2:$A$600,$A20,Raw_Q!$P$2:$P$600,1)/SUMIFS(Raw_Q!$I$2:$I$600,Raw_Q!$A$2:$A$600,$A20,Raw_Q!$P$2:$P$600,2)-1,""))</f>
        <v>0.333708928651913</v>
      </c>
      <c r="U20" s="49" t="n">
        <f aca="false">IF($A20="","",IFERROR(SUMIFS(Raw_Q!$I$2:$I$600,Raw_Q!$A$2:$A$600,$A20,Raw_Q!$P$2:$P$600,2)/SUMIFS(Raw_Q!$I$2:$I$600,Raw_Q!$A$2:$A$600,$A20,Raw_Q!$P$2:$P$600,3)-1,""))</f>
        <v>0.148930661281135</v>
      </c>
      <c r="V20" s="68" t="n">
        <f aca="false">IF($A20="","",IFERROR((T20-U20)*100,""))</f>
        <v>18.4778267370778</v>
      </c>
      <c r="W20" s="66" t="str">
        <f aca="false">IF($A20="","",IFERROR(IF(NOT(ISNUMBER(T20)),"",IF(T20&gt;0,IF(V20&gt;0,"成長且加速","成長但減速"),IF(V20&gt;0,"衰退但收斂","衰退且惡化"))),""))</f>
        <v>成長且加速</v>
      </c>
      <c r="X20" s="68" t="n">
        <f aca="false">IF($A20="","",IFERROR((T20-(SUMIFS(Raw_Q!$I$2:$I$600,Raw_Q!$A$2:$A$600,$A20,Raw_Q!$P$2:$P$600,5)/SUMIFS(Raw_Q!$I$2:$I$600,Raw_Q!$A$2:$A$600,$A20,Raw_Q!$P$2:$P$600,6)-1))*100,""))</f>
        <v>27.0525777492223</v>
      </c>
      <c r="Y20" s="49" t="n">
        <f aca="false">IF($A20="","",IFERROR(SUMIFS(Raw_Q!$K$2:$K$600,Raw_Q!$A$2:$A$600,$A20,Raw_Q!$P$2:$P$600,1)/SUMIFS(Raw_Q!$K$2:$K$600,Raw_Q!$A$2:$A$600,$A20,Raw_Q!$P$2:$P$600,5)-1,""))</f>
        <v>-1</v>
      </c>
      <c r="Z20" s="49" t="n">
        <f aca="false">IF($A20="","",IFERROR(SUMIFS(Raw_Q!$J$2:$J$600,Raw_Q!$A$2:$A$600,$A20,Raw_Q!$P$2:$P$600,"&gt;=1",Raw_Q!$P$2:$P$600,"&lt;=4")/E20,""))</f>
        <v>0.687702011133058</v>
      </c>
      <c r="AA20" s="49" t="n">
        <f aca="false">IF($A20="","",IFERROR(SUMIFS(Raw_Q!$J$2:$J$600,Raw_Q!$A$2:$A$600,$A20,Raw_Q!$P$2:$P$600,"&gt;=1",Raw_Q!$P$2:$P$600,"&lt;="&amp;Config!$B$5)/SUMIFS(Raw_Q!$I$2:$I$600,Raw_Q!$A$2:$A$600,$A20,Raw_Q!$P$2:$P$600,"&gt;=1",Raw_Q!$P$2:$P$600,"&lt;="&amp;Config!$B$5),""))</f>
        <v>0.670220816110792</v>
      </c>
      <c r="AB20" s="50" t="n">
        <f aca="false">IF($A20="","",IFERROR((Z20-AA20)*10000,""))</f>
        <v>174.811950222659</v>
      </c>
      <c r="AC20" s="50" t="n">
        <f aca="false">IF($A20="","",IFERROR((SUMIFS(Raw_Q!$J$2:$J$600,Raw_Q!$A$2:$A$600,$A20,Raw_Q!$P$2:$P$600,1)/SUMIFS(Raw_Q!$I$2:$I$600,Raw_Q!$A$2:$A$600,$A20,Raw_Q!$P$2:$P$600,1)-SUMIFS(Raw_Q!$J$2:$J$600,Raw_Q!$A$2:$A$600,$A20,Raw_Q!$P$2:$P$600,5)/SUMIFS(Raw_Q!$I$2:$I$600,Raw_Q!$A$2:$A$600,$A20,Raw_Q!$P$2:$P$600,5))*10000,""))</f>
        <v>203.409199413996</v>
      </c>
      <c r="AD20" s="51" t="n">
        <f aca="false">IF($A20="","",IFERROR(SUMIFS(Raw_Q!$M$2:$M$600,Raw_Q!$A$2:$A$600,$A20,Raw_Q!$P$2:$P$600,1)/SUMIFS(Raw_Q!$L$2:$L$600,Raw_Q!$A$2:$A$600,$A20,Raw_Q!$P$2:$P$600,1),""))</f>
        <v>20.3990178023327</v>
      </c>
      <c r="AE20" s="48" t="n">
        <f aca="false">IF($A20="","",IFERROR(SUMPRODUCT((Raw_Q!$A$2:$A$600=$A20)*(Raw_Q!$P$2:$P$600&gt;=1)*(Raw_Q!$P$2:$P$600&lt;=4)*Raw_Q!$K$2:$K$600*Raw_Q!$L$2:$L$600),""))</f>
        <v>31451.39</v>
      </c>
      <c r="AF20" s="49" t="n">
        <f aca="false">IF($A20="","",IFERROR(IF(MIN(SUMIFS(Raw_Q!$M$2:$M$600,Raw_Q!$A$2:$A$600,$A20,Raw_Q!$P$2:$P$600,1),SUMIFS(Raw_Q!$M$2:$M$600,Raw_Q!$A$2:$A$600,$A20,Raw_Q!$P$2:$P$600,5))&lt;=0,"N/M",AE20/((SUMIFS(Raw_Q!$M$2:$M$600,Raw_Q!$A$2:$A$600,$A20,Raw_Q!$P$2:$P$600,1)+SUMIFS(Raw_Q!$M$2:$M$600,Raw_Q!$A$2:$A$600,$A20,Raw_Q!$P$2:$P$600,5))/2)),"N/M"))</f>
        <v>0.363669254828956</v>
      </c>
      <c r="AG20" s="49" t="n">
        <f aca="false">IF($A20="","",IFERROR(AVERAGE(AO20:AS20),""))</f>
        <v>0.253857394237319</v>
      </c>
      <c r="AH20" s="49" t="n">
        <f aca="false">IF($A20="","",IFERROR(IF(AD20&lt;=0,"N/M",INDEX(Raw_Est!$B$2:$B$100,MATCH($A20,Raw_Est!$A$2:$A$100,0))/AD20),"N/M"))</f>
        <v>0.571481436653626</v>
      </c>
      <c r="AI20" s="51" t="n">
        <f aca="false">IF($A20="","",IFERROR(SUMIFS(Raw_Q!$K$2:$K$600,Raw_Q!$A$2:$A$600,$A20,Raw_Q!$P$2:$P$600,0),""))</f>
        <v>3.82578</v>
      </c>
      <c r="AJ20" s="66" t="str">
        <f aca="false">IF($A20="","",IFERROR(INDEX(Raw_Q!$B$2:$B$600,MATCH($A20&amp;"|"&amp;0,Raw_Q!$Q$2:$Q$600,0)),""))</f>
        <v>FY2026Q4E</v>
      </c>
      <c r="AK20" s="66" t="str">
        <f aca="false">IF($A20="","",IFERROR(INDEX(Raw_Q!$G$2:$G$600,MATCH($A20&amp;"|"&amp;0,Raw_Q!$Q$2:$Q$600,0)),""))</f>
        <v>consensus</v>
      </c>
      <c r="AL20" s="47" t="n">
        <f aca="false">IF($A20="","",IFERROR(INDEX(Raw_Est!$E$2:$E$100,MATCH($A20,Raw_Est!$A$2:$A$100,0)),""))</f>
        <v>39</v>
      </c>
      <c r="AM20" s="67" t="n">
        <f aca="false">IF($A20="","",IFERROR(INDEX(Raw_Price!$D$2:$D$100,MATCH($A20,Raw_Price!$A$2:$A$100,0)),""))</f>
        <v>46365</v>
      </c>
      <c r="AN20" s="67" t="n">
        <f aca="false">IF($A20="","",IFERROR(INDEX(Raw_Price!$E$2:$E$100,MATCH($A20,Raw_Price!$A$2:$A$100,0)),""))</f>
        <v>46280</v>
      </c>
      <c r="AO20" s="49" t="n">
        <f aca="false">IF($A20="","",IFERROR(IF(MIN(SUMIFS(Raw_Q!$M$2:$M$600,Raw_Q!$A$2:$A$600,$A20,Raw_Q!$P$2:$P$600,1),SUMIFS(Raw_Q!$M$2:$M$600,Raw_Q!$A$2:$A$600,$A20,Raw_Q!$P$2:$P$600,5))&lt;=0,"",SUMPRODUCT((Raw_Q!$A$2:$A$600=$A20)*(Raw_Q!$P$2:$P$600&gt;=1)*(Raw_Q!$P$2:$P$600&lt;=4)*Raw_Q!$K$2:$K$600*Raw_Q!$L$2:$L$600)/((SUMIFS(Raw_Q!$M$2:$M$600,Raw_Q!$A$2:$A$600,$A20,Raw_Q!$P$2:$P$600,1)+SUMIFS(Raw_Q!$M$2:$M$600,Raw_Q!$A$2:$A$600,$A20,Raw_Q!$P$2:$P$600,5))/2)),""))</f>
        <v>0.363669254828956</v>
      </c>
      <c r="AP20" s="49" t="n">
        <f aca="false">IF($A20="","",IFERROR(IF(MIN(SUMIFS(Raw_Q!$M$2:$M$600,Raw_Q!$A$2:$A$600,$A20,Raw_Q!$P$2:$P$600,5),SUMIFS(Raw_Q!$M$2:$M$600,Raw_Q!$A$2:$A$600,$A20,Raw_Q!$P$2:$P$600,9))&lt;=0,"",SUMPRODUCT((Raw_Q!$A$2:$A$600=$A20)*(Raw_Q!$P$2:$P$600&gt;=5)*(Raw_Q!$P$2:$P$600&lt;=8)*Raw_Q!$K$2:$K$600*Raw_Q!$L$2:$L$600)/((SUMIFS(Raw_Q!$M$2:$M$600,Raw_Q!$A$2:$A$600,$A20,Raw_Q!$P$2:$P$600,5)+SUMIFS(Raw_Q!$M$2:$M$600,Raw_Q!$A$2:$A$600,$A20,Raw_Q!$P$2:$P$600,9))/2)),""))</f>
        <v>0.339099821490268</v>
      </c>
      <c r="AQ20" s="49" t="n">
        <f aca="false">IF($A20="","",IFERROR(IF(MIN(SUMIFS(Raw_Q!$M$2:$M$600,Raw_Q!$A$2:$A$600,$A20,Raw_Q!$P$2:$P$600,9),SUMIFS(Raw_Q!$M$2:$M$600,Raw_Q!$A$2:$A$600,$A20,Raw_Q!$P$2:$P$600,13))&lt;=0,"",SUMPRODUCT((Raw_Q!$A$2:$A$600=$A20)*(Raw_Q!$P$2:$P$600&gt;=9)*(Raw_Q!$P$2:$P$600&lt;=12)*Raw_Q!$K$2:$K$600*Raw_Q!$L$2:$L$600)/((SUMIFS(Raw_Q!$M$2:$M$600,Raw_Q!$A$2:$A$600,$A20,Raw_Q!$P$2:$P$600,9)+SUMIFS(Raw_Q!$M$2:$M$600,Raw_Q!$A$2:$A$600,$A20,Raw_Q!$P$2:$P$600,13))/2)),""))</f>
        <v>0.26552513393366</v>
      </c>
      <c r="AR20" s="49" t="n">
        <f aca="false">IF($A20="","",IFERROR(IF(MIN(SUMIFS(Raw_Q!$M$2:$M$600,Raw_Q!$A$2:$A$600,$A20,Raw_Q!$P$2:$P$600,13),SUMIFS(Raw_Q!$M$2:$M$600,Raw_Q!$A$2:$A$600,$A20,Raw_Q!$P$2:$P$600,17))&lt;=0,"",SUMPRODUCT((Raw_Q!$A$2:$A$600=$A20)*(Raw_Q!$P$2:$P$600&gt;=13)*(Raw_Q!$P$2:$P$600&lt;=16)*Raw_Q!$K$2:$K$600*Raw_Q!$L$2:$L$600)/((SUMIFS(Raw_Q!$M$2:$M$600,Raw_Q!$A$2:$A$600,$A20,Raw_Q!$P$2:$P$600,13)+SUMIFS(Raw_Q!$M$2:$M$600,Raw_Q!$A$2:$A$600,$A20,Raw_Q!$P$2:$P$600,17))/2)),""))</f>
        <v>0.249598901865897</v>
      </c>
      <c r="AS20" s="49" t="n">
        <f aca="false">IF($A20="","",IFERROR(IF(MIN(SUMIFS(Raw_Q!$M$2:$M$600,Raw_Q!$A$2:$A$600,$A20,Raw_Q!$P$2:$P$600,17),SUMIFS(Raw_Q!$M$2:$M$600,Raw_Q!$A$2:$A$600,$A20,Raw_Q!$P$2:$P$600,21))&lt;=0,"",SUMPRODUCT((Raw_Q!$A$2:$A$600=$A20)*(Raw_Q!$P$2:$P$600&gt;=17)*(Raw_Q!$P$2:$P$600&lt;=20)*Raw_Q!$K$2:$K$600*Raw_Q!$L$2:$L$600)/((SUMIFS(Raw_Q!$M$2:$M$600,Raw_Q!$A$2:$A$600,$A20,Raw_Q!$P$2:$P$600,17)+SUMIFS(Raw_Q!$M$2:$M$600,Raw_Q!$A$2:$A$600,$A20,Raw_Q!$P$2:$P$600,21))/2)),""))</f>
        <v>0.0513938590678153</v>
      </c>
    </row>
    <row r="21" customFormat="false" ht="15" hidden="false" customHeight="false" outlineLevel="0" collapsed="false">
      <c r="A21" s="16" t="str">
        <f aca="false">IF(Tickers!A21="","",Tickers!A21)</f>
        <v>FTNT</v>
      </c>
      <c r="B21" s="66" t="str">
        <f aca="false">IF($A21="","",IFERROR(INDEX(Tickers!$B$2:$B$100,MATCH($A21,Tickers!$A$2:$A$100,0)),""))</f>
        <v>Fortinet, Inc.</v>
      </c>
      <c r="C21" s="66" t="str">
        <f aca="false">IF($A21="","",IFERROR(INDEX(Tickers!$D$2:$D$100,MATCH($A21,Tickers!$A$2:$A$100,0)),""))</f>
        <v>池子</v>
      </c>
      <c r="D21" s="51" t="n">
        <f aca="false">IF($A21="","",IFERROR(INDEX(Raw_Price!$B$2:$B$100,MATCH($A21,Raw_Price!$A$2:$A$100,0)),""))</f>
        <v>170.179992675781</v>
      </c>
      <c r="E21" s="48" t="n">
        <f aca="false">IF($A21="","",IFERROR(SUMIFS(Raw_Q!$I$2:$I$600,Raw_Q!$A$2:$A$600,$A21,Raw_Q!$P$2:$P$600,"&gt;=1",Raw_Q!$P$2:$P$600,"&lt;=4"),""))</f>
        <v>7527.4</v>
      </c>
      <c r="F21" s="51" t="n">
        <f aca="false">IF($A21="","",IFERROR(SUMIFS(Raw_Q!$K$2:$K$600,Raw_Q!$A$2:$A$600,$A21,Raw_Q!$P$2:$P$600,"&gt;=1",Raw_Q!$P$2:$P$600,"&lt;=4"),""))</f>
        <v>3.27</v>
      </c>
      <c r="G21" s="51" t="n">
        <f aca="false">IF($A21="","",IFERROR(SUMIFS(Raw_Q!$K$2:$K$600,Raw_Q!$A$2:$A$600,$A21,Raw_Q!$P$2:$P$600,"&gt;=0",Raw_Q!$P$2:$P$600,"&lt;=3"),""))</f>
        <v>3.38724</v>
      </c>
      <c r="H21" s="51" t="n">
        <f aca="true">IF($A21="","",IFERROR(INDEX(Raw_Est!$B$2:$B$100,MATCH($A21,Raw_Est!$A$2:$A$100,0))*MIN(1,MAX(0,(INDEX(Raw_Est!$D$2:$D$100,MATCH($A21,Raw_Est!$A$2:$A$100,0))-TODAY())/Config!$B$8))+INDEX(Raw_Est!$C$2:$C$100,MATCH($A21,Raw_Est!$A$2:$A$100,0))*(1-MIN(1,MAX(0,(INDEX(Raw_Est!$D$2:$D$100,MATCH($A21,Raw_Est!$A$2:$A$100,0))-TODAY())/Config!$B$8))),""))</f>
        <v>3.68170745205479</v>
      </c>
      <c r="I21" s="49" t="n">
        <f aca="false">IF($A21="","",IFERROR(SUMIFS(Raw_Q!$K$2:$K$600,Raw_Q!$A$2:$A$600,$A21,Raw_Q!$P$2:$P$600,"&gt;=1",Raw_Q!$P$2:$P$600,"&lt;=4")/SUMIFS(Raw_Q!$K$2:$K$600,Raw_Q!$A$2:$A$600,$A21,Raw_Q!$P$2:$P$600,"&gt;=5",Raw_Q!$P$2:$P$600,"&lt;=8")-1,""))</f>
        <v>0.262548262548263</v>
      </c>
      <c r="J21" s="52" t="n">
        <f aca="false">IF($A21="","",IFERROR(IF(F21&lt;=0,"N/M",D21/F21),"N/M"))</f>
        <v>52.0428112158352</v>
      </c>
      <c r="K21" s="52" t="n">
        <f aca="false">IF($A21="","",IFERROR(IF(G21&lt;=0,"N/M",D21/G21),"N/M"))</f>
        <v>50.2414923878382</v>
      </c>
      <c r="L21" s="52" t="n">
        <f aca="false">IF($A21="","",IFERROR(IF(H21&lt;=0,"N/M",D21/H21),"N/M"))</f>
        <v>46.2231165544677</v>
      </c>
      <c r="M21" s="49" t="n">
        <f aca="false">IF($A21="","",IFERROR(INDEX(Raw_Est!$C$2:$C$100,MATCH($A21,Raw_Est!$A$2:$A$100,0))/INDEX(Raw_Est!$B$2:$B$100,MATCH($A21,Raw_Est!$A$2:$A$100,0))-1,""))</f>
        <v>0.0949804062514492</v>
      </c>
      <c r="N21" s="51" t="n">
        <f aca="false">IF($A21="","",IFERROR(IF(OR(NOT(ISNUMBER(J21)),I21&lt;Config!$B$6),"N/M",J21/(I21*100)),"N/M"))</f>
        <v>1.98221883895608</v>
      </c>
      <c r="O21" s="51" t="n">
        <f aca="false">IF($A21="","",IFERROR(IF(OR(NOT(ISNUMBER(L21)),M21&lt;Config!$B$6),"N/M",L21/(M21*100)),"N/M"))</f>
        <v>4.86659495139425</v>
      </c>
      <c r="P21" s="51" t="n">
        <f aca="false">IF($A21="","",IFERROR(SUMIFS(Raw_Q!$N$2:$N$600,Raw_Q!$A$2:$A$600,$A21,Raw_Q!$P$2:$P$600,"&gt;=1",Raw_Q!$P$2:$P$600,"&lt;=4"),""))</f>
        <v>0</v>
      </c>
      <c r="Q21" s="49" t="str">
        <f aca="false">IF($A21="","",IFERROR(IF(P21=0,"不配息",P21/D21),""))</f>
        <v>不配息</v>
      </c>
      <c r="R21" s="49" t="str">
        <f aca="false">IF($A21="","",IFERROR(IF(SUMIFS(Raw_Q!$N$2:$N$600,Raw_Q!$A$2:$A$600,$A21,Raw_Q!$P$2:$P$600,"&gt;=5",Raw_Q!$P$2:$P$600,"&lt;=8")=0,"",SUMIFS(Raw_Q!$N$2:$N$600,Raw_Q!$A$2:$A$600,$A21,Raw_Q!$P$2:$P$600,"&gt;=1",Raw_Q!$P$2:$P$600,"&lt;=4")/SUMIFS(Raw_Q!$N$2:$N$600,Raw_Q!$A$2:$A$600,$A21,Raw_Q!$P$2:$P$600,"&gt;=5",Raw_Q!$P$2:$P$600,"&lt;=8")-1),""))</f>
        <v/>
      </c>
      <c r="S21" s="49" t="n">
        <f aca="false">IF($A21="","",IFERROR(SUMIFS(Raw_Q!$I$2:$I$600,Raw_Q!$A$2:$A$600,$A21,Raw_Q!$P$2:$P$600,1)/SUMIFS(Raw_Q!$I$2:$I$600,Raw_Q!$A$2:$A$600,$A21,Raw_Q!$P$2:$P$600,5)-1,""))</f>
        <v>0.25638036809816</v>
      </c>
      <c r="T21" s="49" t="n">
        <f aca="false">IF($A21="","",IFERROR(SUMIFS(Raw_Q!$I$2:$I$600,Raw_Q!$A$2:$A$600,$A21,Raw_Q!$P$2:$P$600,1)/SUMIFS(Raw_Q!$I$2:$I$600,Raw_Q!$A$2:$A$600,$A21,Raw_Q!$P$2:$P$600,2)-1,""))</f>
        <v>0.107212370242215</v>
      </c>
      <c r="U21" s="49" t="n">
        <f aca="false">IF($A21="","",IFERROR(SUMIFS(Raw_Q!$I$2:$I$600,Raw_Q!$A$2:$A$600,$A21,Raw_Q!$P$2:$P$600,2)/SUMIFS(Raw_Q!$I$2:$I$600,Raw_Q!$A$2:$A$600,$A21,Raw_Q!$P$2:$P$600,3)-1,""))</f>
        <v>-0.0290813648293964</v>
      </c>
      <c r="V21" s="68" t="n">
        <f aca="false">IF($A21="","",IFERROR((T21-U21)*100,""))</f>
        <v>13.6293735071611</v>
      </c>
      <c r="W21" s="66" t="str">
        <f aca="false">IF($A21="","",IFERROR(IF(NOT(ISNUMBER(T21)),"",IF(T21&gt;0,IF(V21&gt;0,"成長且加速","成長但減速"),IF(V21&gt;0,"衰退但收斂","衰退且惡化"))),""))</f>
        <v>成長且加速</v>
      </c>
      <c r="X21" s="68" t="n">
        <f aca="false">IF($A21="","",IFERROR((T21-(SUMIFS(Raw_Q!$I$2:$I$600,Raw_Q!$A$2:$A$600,$A21,Raw_Q!$P$2:$P$600,5)/SUMIFS(Raw_Q!$I$2:$I$600,Raw_Q!$A$2:$A$600,$A21,Raw_Q!$P$2:$P$600,6)-1))*100,""))</f>
        <v>4.85645817119813</v>
      </c>
      <c r="Y21" s="49" t="n">
        <f aca="false">IF($A21="","",IFERROR(SUMIFS(Raw_Q!$K$2:$K$600,Raw_Q!$A$2:$A$600,$A21,Raw_Q!$P$2:$P$600,1)/SUMIFS(Raw_Q!$K$2:$K$600,Raw_Q!$A$2:$A$600,$A21,Raw_Q!$P$2:$P$600,5)-1,""))</f>
        <v>0.40625</v>
      </c>
      <c r="Z21" s="49" t="n">
        <f aca="false">IF($A21="","",IFERROR(SUMIFS(Raw_Q!$J$2:$J$600,Raw_Q!$A$2:$A$600,$A21,Raw_Q!$P$2:$P$600,"&gt;=1",Raw_Q!$P$2:$P$600,"&lt;=4")/E21,""))</f>
        <v>0.802043202168079</v>
      </c>
      <c r="AA21" s="49" t="n">
        <f aca="false">IF($A21="","",IFERROR(SUMIFS(Raw_Q!$J$2:$J$600,Raw_Q!$A$2:$A$600,$A21,Raw_Q!$P$2:$P$600,"&gt;=1",Raw_Q!$P$2:$P$600,"&lt;="&amp;Config!$B$5)/SUMIFS(Raw_Q!$I$2:$I$600,Raw_Q!$A$2:$A$600,$A21,Raw_Q!$P$2:$P$600,"&gt;=1",Raw_Q!$P$2:$P$600,"&lt;="&amp;Config!$B$5),""))</f>
        <v>0.78666520125222</v>
      </c>
      <c r="AB21" s="50" t="n">
        <f aca="false">IF($A21="","",IFERROR((Z21-AA21)*10000,""))</f>
        <v>153.780009158591</v>
      </c>
      <c r="AC21" s="50" t="n">
        <f aca="false">IF($A21="","",IFERROR((SUMIFS(Raw_Q!$J$2:$J$600,Raw_Q!$A$2:$A$600,$A21,Raw_Q!$P$2:$P$600,1)/SUMIFS(Raw_Q!$I$2:$I$600,Raw_Q!$A$2:$A$600,$A21,Raw_Q!$P$2:$P$600,1)-SUMIFS(Raw_Q!$J$2:$J$600,Raw_Q!$A$2:$A$600,$A21,Raw_Q!$P$2:$P$600,5)/SUMIFS(Raw_Q!$I$2:$I$600,Raw_Q!$A$2:$A$600,$A21,Raw_Q!$P$2:$P$600,5))*10000,""))</f>
        <v>-44.2688709697225</v>
      </c>
      <c r="AD21" s="51" t="n">
        <f aca="false">IF($A21="","",IFERROR(SUMIFS(Raw_Q!$M$2:$M$600,Raw_Q!$A$2:$A$600,$A21,Raw_Q!$P$2:$P$600,1)/SUMIFS(Raw_Q!$L$2:$L$600,Raw_Q!$A$2:$A$600,$A21,Raw_Q!$P$2:$P$600,1),""))</f>
        <v>2.096364373564</v>
      </c>
      <c r="AE21" s="48" t="n">
        <f aca="false">IF($A21="","",IFERROR(SUMPRODUCT((Raw_Q!$A$2:$A$600=$A21)*(Raw_Q!$P$2:$P$600&gt;=1)*(Raw_Q!$P$2:$P$600&lt;=4)*Raw_Q!$K$2:$K$600*Raw_Q!$L$2:$L$600),""))</f>
        <v>2444.174</v>
      </c>
      <c r="AF21" s="49" t="n">
        <f aca="false">IF($A21="","",IFERROR(IF(MIN(SUMIFS(Raw_Q!$M$2:$M$600,Raw_Q!$A$2:$A$600,$A21,Raw_Q!$P$2:$P$600,1),SUMIFS(Raw_Q!$M$2:$M$600,Raw_Q!$A$2:$A$600,$A21,Raw_Q!$P$2:$P$600,5))&lt;=0,"N/M",AE21/((SUMIFS(Raw_Q!$M$2:$M$600,Raw_Q!$A$2:$A$600,$A21,Raw_Q!$P$2:$P$600,1)+SUMIFS(Raw_Q!$M$2:$M$600,Raw_Q!$A$2:$A$600,$A21,Raw_Q!$P$2:$P$600,5))/2)),"N/M"))</f>
        <v>1.35355060224284</v>
      </c>
      <c r="AG21" s="49" t="n">
        <f aca="false">IF($A21="","",IFERROR(AVERAGE(AO21:AS21),""))</f>
        <v>2.22660547172475</v>
      </c>
      <c r="AH21" s="49" t="n">
        <f aca="false">IF($A21="","",IFERROR(IF(AD21&lt;=0,"N/M",INDEX(Raw_Est!$B$2:$B$100,MATCH($A21,Raw_Est!$A$2:$A$100,0))/AD21),"N/M"))</f>
        <v>1.64574443427245</v>
      </c>
      <c r="AI21" s="51" t="n">
        <f aca="false">IF($A21="","",IFERROR(SUMIFS(Raw_Q!$K$2:$K$600,Raw_Q!$A$2:$A$600,$A21,Raw_Q!$P$2:$P$600,0),""))</f>
        <v>0.85724</v>
      </c>
      <c r="AJ21" s="66" t="str">
        <f aca="false">IF($A21="","",IFERROR(INDEX(Raw_Q!$B$2:$B$600,MATCH($A21&amp;"|"&amp;0,Raw_Q!$Q$2:$Q$600,0)),""))</f>
        <v>FY2026Q3E</v>
      </c>
      <c r="AK21" s="66" t="str">
        <f aca="false">IF($A21="","",IFERROR(INDEX(Raw_Q!$G$2:$G$600,MATCH($A21&amp;"|"&amp;0,Raw_Q!$Q$2:$Q$600,0)),""))</f>
        <v>consensus</v>
      </c>
      <c r="AL21" s="47" t="n">
        <f aca="false">IF($A21="","",IFERROR(INDEX(Raw_Est!$E$2:$E$100,MATCH($A21,Raw_Est!$A$2:$A$100,0)),""))</f>
        <v>38</v>
      </c>
      <c r="AM21" s="67" t="n">
        <f aca="false">IF($A21="","",IFERROR(INDEX(Raw_Price!$D$2:$D$100,MATCH($A21,Raw_Price!$A$2:$A$100,0)),""))</f>
        <v>46330</v>
      </c>
      <c r="AN21" s="67" t="n">
        <f aca="false">IF($A21="","",IFERROR(INDEX(Raw_Price!$E$2:$E$100,MATCH($A21,Raw_Price!$A$2:$A$100,0)),""))</f>
        <v>46280</v>
      </c>
      <c r="AO21" s="49" t="n">
        <f aca="false">IF($A21="","",IFERROR(IF(MIN(SUMIFS(Raw_Q!$M$2:$M$600,Raw_Q!$A$2:$A$600,$A21,Raw_Q!$P$2:$P$600,1),SUMIFS(Raw_Q!$M$2:$M$600,Raw_Q!$A$2:$A$600,$A21,Raw_Q!$P$2:$P$600,5))&lt;=0,"",SUMPRODUCT((Raw_Q!$A$2:$A$600=$A21)*(Raw_Q!$P$2:$P$600&gt;=1)*(Raw_Q!$P$2:$P$600&lt;=4)*Raw_Q!$K$2:$K$600*Raw_Q!$L$2:$L$600)/((SUMIFS(Raw_Q!$M$2:$M$600,Raw_Q!$A$2:$A$600,$A21,Raw_Q!$P$2:$P$600,1)+SUMIFS(Raw_Q!$M$2:$M$600,Raw_Q!$A$2:$A$600,$A21,Raw_Q!$P$2:$P$600,5))/2)),""))</f>
        <v>1.35355060224284</v>
      </c>
      <c r="AP21" s="49" t="n">
        <f aca="false">IF($A21="","",IFERROR(IF(MIN(SUMIFS(Raw_Q!$M$2:$M$600,Raw_Q!$A$2:$A$600,$A21,Raw_Q!$P$2:$P$600,5),SUMIFS(Raw_Q!$M$2:$M$600,Raw_Q!$A$2:$A$600,$A21,Raw_Q!$P$2:$P$600,9))&lt;=0,"",SUMPRODUCT((Raw_Q!$A$2:$A$600=$A21)*(Raw_Q!$P$2:$P$600&gt;=5)*(Raw_Q!$P$2:$P$600&lt;=8)*Raw_Q!$K$2:$K$600*Raw_Q!$L$2:$L$600)/((SUMIFS(Raw_Q!$M$2:$M$600,Raw_Q!$A$2:$A$600,$A21,Raw_Q!$P$2:$P$600,5)+SUMIFS(Raw_Q!$M$2:$M$600,Raw_Q!$A$2:$A$600,$A21,Raw_Q!$P$2:$P$600,9))/2)),""))</f>
        <v>1.70330388316444</v>
      </c>
      <c r="AQ21" s="49" t="n">
        <f aca="false">IF($A21="","",IFERROR(IF(MIN(SUMIFS(Raw_Q!$M$2:$M$600,Raw_Q!$A$2:$A$600,$A21,Raw_Q!$P$2:$P$600,9),SUMIFS(Raw_Q!$M$2:$M$600,Raw_Q!$A$2:$A$600,$A21,Raw_Q!$P$2:$P$600,13))&lt;=0,"",SUMPRODUCT((Raw_Q!$A$2:$A$600=$A21)*(Raw_Q!$P$2:$P$600&gt;=9)*(Raw_Q!$P$2:$P$600&lt;=12)*Raw_Q!$K$2:$K$600*Raw_Q!$L$2:$L$600)/((SUMIFS(Raw_Q!$M$2:$M$600,Raw_Q!$A$2:$A$600,$A21,Raw_Q!$P$2:$P$600,9)+SUMIFS(Raw_Q!$M$2:$M$600,Raw_Q!$A$2:$A$600,$A21,Raw_Q!$P$2:$P$600,13))/2)),""))</f>
        <v>3.62296192976698</v>
      </c>
      <c r="AR21" s="49" t="str">
        <f aca="false">IF($A21="","",IFERROR(IF(MIN(SUMIFS(Raw_Q!$M$2:$M$600,Raw_Q!$A$2:$A$600,$A21,Raw_Q!$P$2:$P$600,13),SUMIFS(Raw_Q!$M$2:$M$600,Raw_Q!$A$2:$A$600,$A21,Raw_Q!$P$2:$P$600,17))&lt;=0,"",SUMPRODUCT((Raw_Q!$A$2:$A$600=$A21)*(Raw_Q!$P$2:$P$600&gt;=13)*(Raw_Q!$P$2:$P$600&lt;=16)*Raw_Q!$K$2:$K$600*Raw_Q!$L$2:$L$600)/((SUMIFS(Raw_Q!$M$2:$M$600,Raw_Q!$A$2:$A$600,$A21,Raw_Q!$P$2:$P$600,13)+SUMIFS(Raw_Q!$M$2:$M$600,Raw_Q!$A$2:$A$600,$A21,Raw_Q!$P$2:$P$600,17))/2)),""))</f>
        <v/>
      </c>
      <c r="AS21" s="49" t="str">
        <f aca="false">IF($A21="","",IFERROR(IF(MIN(SUMIFS(Raw_Q!$M$2:$M$600,Raw_Q!$A$2:$A$600,$A21,Raw_Q!$P$2:$P$600,17),SUMIFS(Raw_Q!$M$2:$M$600,Raw_Q!$A$2:$A$600,$A21,Raw_Q!$P$2:$P$600,21))&lt;=0,"",SUMPRODUCT((Raw_Q!$A$2:$A$600=$A21)*(Raw_Q!$P$2:$P$600&gt;=17)*(Raw_Q!$P$2:$P$600&lt;=20)*Raw_Q!$K$2:$K$600*Raw_Q!$L$2:$L$600)/((SUMIFS(Raw_Q!$M$2:$M$600,Raw_Q!$A$2:$A$600,$A21,Raw_Q!$P$2:$P$600,17)+SUMIFS(Raw_Q!$M$2:$M$600,Raw_Q!$A$2:$A$600,$A21,Raw_Q!$P$2:$P$600,21))/2)),""))</f>
        <v/>
      </c>
    </row>
    <row r="22" customFormat="false" ht="15" hidden="false" customHeight="false" outlineLevel="0" collapsed="false">
      <c r="A22" s="16" t="str">
        <f aca="false">IF(Tickers!A22="","",Tickers!A22)</f>
        <v/>
      </c>
      <c r="B22" s="66" t="str">
        <f aca="false">IF($A22="","",IFERROR(INDEX(Tickers!$B$2:$B$100,MATCH($A22,Tickers!$A$2:$A$100,0)),""))</f>
        <v/>
      </c>
      <c r="C22" s="66" t="str">
        <f aca="false">IF($A22="","",IFERROR(INDEX(Tickers!$D$2:$D$100,MATCH($A22,Tickers!$A$2:$A$100,0)),""))</f>
        <v/>
      </c>
      <c r="D22" s="51" t="str">
        <f aca="false">IF($A22="","",IFERROR(INDEX(Raw_Price!$B$2:$B$100,MATCH($A22,Raw_Price!$A$2:$A$100,0)),""))</f>
        <v/>
      </c>
      <c r="E22" s="48" t="str">
        <f aca="false">IF($A22="","",IFERROR(SUMIFS(Raw_Q!$I$2:$I$600,Raw_Q!$A$2:$A$600,$A22,Raw_Q!$P$2:$P$600,"&gt;=1",Raw_Q!$P$2:$P$600,"&lt;=4"),""))</f>
        <v/>
      </c>
      <c r="F22" s="51" t="str">
        <f aca="false">IF($A22="","",IFERROR(SUMIFS(Raw_Q!$K$2:$K$600,Raw_Q!$A$2:$A$600,$A22,Raw_Q!$P$2:$P$600,"&gt;=1",Raw_Q!$P$2:$P$600,"&lt;=4"),""))</f>
        <v/>
      </c>
      <c r="G22" s="51" t="str">
        <f aca="false">IF($A22="","",IFERROR(SUMIFS(Raw_Q!$K$2:$K$600,Raw_Q!$A$2:$A$600,$A22,Raw_Q!$P$2:$P$600,"&gt;=0",Raw_Q!$P$2:$P$600,"&lt;=3"),""))</f>
        <v/>
      </c>
      <c r="H22" s="51" t="str">
        <f aca="true">IF($A22="","",IFERROR(INDEX(Raw_Est!$B$2:$B$100,MATCH($A22,Raw_Est!$A$2:$A$100,0))*MIN(1,MAX(0,(INDEX(Raw_Est!$D$2:$D$100,MATCH($A22,Raw_Est!$A$2:$A$100,0))-TODAY())/Config!$B$8))+INDEX(Raw_Est!$C$2:$C$100,MATCH($A22,Raw_Est!$A$2:$A$100,0))*(1-MIN(1,MAX(0,(INDEX(Raw_Est!$D$2:$D$100,MATCH($A22,Raw_Est!$A$2:$A$100,0))-TODAY())/Config!$B$8))),""))</f>
        <v/>
      </c>
      <c r="I22" s="49" t="str">
        <f aca="false">IF($A22="","",IFERROR(SUMIFS(Raw_Q!$K$2:$K$600,Raw_Q!$A$2:$A$600,$A22,Raw_Q!$P$2:$P$600,"&gt;=1",Raw_Q!$P$2:$P$600,"&lt;=4")/SUMIFS(Raw_Q!$K$2:$K$600,Raw_Q!$A$2:$A$600,$A22,Raw_Q!$P$2:$P$600,"&gt;=5",Raw_Q!$P$2:$P$600,"&lt;=8")-1,""))</f>
        <v/>
      </c>
      <c r="J22" s="52" t="str">
        <f aca="false">IF($A22="","",IFERROR(IF(F22&lt;=0,"N/M",D22/F22),"N/M"))</f>
        <v/>
      </c>
      <c r="K22" s="52" t="str">
        <f aca="false">IF($A22="","",IFERROR(IF(G22&lt;=0,"N/M",D22/G22),"N/M"))</f>
        <v/>
      </c>
      <c r="L22" s="52" t="str">
        <f aca="false">IF($A22="","",IFERROR(IF(H22&lt;=0,"N/M",D22/H22),"N/M"))</f>
        <v/>
      </c>
      <c r="M22" s="49" t="str">
        <f aca="false">IF($A22="","",IFERROR(INDEX(Raw_Est!$C$2:$C$100,MATCH($A22,Raw_Est!$A$2:$A$100,0))/INDEX(Raw_Est!$B$2:$B$100,MATCH($A22,Raw_Est!$A$2:$A$100,0))-1,""))</f>
        <v/>
      </c>
      <c r="N22" s="51" t="str">
        <f aca="false">IF($A22="","",IFERROR(IF(OR(NOT(ISNUMBER(J22)),I22&lt;Config!$B$6),"N/M",J22/(I22*100)),"N/M"))</f>
        <v/>
      </c>
      <c r="O22" s="51" t="str">
        <f aca="false">IF($A22="","",IFERROR(IF(OR(NOT(ISNUMBER(L22)),M22&lt;Config!$B$6),"N/M",L22/(M22*100)),"N/M"))</f>
        <v/>
      </c>
      <c r="P22" s="51" t="str">
        <f aca="false">IF($A22="","",IFERROR(SUMIFS(Raw_Q!$N$2:$N$600,Raw_Q!$A$2:$A$600,$A22,Raw_Q!$P$2:$P$600,"&gt;=1",Raw_Q!$P$2:$P$600,"&lt;=4"),""))</f>
        <v/>
      </c>
      <c r="Q22" s="49" t="str">
        <f aca="false">IF($A22="","",IFERROR(IF(P22=0,"不配息",P22/D22),""))</f>
        <v/>
      </c>
      <c r="R22" s="49" t="str">
        <f aca="false">IF($A22="","",IFERROR(IF(SUMIFS(Raw_Q!$N$2:$N$600,Raw_Q!$A$2:$A$600,$A22,Raw_Q!$P$2:$P$600,"&gt;=5",Raw_Q!$P$2:$P$600,"&lt;=8")=0,"",SUMIFS(Raw_Q!$N$2:$N$600,Raw_Q!$A$2:$A$600,$A22,Raw_Q!$P$2:$P$600,"&gt;=1",Raw_Q!$P$2:$P$600,"&lt;=4")/SUMIFS(Raw_Q!$N$2:$N$600,Raw_Q!$A$2:$A$600,$A22,Raw_Q!$P$2:$P$600,"&gt;=5",Raw_Q!$P$2:$P$600,"&lt;=8")-1),""))</f>
        <v/>
      </c>
      <c r="S22" s="49" t="str">
        <f aca="false">IF($A22="","",IFERROR(SUMIFS(Raw_Q!$I$2:$I$600,Raw_Q!$A$2:$A$600,$A22,Raw_Q!$P$2:$P$600,1)/SUMIFS(Raw_Q!$I$2:$I$600,Raw_Q!$A$2:$A$600,$A22,Raw_Q!$P$2:$P$600,5)-1,""))</f>
        <v/>
      </c>
      <c r="T22" s="49" t="str">
        <f aca="false">IF($A22="","",IFERROR(SUMIFS(Raw_Q!$I$2:$I$600,Raw_Q!$A$2:$A$600,$A22,Raw_Q!$P$2:$P$600,1)/SUMIFS(Raw_Q!$I$2:$I$600,Raw_Q!$A$2:$A$600,$A22,Raw_Q!$P$2:$P$600,2)-1,""))</f>
        <v/>
      </c>
      <c r="U22" s="49" t="str">
        <f aca="false">IF($A22="","",IFERROR(SUMIFS(Raw_Q!$I$2:$I$600,Raw_Q!$A$2:$A$600,$A22,Raw_Q!$P$2:$P$600,2)/SUMIFS(Raw_Q!$I$2:$I$600,Raw_Q!$A$2:$A$600,$A22,Raw_Q!$P$2:$P$600,3)-1,""))</f>
        <v/>
      </c>
      <c r="V22" s="68" t="str">
        <f aca="false">IF($A22="","",IFERROR((T22-U22)*100,""))</f>
        <v/>
      </c>
      <c r="W22" s="66" t="str">
        <f aca="false">IF($A22="","",IFERROR(IF(NOT(ISNUMBER(T22)),"",IF(T22&gt;0,IF(V22&gt;0,"成長且加速","成長但減速"),IF(V22&gt;0,"衰退但收斂","衰退且惡化"))),""))</f>
        <v/>
      </c>
      <c r="X22" s="68" t="str">
        <f aca="false">IF($A22="","",IFERROR((T22-(SUMIFS(Raw_Q!$I$2:$I$600,Raw_Q!$A$2:$A$600,$A22,Raw_Q!$P$2:$P$600,5)/SUMIFS(Raw_Q!$I$2:$I$600,Raw_Q!$A$2:$A$600,$A22,Raw_Q!$P$2:$P$600,6)-1))*100,""))</f>
        <v/>
      </c>
      <c r="Y22" s="49" t="str">
        <f aca="false">IF($A22="","",IFERROR(SUMIFS(Raw_Q!$K$2:$K$600,Raw_Q!$A$2:$A$600,$A22,Raw_Q!$P$2:$P$600,1)/SUMIFS(Raw_Q!$K$2:$K$600,Raw_Q!$A$2:$A$600,$A22,Raw_Q!$P$2:$P$600,5)-1,""))</f>
        <v/>
      </c>
      <c r="Z22" s="49" t="str">
        <f aca="false">IF($A22="","",IFERROR(SUMIFS(Raw_Q!$J$2:$J$600,Raw_Q!$A$2:$A$600,$A22,Raw_Q!$P$2:$P$600,"&gt;=1",Raw_Q!$P$2:$P$600,"&lt;=4")/E22,""))</f>
        <v/>
      </c>
      <c r="AA22" s="49" t="str">
        <f aca="false">IF($A22="","",IFERROR(SUMIFS(Raw_Q!$J$2:$J$600,Raw_Q!$A$2:$A$600,$A22,Raw_Q!$P$2:$P$600,"&gt;=1",Raw_Q!$P$2:$P$600,"&lt;="&amp;Config!$B$5)/SUMIFS(Raw_Q!$I$2:$I$600,Raw_Q!$A$2:$A$600,$A22,Raw_Q!$P$2:$P$600,"&gt;=1",Raw_Q!$P$2:$P$600,"&lt;="&amp;Config!$B$5),""))</f>
        <v/>
      </c>
      <c r="AB22" s="50" t="str">
        <f aca="false">IF($A22="","",IFERROR((Z22-AA22)*10000,""))</f>
        <v/>
      </c>
      <c r="AC22" s="50" t="str">
        <f aca="false">IF($A22="","",IFERROR((SUMIFS(Raw_Q!$J$2:$J$600,Raw_Q!$A$2:$A$600,$A22,Raw_Q!$P$2:$P$600,1)/SUMIFS(Raw_Q!$I$2:$I$600,Raw_Q!$A$2:$A$600,$A22,Raw_Q!$P$2:$P$600,1)-SUMIFS(Raw_Q!$J$2:$J$600,Raw_Q!$A$2:$A$600,$A22,Raw_Q!$P$2:$P$600,5)/SUMIFS(Raw_Q!$I$2:$I$600,Raw_Q!$A$2:$A$600,$A22,Raw_Q!$P$2:$P$600,5))*10000,""))</f>
        <v/>
      </c>
      <c r="AD22" s="51" t="str">
        <f aca="false">IF($A22="","",IFERROR(SUMIFS(Raw_Q!$M$2:$M$600,Raw_Q!$A$2:$A$600,$A22,Raw_Q!$P$2:$P$600,1)/SUMIFS(Raw_Q!$L$2:$L$600,Raw_Q!$A$2:$A$600,$A22,Raw_Q!$P$2:$P$600,1),""))</f>
        <v/>
      </c>
      <c r="AE22" s="48" t="str">
        <f aca="false">IF($A22="","",IFERROR(SUMPRODUCT((Raw_Q!$A$2:$A$600=$A22)*(Raw_Q!$P$2:$P$600&gt;=1)*(Raw_Q!$P$2:$P$600&lt;=4)*Raw_Q!$K$2:$K$600*Raw_Q!$L$2:$L$600),""))</f>
        <v/>
      </c>
      <c r="AF22" s="49" t="str">
        <f aca="false">IF($A22="","",IFERROR(IF(MIN(SUMIFS(Raw_Q!$M$2:$M$600,Raw_Q!$A$2:$A$600,$A22,Raw_Q!$P$2:$P$600,1),SUMIFS(Raw_Q!$M$2:$M$600,Raw_Q!$A$2:$A$600,$A22,Raw_Q!$P$2:$P$600,5))&lt;=0,"N/M",AE22/((SUMIFS(Raw_Q!$M$2:$M$600,Raw_Q!$A$2:$A$600,$A22,Raw_Q!$P$2:$P$600,1)+SUMIFS(Raw_Q!$M$2:$M$600,Raw_Q!$A$2:$A$600,$A22,Raw_Q!$P$2:$P$600,5))/2)),"N/M"))</f>
        <v/>
      </c>
      <c r="AG22" s="49" t="str">
        <f aca="false">IF($A22="","",IFERROR(AVERAGE(AO22:AS22),""))</f>
        <v/>
      </c>
      <c r="AH22" s="49" t="str">
        <f aca="false">IF($A22="","",IFERROR(IF(AD22&lt;=0,"N/M",INDEX(Raw_Est!$B$2:$B$100,MATCH($A22,Raw_Est!$A$2:$A$100,0))/AD22),"N/M"))</f>
        <v/>
      </c>
      <c r="AI22" s="51" t="str">
        <f aca="false">IF($A22="","",IFERROR(SUMIFS(Raw_Q!$K$2:$K$600,Raw_Q!$A$2:$A$600,$A22,Raw_Q!$P$2:$P$600,0),""))</f>
        <v/>
      </c>
      <c r="AJ22" s="66" t="str">
        <f aca="false">IF($A22="","",IFERROR(INDEX(Raw_Q!$B$2:$B$600,MATCH($A22&amp;"|"&amp;0,Raw_Q!$Q$2:$Q$600,0)),""))</f>
        <v/>
      </c>
      <c r="AK22" s="66" t="str">
        <f aca="false">IF($A22="","",IFERROR(INDEX(Raw_Q!$G$2:$G$600,MATCH($A22&amp;"|"&amp;0,Raw_Q!$Q$2:$Q$600,0)),""))</f>
        <v/>
      </c>
      <c r="AL22" s="47" t="str">
        <f aca="false">IF($A22="","",IFERROR(INDEX(Raw_Est!$E$2:$E$100,MATCH($A22,Raw_Est!$A$2:$A$100,0)),""))</f>
        <v/>
      </c>
      <c r="AM22" s="67" t="str">
        <f aca="false">IF($A22="","",IFERROR(INDEX(Raw_Price!$D$2:$D$100,MATCH($A22,Raw_Price!$A$2:$A$100,0)),""))</f>
        <v/>
      </c>
      <c r="AN22" s="67" t="str">
        <f aca="false">IF($A22="","",IFERROR(INDEX(Raw_Price!$E$2:$E$100,MATCH($A22,Raw_Price!$A$2:$A$100,0)),""))</f>
        <v/>
      </c>
      <c r="AO22" s="49" t="str">
        <f aca="false">IF($A22="","",IFERROR(IF(MIN(SUMIFS(Raw_Q!$M$2:$M$600,Raw_Q!$A$2:$A$600,$A22,Raw_Q!$P$2:$P$600,1),SUMIFS(Raw_Q!$M$2:$M$600,Raw_Q!$A$2:$A$600,$A22,Raw_Q!$P$2:$P$600,5))&lt;=0,"",SUMPRODUCT((Raw_Q!$A$2:$A$600=$A22)*(Raw_Q!$P$2:$P$600&gt;=1)*(Raw_Q!$P$2:$P$600&lt;=4)*Raw_Q!$K$2:$K$600*Raw_Q!$L$2:$L$600)/((SUMIFS(Raw_Q!$M$2:$M$600,Raw_Q!$A$2:$A$600,$A22,Raw_Q!$P$2:$P$600,1)+SUMIFS(Raw_Q!$M$2:$M$600,Raw_Q!$A$2:$A$600,$A22,Raw_Q!$P$2:$P$600,5))/2)),""))</f>
        <v/>
      </c>
      <c r="AP22" s="49" t="str">
        <f aca="false">IF($A22="","",IFERROR(IF(MIN(SUMIFS(Raw_Q!$M$2:$M$600,Raw_Q!$A$2:$A$600,$A22,Raw_Q!$P$2:$P$600,5),SUMIFS(Raw_Q!$M$2:$M$600,Raw_Q!$A$2:$A$600,$A22,Raw_Q!$P$2:$P$600,9))&lt;=0,"",SUMPRODUCT((Raw_Q!$A$2:$A$600=$A22)*(Raw_Q!$P$2:$P$600&gt;=5)*(Raw_Q!$P$2:$P$600&lt;=8)*Raw_Q!$K$2:$K$600*Raw_Q!$L$2:$L$600)/((SUMIFS(Raw_Q!$M$2:$M$600,Raw_Q!$A$2:$A$600,$A22,Raw_Q!$P$2:$P$600,5)+SUMIFS(Raw_Q!$M$2:$M$600,Raw_Q!$A$2:$A$600,$A22,Raw_Q!$P$2:$P$600,9))/2)),""))</f>
        <v/>
      </c>
      <c r="AQ22" s="49" t="str">
        <f aca="false">IF($A22="","",IFERROR(IF(MIN(SUMIFS(Raw_Q!$M$2:$M$600,Raw_Q!$A$2:$A$600,$A22,Raw_Q!$P$2:$P$600,9),SUMIFS(Raw_Q!$M$2:$M$600,Raw_Q!$A$2:$A$600,$A22,Raw_Q!$P$2:$P$600,13))&lt;=0,"",SUMPRODUCT((Raw_Q!$A$2:$A$600=$A22)*(Raw_Q!$P$2:$P$600&gt;=9)*(Raw_Q!$P$2:$P$600&lt;=12)*Raw_Q!$K$2:$K$600*Raw_Q!$L$2:$L$600)/((SUMIFS(Raw_Q!$M$2:$M$600,Raw_Q!$A$2:$A$600,$A22,Raw_Q!$P$2:$P$600,9)+SUMIFS(Raw_Q!$M$2:$M$600,Raw_Q!$A$2:$A$600,$A22,Raw_Q!$P$2:$P$600,13))/2)),""))</f>
        <v/>
      </c>
      <c r="AR22" s="49" t="str">
        <f aca="false">IF($A22="","",IFERROR(IF(MIN(SUMIFS(Raw_Q!$M$2:$M$600,Raw_Q!$A$2:$A$600,$A22,Raw_Q!$P$2:$P$600,13),SUMIFS(Raw_Q!$M$2:$M$600,Raw_Q!$A$2:$A$600,$A22,Raw_Q!$P$2:$P$600,17))&lt;=0,"",SUMPRODUCT((Raw_Q!$A$2:$A$600=$A22)*(Raw_Q!$P$2:$P$600&gt;=13)*(Raw_Q!$P$2:$P$600&lt;=16)*Raw_Q!$K$2:$K$600*Raw_Q!$L$2:$L$600)/((SUMIFS(Raw_Q!$M$2:$M$600,Raw_Q!$A$2:$A$600,$A22,Raw_Q!$P$2:$P$600,13)+SUMIFS(Raw_Q!$M$2:$M$600,Raw_Q!$A$2:$A$600,$A22,Raw_Q!$P$2:$P$600,17))/2)),""))</f>
        <v/>
      </c>
      <c r="AS22" s="49" t="str">
        <f aca="false">IF($A22="","",IFERROR(IF(MIN(SUMIFS(Raw_Q!$M$2:$M$600,Raw_Q!$A$2:$A$600,$A22,Raw_Q!$P$2:$P$600,17),SUMIFS(Raw_Q!$M$2:$M$600,Raw_Q!$A$2:$A$600,$A22,Raw_Q!$P$2:$P$600,21))&lt;=0,"",SUMPRODUCT((Raw_Q!$A$2:$A$600=$A22)*(Raw_Q!$P$2:$P$600&gt;=17)*(Raw_Q!$P$2:$P$600&lt;=20)*Raw_Q!$K$2:$K$600*Raw_Q!$L$2:$L$600)/((SUMIFS(Raw_Q!$M$2:$M$600,Raw_Q!$A$2:$A$600,$A22,Raw_Q!$P$2:$P$600,17)+SUMIFS(Raw_Q!$M$2:$M$600,Raw_Q!$A$2:$A$600,$A22,Raw_Q!$P$2:$P$600,21))/2)),""))</f>
        <v/>
      </c>
    </row>
    <row r="23" customFormat="false" ht="15" hidden="false" customHeight="false" outlineLevel="0" collapsed="false">
      <c r="A23" s="16" t="str">
        <f aca="false">IF(Tickers!A23="","",Tickers!A23)</f>
        <v/>
      </c>
      <c r="B23" s="66" t="str">
        <f aca="false">IF($A23="","",IFERROR(INDEX(Tickers!$B$2:$B$100,MATCH($A23,Tickers!$A$2:$A$100,0)),""))</f>
        <v/>
      </c>
      <c r="C23" s="66" t="str">
        <f aca="false">IF($A23="","",IFERROR(INDEX(Tickers!$D$2:$D$100,MATCH($A23,Tickers!$A$2:$A$100,0)),""))</f>
        <v/>
      </c>
      <c r="D23" s="51" t="str">
        <f aca="false">IF($A23="","",IFERROR(INDEX(Raw_Price!$B$2:$B$100,MATCH($A23,Raw_Price!$A$2:$A$100,0)),""))</f>
        <v/>
      </c>
      <c r="E23" s="48" t="str">
        <f aca="false">IF($A23="","",IFERROR(SUMIFS(Raw_Q!$I$2:$I$600,Raw_Q!$A$2:$A$600,$A23,Raw_Q!$P$2:$P$600,"&gt;=1",Raw_Q!$P$2:$P$600,"&lt;=4"),""))</f>
        <v/>
      </c>
      <c r="F23" s="51" t="str">
        <f aca="false">IF($A23="","",IFERROR(SUMIFS(Raw_Q!$K$2:$K$600,Raw_Q!$A$2:$A$600,$A23,Raw_Q!$P$2:$P$600,"&gt;=1",Raw_Q!$P$2:$P$600,"&lt;=4"),""))</f>
        <v/>
      </c>
      <c r="G23" s="51" t="str">
        <f aca="false">IF($A23="","",IFERROR(SUMIFS(Raw_Q!$K$2:$K$600,Raw_Q!$A$2:$A$600,$A23,Raw_Q!$P$2:$P$600,"&gt;=0",Raw_Q!$P$2:$P$600,"&lt;=3"),""))</f>
        <v/>
      </c>
      <c r="H23" s="51" t="str">
        <f aca="true">IF($A23="","",IFERROR(INDEX(Raw_Est!$B$2:$B$100,MATCH($A23,Raw_Est!$A$2:$A$100,0))*MIN(1,MAX(0,(INDEX(Raw_Est!$D$2:$D$100,MATCH($A23,Raw_Est!$A$2:$A$100,0))-TODAY())/Config!$B$8))+INDEX(Raw_Est!$C$2:$C$100,MATCH($A23,Raw_Est!$A$2:$A$100,0))*(1-MIN(1,MAX(0,(INDEX(Raw_Est!$D$2:$D$100,MATCH($A23,Raw_Est!$A$2:$A$100,0))-TODAY())/Config!$B$8))),""))</f>
        <v/>
      </c>
      <c r="I23" s="49" t="str">
        <f aca="false">IF($A23="","",IFERROR(SUMIFS(Raw_Q!$K$2:$K$600,Raw_Q!$A$2:$A$600,$A23,Raw_Q!$P$2:$P$600,"&gt;=1",Raw_Q!$P$2:$P$600,"&lt;=4")/SUMIFS(Raw_Q!$K$2:$K$600,Raw_Q!$A$2:$A$600,$A23,Raw_Q!$P$2:$P$600,"&gt;=5",Raw_Q!$P$2:$P$600,"&lt;=8")-1,""))</f>
        <v/>
      </c>
      <c r="J23" s="52" t="str">
        <f aca="false">IF($A23="","",IFERROR(IF(F23&lt;=0,"N/M",D23/F23),"N/M"))</f>
        <v/>
      </c>
      <c r="K23" s="52" t="str">
        <f aca="false">IF($A23="","",IFERROR(IF(G23&lt;=0,"N/M",D23/G23),"N/M"))</f>
        <v/>
      </c>
      <c r="L23" s="52" t="str">
        <f aca="false">IF($A23="","",IFERROR(IF(H23&lt;=0,"N/M",D23/H23),"N/M"))</f>
        <v/>
      </c>
      <c r="M23" s="49" t="str">
        <f aca="false">IF($A23="","",IFERROR(INDEX(Raw_Est!$C$2:$C$100,MATCH($A23,Raw_Est!$A$2:$A$100,0))/INDEX(Raw_Est!$B$2:$B$100,MATCH($A23,Raw_Est!$A$2:$A$100,0))-1,""))</f>
        <v/>
      </c>
      <c r="N23" s="51" t="str">
        <f aca="false">IF($A23="","",IFERROR(IF(OR(NOT(ISNUMBER(J23)),I23&lt;Config!$B$6),"N/M",J23/(I23*100)),"N/M"))</f>
        <v/>
      </c>
      <c r="O23" s="51" t="str">
        <f aca="false">IF($A23="","",IFERROR(IF(OR(NOT(ISNUMBER(L23)),M23&lt;Config!$B$6),"N/M",L23/(M23*100)),"N/M"))</f>
        <v/>
      </c>
      <c r="P23" s="51" t="str">
        <f aca="false">IF($A23="","",IFERROR(SUMIFS(Raw_Q!$N$2:$N$600,Raw_Q!$A$2:$A$600,$A23,Raw_Q!$P$2:$P$600,"&gt;=1",Raw_Q!$P$2:$P$600,"&lt;=4"),""))</f>
        <v/>
      </c>
      <c r="Q23" s="49" t="str">
        <f aca="false">IF($A23="","",IFERROR(IF(P23=0,"不配息",P23/D23),""))</f>
        <v/>
      </c>
      <c r="R23" s="49" t="str">
        <f aca="false">IF($A23="","",IFERROR(IF(SUMIFS(Raw_Q!$N$2:$N$600,Raw_Q!$A$2:$A$600,$A23,Raw_Q!$P$2:$P$600,"&gt;=5",Raw_Q!$P$2:$P$600,"&lt;=8")=0,"",SUMIFS(Raw_Q!$N$2:$N$600,Raw_Q!$A$2:$A$600,$A23,Raw_Q!$P$2:$P$600,"&gt;=1",Raw_Q!$P$2:$P$600,"&lt;=4")/SUMIFS(Raw_Q!$N$2:$N$600,Raw_Q!$A$2:$A$600,$A23,Raw_Q!$P$2:$P$600,"&gt;=5",Raw_Q!$P$2:$P$600,"&lt;=8")-1),""))</f>
        <v/>
      </c>
      <c r="S23" s="49" t="str">
        <f aca="false">IF($A23="","",IFERROR(SUMIFS(Raw_Q!$I$2:$I$600,Raw_Q!$A$2:$A$600,$A23,Raw_Q!$P$2:$P$600,1)/SUMIFS(Raw_Q!$I$2:$I$600,Raw_Q!$A$2:$A$600,$A23,Raw_Q!$P$2:$P$600,5)-1,""))</f>
        <v/>
      </c>
      <c r="T23" s="49" t="str">
        <f aca="false">IF($A23="","",IFERROR(SUMIFS(Raw_Q!$I$2:$I$600,Raw_Q!$A$2:$A$600,$A23,Raw_Q!$P$2:$P$600,1)/SUMIFS(Raw_Q!$I$2:$I$600,Raw_Q!$A$2:$A$600,$A23,Raw_Q!$P$2:$P$600,2)-1,""))</f>
        <v/>
      </c>
      <c r="U23" s="49" t="str">
        <f aca="false">IF($A23="","",IFERROR(SUMIFS(Raw_Q!$I$2:$I$600,Raw_Q!$A$2:$A$600,$A23,Raw_Q!$P$2:$P$600,2)/SUMIFS(Raw_Q!$I$2:$I$600,Raw_Q!$A$2:$A$600,$A23,Raw_Q!$P$2:$P$600,3)-1,""))</f>
        <v/>
      </c>
      <c r="V23" s="68" t="str">
        <f aca="false">IF($A23="","",IFERROR((T23-U23)*100,""))</f>
        <v/>
      </c>
      <c r="W23" s="66" t="str">
        <f aca="false">IF($A23="","",IFERROR(IF(NOT(ISNUMBER(T23)),"",IF(T23&gt;0,IF(V23&gt;0,"成長且加速","成長但減速"),IF(V23&gt;0,"衰退但收斂","衰退且惡化"))),""))</f>
        <v/>
      </c>
      <c r="X23" s="68" t="str">
        <f aca="false">IF($A23="","",IFERROR((T23-(SUMIFS(Raw_Q!$I$2:$I$600,Raw_Q!$A$2:$A$600,$A23,Raw_Q!$P$2:$P$600,5)/SUMIFS(Raw_Q!$I$2:$I$600,Raw_Q!$A$2:$A$600,$A23,Raw_Q!$P$2:$P$600,6)-1))*100,""))</f>
        <v/>
      </c>
      <c r="Y23" s="49" t="str">
        <f aca="false">IF($A23="","",IFERROR(SUMIFS(Raw_Q!$K$2:$K$600,Raw_Q!$A$2:$A$600,$A23,Raw_Q!$P$2:$P$600,1)/SUMIFS(Raw_Q!$K$2:$K$600,Raw_Q!$A$2:$A$600,$A23,Raw_Q!$P$2:$P$600,5)-1,""))</f>
        <v/>
      </c>
      <c r="Z23" s="49" t="str">
        <f aca="false">IF($A23="","",IFERROR(SUMIFS(Raw_Q!$J$2:$J$600,Raw_Q!$A$2:$A$600,$A23,Raw_Q!$P$2:$P$600,"&gt;=1",Raw_Q!$P$2:$P$600,"&lt;=4")/E23,""))</f>
        <v/>
      </c>
      <c r="AA23" s="49" t="str">
        <f aca="false">IF($A23="","",IFERROR(SUMIFS(Raw_Q!$J$2:$J$600,Raw_Q!$A$2:$A$600,$A23,Raw_Q!$P$2:$P$600,"&gt;=1",Raw_Q!$P$2:$P$600,"&lt;="&amp;Config!$B$5)/SUMIFS(Raw_Q!$I$2:$I$600,Raw_Q!$A$2:$A$600,$A23,Raw_Q!$P$2:$P$600,"&gt;=1",Raw_Q!$P$2:$P$600,"&lt;="&amp;Config!$B$5),""))</f>
        <v/>
      </c>
      <c r="AB23" s="50" t="str">
        <f aca="false">IF($A23="","",IFERROR((Z23-AA23)*10000,""))</f>
        <v/>
      </c>
      <c r="AC23" s="50" t="str">
        <f aca="false">IF($A23="","",IFERROR((SUMIFS(Raw_Q!$J$2:$J$600,Raw_Q!$A$2:$A$600,$A23,Raw_Q!$P$2:$P$600,1)/SUMIFS(Raw_Q!$I$2:$I$600,Raw_Q!$A$2:$A$600,$A23,Raw_Q!$P$2:$P$600,1)-SUMIFS(Raw_Q!$J$2:$J$600,Raw_Q!$A$2:$A$600,$A23,Raw_Q!$P$2:$P$600,5)/SUMIFS(Raw_Q!$I$2:$I$600,Raw_Q!$A$2:$A$600,$A23,Raw_Q!$P$2:$P$600,5))*10000,""))</f>
        <v/>
      </c>
      <c r="AD23" s="51" t="str">
        <f aca="false">IF($A23="","",IFERROR(SUMIFS(Raw_Q!$M$2:$M$600,Raw_Q!$A$2:$A$600,$A23,Raw_Q!$P$2:$P$600,1)/SUMIFS(Raw_Q!$L$2:$L$600,Raw_Q!$A$2:$A$600,$A23,Raw_Q!$P$2:$P$600,1),""))</f>
        <v/>
      </c>
      <c r="AE23" s="48" t="str">
        <f aca="false">IF($A23="","",IFERROR(SUMPRODUCT((Raw_Q!$A$2:$A$600=$A23)*(Raw_Q!$P$2:$P$600&gt;=1)*(Raw_Q!$P$2:$P$600&lt;=4)*Raw_Q!$K$2:$K$600*Raw_Q!$L$2:$L$600),""))</f>
        <v/>
      </c>
      <c r="AF23" s="49" t="str">
        <f aca="false">IF($A23="","",IFERROR(IF(MIN(SUMIFS(Raw_Q!$M$2:$M$600,Raw_Q!$A$2:$A$600,$A23,Raw_Q!$P$2:$P$600,1),SUMIFS(Raw_Q!$M$2:$M$600,Raw_Q!$A$2:$A$600,$A23,Raw_Q!$P$2:$P$600,5))&lt;=0,"N/M",AE23/((SUMIFS(Raw_Q!$M$2:$M$600,Raw_Q!$A$2:$A$600,$A23,Raw_Q!$P$2:$P$600,1)+SUMIFS(Raw_Q!$M$2:$M$600,Raw_Q!$A$2:$A$600,$A23,Raw_Q!$P$2:$P$600,5))/2)),"N/M"))</f>
        <v/>
      </c>
      <c r="AG23" s="49" t="str">
        <f aca="false">IF($A23="","",IFERROR(AVERAGE(AO23:AS23),""))</f>
        <v/>
      </c>
      <c r="AH23" s="49" t="str">
        <f aca="false">IF($A23="","",IFERROR(IF(AD23&lt;=0,"N/M",INDEX(Raw_Est!$B$2:$B$100,MATCH($A23,Raw_Est!$A$2:$A$100,0))/AD23),"N/M"))</f>
        <v/>
      </c>
      <c r="AI23" s="51" t="str">
        <f aca="false">IF($A23="","",IFERROR(SUMIFS(Raw_Q!$K$2:$K$600,Raw_Q!$A$2:$A$600,$A23,Raw_Q!$P$2:$P$600,0),""))</f>
        <v/>
      </c>
      <c r="AJ23" s="66" t="str">
        <f aca="false">IF($A23="","",IFERROR(INDEX(Raw_Q!$B$2:$B$600,MATCH($A23&amp;"|"&amp;0,Raw_Q!$Q$2:$Q$600,0)),""))</f>
        <v/>
      </c>
      <c r="AK23" s="66" t="str">
        <f aca="false">IF($A23="","",IFERROR(INDEX(Raw_Q!$G$2:$G$600,MATCH($A23&amp;"|"&amp;0,Raw_Q!$Q$2:$Q$600,0)),""))</f>
        <v/>
      </c>
      <c r="AL23" s="47" t="str">
        <f aca="false">IF($A23="","",IFERROR(INDEX(Raw_Est!$E$2:$E$100,MATCH($A23,Raw_Est!$A$2:$A$100,0)),""))</f>
        <v/>
      </c>
      <c r="AM23" s="67" t="str">
        <f aca="false">IF($A23="","",IFERROR(INDEX(Raw_Price!$D$2:$D$100,MATCH($A23,Raw_Price!$A$2:$A$100,0)),""))</f>
        <v/>
      </c>
      <c r="AN23" s="67" t="str">
        <f aca="false">IF($A23="","",IFERROR(INDEX(Raw_Price!$E$2:$E$100,MATCH($A23,Raw_Price!$A$2:$A$100,0)),""))</f>
        <v/>
      </c>
      <c r="AO23" s="49" t="str">
        <f aca="false">IF($A23="","",IFERROR(IF(MIN(SUMIFS(Raw_Q!$M$2:$M$600,Raw_Q!$A$2:$A$600,$A23,Raw_Q!$P$2:$P$600,1),SUMIFS(Raw_Q!$M$2:$M$600,Raw_Q!$A$2:$A$600,$A23,Raw_Q!$P$2:$P$600,5))&lt;=0,"",SUMPRODUCT((Raw_Q!$A$2:$A$600=$A23)*(Raw_Q!$P$2:$P$600&gt;=1)*(Raw_Q!$P$2:$P$600&lt;=4)*Raw_Q!$K$2:$K$600*Raw_Q!$L$2:$L$600)/((SUMIFS(Raw_Q!$M$2:$M$600,Raw_Q!$A$2:$A$600,$A23,Raw_Q!$P$2:$P$600,1)+SUMIFS(Raw_Q!$M$2:$M$600,Raw_Q!$A$2:$A$600,$A23,Raw_Q!$P$2:$P$600,5))/2)),""))</f>
        <v/>
      </c>
      <c r="AP23" s="49" t="str">
        <f aca="false">IF($A23="","",IFERROR(IF(MIN(SUMIFS(Raw_Q!$M$2:$M$600,Raw_Q!$A$2:$A$600,$A23,Raw_Q!$P$2:$P$600,5),SUMIFS(Raw_Q!$M$2:$M$600,Raw_Q!$A$2:$A$600,$A23,Raw_Q!$P$2:$P$600,9))&lt;=0,"",SUMPRODUCT((Raw_Q!$A$2:$A$600=$A23)*(Raw_Q!$P$2:$P$600&gt;=5)*(Raw_Q!$P$2:$P$600&lt;=8)*Raw_Q!$K$2:$K$600*Raw_Q!$L$2:$L$600)/((SUMIFS(Raw_Q!$M$2:$M$600,Raw_Q!$A$2:$A$600,$A23,Raw_Q!$P$2:$P$600,5)+SUMIFS(Raw_Q!$M$2:$M$600,Raw_Q!$A$2:$A$600,$A23,Raw_Q!$P$2:$P$600,9))/2)),""))</f>
        <v/>
      </c>
      <c r="AQ23" s="49" t="str">
        <f aca="false">IF($A23="","",IFERROR(IF(MIN(SUMIFS(Raw_Q!$M$2:$M$600,Raw_Q!$A$2:$A$600,$A23,Raw_Q!$P$2:$P$600,9),SUMIFS(Raw_Q!$M$2:$M$600,Raw_Q!$A$2:$A$600,$A23,Raw_Q!$P$2:$P$600,13))&lt;=0,"",SUMPRODUCT((Raw_Q!$A$2:$A$600=$A23)*(Raw_Q!$P$2:$P$600&gt;=9)*(Raw_Q!$P$2:$P$600&lt;=12)*Raw_Q!$K$2:$K$600*Raw_Q!$L$2:$L$600)/((SUMIFS(Raw_Q!$M$2:$M$600,Raw_Q!$A$2:$A$600,$A23,Raw_Q!$P$2:$P$600,9)+SUMIFS(Raw_Q!$M$2:$M$600,Raw_Q!$A$2:$A$600,$A23,Raw_Q!$P$2:$P$600,13))/2)),""))</f>
        <v/>
      </c>
      <c r="AR23" s="49" t="str">
        <f aca="false">IF($A23="","",IFERROR(IF(MIN(SUMIFS(Raw_Q!$M$2:$M$600,Raw_Q!$A$2:$A$600,$A23,Raw_Q!$P$2:$P$600,13),SUMIFS(Raw_Q!$M$2:$M$600,Raw_Q!$A$2:$A$600,$A23,Raw_Q!$P$2:$P$600,17))&lt;=0,"",SUMPRODUCT((Raw_Q!$A$2:$A$600=$A23)*(Raw_Q!$P$2:$P$600&gt;=13)*(Raw_Q!$P$2:$P$600&lt;=16)*Raw_Q!$K$2:$K$600*Raw_Q!$L$2:$L$600)/((SUMIFS(Raw_Q!$M$2:$M$600,Raw_Q!$A$2:$A$600,$A23,Raw_Q!$P$2:$P$600,13)+SUMIFS(Raw_Q!$M$2:$M$600,Raw_Q!$A$2:$A$600,$A23,Raw_Q!$P$2:$P$600,17))/2)),""))</f>
        <v/>
      </c>
      <c r="AS23" s="49" t="str">
        <f aca="false">IF($A23="","",IFERROR(IF(MIN(SUMIFS(Raw_Q!$M$2:$M$600,Raw_Q!$A$2:$A$600,$A23,Raw_Q!$P$2:$P$600,17),SUMIFS(Raw_Q!$M$2:$M$600,Raw_Q!$A$2:$A$600,$A23,Raw_Q!$P$2:$P$600,21))&lt;=0,"",SUMPRODUCT((Raw_Q!$A$2:$A$600=$A23)*(Raw_Q!$P$2:$P$600&gt;=17)*(Raw_Q!$P$2:$P$600&lt;=20)*Raw_Q!$K$2:$K$600*Raw_Q!$L$2:$L$600)/((SUMIFS(Raw_Q!$M$2:$M$600,Raw_Q!$A$2:$A$600,$A23,Raw_Q!$P$2:$P$600,17)+SUMIFS(Raw_Q!$M$2:$M$600,Raw_Q!$A$2:$A$600,$A23,Raw_Q!$P$2:$P$600,21))/2)),""))</f>
        <v/>
      </c>
    </row>
    <row r="24" customFormat="false" ht="15" hidden="false" customHeight="false" outlineLevel="0" collapsed="false">
      <c r="A24" s="16" t="str">
        <f aca="false">IF(Tickers!A24="","",Tickers!A24)</f>
        <v>↑ 藍字＝手動輸入。新增股票就在第 2~21 列往下打一列，其餘分頁全自動延伸。</v>
      </c>
      <c r="B24" s="66" t="str">
        <f aca="false">IF($A24="","",IFERROR(INDEX(Tickers!$B$2:$B$100,MATCH($A24,Tickers!$A$2:$A$100,0)),""))</f>
        <v/>
      </c>
      <c r="C24" s="66" t="str">
        <f aca="false">IF($A24="","",IFERROR(INDEX(Tickers!$D$2:$D$100,MATCH($A24,Tickers!$A$2:$A$100,0)),""))</f>
        <v/>
      </c>
      <c r="D24" s="51" t="str">
        <f aca="false">IF($A24="","",IFERROR(INDEX(Raw_Price!$B$2:$B$100,MATCH($A24,Raw_Price!$A$2:$A$100,0)),""))</f>
        <v/>
      </c>
      <c r="E24" s="48" t="n">
        <f aca="false">IF($A24="","",IFERROR(SUMIFS(Raw_Q!$I$2:$I$600,Raw_Q!$A$2:$A$600,$A24,Raw_Q!$P$2:$P$600,"&gt;=1",Raw_Q!$P$2:$P$600,"&lt;=4"),""))</f>
        <v>0</v>
      </c>
      <c r="F24" s="51" t="n">
        <f aca="false">IF($A24="","",IFERROR(SUMIFS(Raw_Q!$K$2:$K$600,Raw_Q!$A$2:$A$600,$A24,Raw_Q!$P$2:$P$600,"&gt;=1",Raw_Q!$P$2:$P$600,"&lt;=4"),""))</f>
        <v>0</v>
      </c>
      <c r="G24" s="51" t="n">
        <f aca="false">IF($A24="","",IFERROR(SUMIFS(Raw_Q!$K$2:$K$600,Raw_Q!$A$2:$A$600,$A24,Raw_Q!$P$2:$P$600,"&gt;=0",Raw_Q!$P$2:$P$600,"&lt;=3"),""))</f>
        <v>0</v>
      </c>
      <c r="H24" s="51" t="str">
        <f aca="true">IF($A24="","",IFERROR(INDEX(Raw_Est!$B$2:$B$100,MATCH($A24,Raw_Est!$A$2:$A$100,0))*MIN(1,MAX(0,(INDEX(Raw_Est!$D$2:$D$100,MATCH($A24,Raw_Est!$A$2:$A$100,0))-TODAY())/Config!$B$8))+INDEX(Raw_Est!$C$2:$C$100,MATCH($A24,Raw_Est!$A$2:$A$100,0))*(1-MIN(1,MAX(0,(INDEX(Raw_Est!$D$2:$D$100,MATCH($A24,Raw_Est!$A$2:$A$100,0))-TODAY())/Config!$B$8))),""))</f>
        <v/>
      </c>
      <c r="I24" s="49" t="str">
        <f aca="false">IF($A24="","",IFERROR(SUMIFS(Raw_Q!$K$2:$K$600,Raw_Q!$A$2:$A$600,$A24,Raw_Q!$P$2:$P$600,"&gt;=1",Raw_Q!$P$2:$P$600,"&lt;=4")/SUMIFS(Raw_Q!$K$2:$K$600,Raw_Q!$A$2:$A$600,$A24,Raw_Q!$P$2:$P$600,"&gt;=5",Raw_Q!$P$2:$P$600,"&lt;=8")-1,""))</f>
        <v/>
      </c>
      <c r="J24" s="52" t="str">
        <f aca="false">IF($A24="","",IFERROR(IF(F24&lt;=0,"N/M",D24/F24),"N/M"))</f>
        <v>N/M</v>
      </c>
      <c r="K24" s="52" t="str">
        <f aca="false">IF($A24="","",IFERROR(IF(G24&lt;=0,"N/M",D24/G24),"N/M"))</f>
        <v>N/M</v>
      </c>
      <c r="L24" s="52" t="str">
        <f aca="false">IF($A24="","",IFERROR(IF(H24&lt;=0,"N/M",D24/H24),"N/M"))</f>
        <v>N/M</v>
      </c>
      <c r="M24" s="49" t="str">
        <f aca="false">IF($A24="","",IFERROR(INDEX(Raw_Est!$C$2:$C$100,MATCH($A24,Raw_Est!$A$2:$A$100,0))/INDEX(Raw_Est!$B$2:$B$100,MATCH($A24,Raw_Est!$A$2:$A$100,0))-1,""))</f>
        <v/>
      </c>
      <c r="N24" s="51" t="str">
        <f aca="false">IF($A24="","",IFERROR(IF(OR(NOT(ISNUMBER(J24)),I24&lt;Config!$B$6),"N/M",J24/(I24*100)),"N/M"))</f>
        <v>N/M</v>
      </c>
      <c r="O24" s="51" t="str">
        <f aca="false">IF($A24="","",IFERROR(IF(OR(NOT(ISNUMBER(L24)),M24&lt;Config!$B$6),"N/M",L24/(M24*100)),"N/M"))</f>
        <v>N/M</v>
      </c>
      <c r="P24" s="51" t="n">
        <f aca="false">IF($A24="","",IFERROR(SUMIFS(Raw_Q!$N$2:$N$600,Raw_Q!$A$2:$A$600,$A24,Raw_Q!$P$2:$P$600,"&gt;=1",Raw_Q!$P$2:$P$600,"&lt;=4"),""))</f>
        <v>0</v>
      </c>
      <c r="Q24" s="49" t="str">
        <f aca="false">IF($A24="","",IFERROR(IF(P24=0,"不配息",P24/D24),""))</f>
        <v>不配息</v>
      </c>
      <c r="R24" s="49" t="str">
        <f aca="false">IF($A24="","",IFERROR(IF(SUMIFS(Raw_Q!$N$2:$N$600,Raw_Q!$A$2:$A$600,$A24,Raw_Q!$P$2:$P$600,"&gt;=5",Raw_Q!$P$2:$P$600,"&lt;=8")=0,"",SUMIFS(Raw_Q!$N$2:$N$600,Raw_Q!$A$2:$A$600,$A24,Raw_Q!$P$2:$P$600,"&gt;=1",Raw_Q!$P$2:$P$600,"&lt;=4")/SUMIFS(Raw_Q!$N$2:$N$600,Raw_Q!$A$2:$A$600,$A24,Raw_Q!$P$2:$P$600,"&gt;=5",Raw_Q!$P$2:$P$600,"&lt;=8")-1),""))</f>
        <v/>
      </c>
      <c r="S24" s="49" t="str">
        <f aca="false">IF($A24="","",IFERROR(SUMIFS(Raw_Q!$I$2:$I$600,Raw_Q!$A$2:$A$600,$A24,Raw_Q!$P$2:$P$600,1)/SUMIFS(Raw_Q!$I$2:$I$600,Raw_Q!$A$2:$A$600,$A24,Raw_Q!$P$2:$P$600,5)-1,""))</f>
        <v/>
      </c>
      <c r="T24" s="49" t="str">
        <f aca="false">IF($A24="","",IFERROR(SUMIFS(Raw_Q!$I$2:$I$600,Raw_Q!$A$2:$A$600,$A24,Raw_Q!$P$2:$P$600,1)/SUMIFS(Raw_Q!$I$2:$I$600,Raw_Q!$A$2:$A$600,$A24,Raw_Q!$P$2:$P$600,2)-1,""))</f>
        <v/>
      </c>
      <c r="U24" s="49" t="str">
        <f aca="false">IF($A24="","",IFERROR(SUMIFS(Raw_Q!$I$2:$I$600,Raw_Q!$A$2:$A$600,$A24,Raw_Q!$P$2:$P$600,2)/SUMIFS(Raw_Q!$I$2:$I$600,Raw_Q!$A$2:$A$600,$A24,Raw_Q!$P$2:$P$600,3)-1,""))</f>
        <v/>
      </c>
      <c r="V24" s="68" t="str">
        <f aca="false">IF($A24="","",IFERROR((T24-U24)*100,""))</f>
        <v/>
      </c>
      <c r="W24" s="66" t="str">
        <f aca="false">IF($A24="","",IFERROR(IF(NOT(ISNUMBER(T24)),"",IF(T24&gt;0,IF(V24&gt;0,"成長且加速","成長但減速"),IF(V24&gt;0,"衰退但收斂","衰退且惡化"))),""))</f>
        <v/>
      </c>
      <c r="X24" s="68" t="str">
        <f aca="false">IF($A24="","",IFERROR((T24-(SUMIFS(Raw_Q!$I$2:$I$600,Raw_Q!$A$2:$A$600,$A24,Raw_Q!$P$2:$P$600,5)/SUMIFS(Raw_Q!$I$2:$I$600,Raw_Q!$A$2:$A$600,$A24,Raw_Q!$P$2:$P$600,6)-1))*100,""))</f>
        <v/>
      </c>
      <c r="Y24" s="49" t="str">
        <f aca="false">IF($A24="","",IFERROR(SUMIFS(Raw_Q!$K$2:$K$600,Raw_Q!$A$2:$A$600,$A24,Raw_Q!$P$2:$P$600,1)/SUMIFS(Raw_Q!$K$2:$K$600,Raw_Q!$A$2:$A$600,$A24,Raw_Q!$P$2:$P$600,5)-1,""))</f>
        <v/>
      </c>
      <c r="Z24" s="49" t="str">
        <f aca="false">IF($A24="","",IFERROR(SUMIFS(Raw_Q!$J$2:$J$600,Raw_Q!$A$2:$A$600,$A24,Raw_Q!$P$2:$P$600,"&gt;=1",Raw_Q!$P$2:$P$600,"&lt;=4")/E24,""))</f>
        <v/>
      </c>
      <c r="AA24" s="49" t="str">
        <f aca="false">IF($A24="","",IFERROR(SUMIFS(Raw_Q!$J$2:$J$600,Raw_Q!$A$2:$A$600,$A24,Raw_Q!$P$2:$P$600,"&gt;=1",Raw_Q!$P$2:$P$600,"&lt;="&amp;Config!$B$5)/SUMIFS(Raw_Q!$I$2:$I$600,Raw_Q!$A$2:$A$600,$A24,Raw_Q!$P$2:$P$600,"&gt;=1",Raw_Q!$P$2:$P$600,"&lt;="&amp;Config!$B$5),""))</f>
        <v/>
      </c>
      <c r="AB24" s="50" t="str">
        <f aca="false">IF($A24="","",IFERROR((Z24-AA24)*10000,""))</f>
        <v/>
      </c>
      <c r="AC24" s="50" t="str">
        <f aca="false">IF($A24="","",IFERROR((SUMIFS(Raw_Q!$J$2:$J$600,Raw_Q!$A$2:$A$600,$A24,Raw_Q!$P$2:$P$600,1)/SUMIFS(Raw_Q!$I$2:$I$600,Raw_Q!$A$2:$A$600,$A24,Raw_Q!$P$2:$P$600,1)-SUMIFS(Raw_Q!$J$2:$J$600,Raw_Q!$A$2:$A$600,$A24,Raw_Q!$P$2:$P$600,5)/SUMIFS(Raw_Q!$I$2:$I$600,Raw_Q!$A$2:$A$600,$A24,Raw_Q!$P$2:$P$600,5))*10000,""))</f>
        <v/>
      </c>
      <c r="AD24" s="51" t="str">
        <f aca="false">IF($A24="","",IFERROR(SUMIFS(Raw_Q!$M$2:$M$600,Raw_Q!$A$2:$A$600,$A24,Raw_Q!$P$2:$P$600,1)/SUMIFS(Raw_Q!$L$2:$L$600,Raw_Q!$A$2:$A$600,$A24,Raw_Q!$P$2:$P$600,1),""))</f>
        <v/>
      </c>
      <c r="AE24" s="48" t="n">
        <f aca="false">IF($A24="","",IFERROR(SUMPRODUCT((Raw_Q!$A$2:$A$600=$A24)*(Raw_Q!$P$2:$P$600&gt;=1)*(Raw_Q!$P$2:$P$600&lt;=4)*Raw_Q!$K$2:$K$600*Raw_Q!$L$2:$L$600),""))</f>
        <v>0</v>
      </c>
      <c r="AF24" s="49" t="str">
        <f aca="false">IF($A24="","",IFERROR(IF(MIN(SUMIFS(Raw_Q!$M$2:$M$600,Raw_Q!$A$2:$A$600,$A24,Raw_Q!$P$2:$P$600,1),SUMIFS(Raw_Q!$M$2:$M$600,Raw_Q!$A$2:$A$600,$A24,Raw_Q!$P$2:$P$600,5))&lt;=0,"N/M",AE24/((SUMIFS(Raw_Q!$M$2:$M$600,Raw_Q!$A$2:$A$600,$A24,Raw_Q!$P$2:$P$600,1)+SUMIFS(Raw_Q!$M$2:$M$600,Raw_Q!$A$2:$A$600,$A24,Raw_Q!$P$2:$P$600,5))/2)),"N/M"))</f>
        <v>N/M</v>
      </c>
      <c r="AG24" s="49" t="str">
        <f aca="false">IF($A24="","",IFERROR(AVERAGE(AO24:AS24),""))</f>
        <v/>
      </c>
      <c r="AH24" s="49" t="str">
        <f aca="false">IF($A24="","",IFERROR(IF(AD24&lt;=0,"N/M",INDEX(Raw_Est!$B$2:$B$100,MATCH($A24,Raw_Est!$A$2:$A$100,0))/AD24),"N/M"))</f>
        <v>N/M</v>
      </c>
      <c r="AI24" s="51" t="n">
        <f aca="false">IF($A24="","",IFERROR(SUMIFS(Raw_Q!$K$2:$K$600,Raw_Q!$A$2:$A$600,$A24,Raw_Q!$P$2:$P$600,0),""))</f>
        <v>0</v>
      </c>
      <c r="AJ24" s="66" t="str">
        <f aca="false">IF($A24="","",IFERROR(INDEX(Raw_Q!$B$2:$B$600,MATCH($A24&amp;"|"&amp;0,Raw_Q!$Q$2:$Q$600,0)),""))</f>
        <v/>
      </c>
      <c r="AK24" s="66" t="str">
        <f aca="false">IF($A24="","",IFERROR(INDEX(Raw_Q!$G$2:$G$600,MATCH($A24&amp;"|"&amp;0,Raw_Q!$Q$2:$Q$600,0)),""))</f>
        <v/>
      </c>
      <c r="AL24" s="47" t="str">
        <f aca="false">IF($A24="","",IFERROR(INDEX(Raw_Est!$E$2:$E$100,MATCH($A24,Raw_Est!$A$2:$A$100,0)),""))</f>
        <v/>
      </c>
      <c r="AM24" s="67" t="str">
        <f aca="false">IF($A24="","",IFERROR(INDEX(Raw_Price!$D$2:$D$100,MATCH($A24,Raw_Price!$A$2:$A$100,0)),""))</f>
        <v/>
      </c>
      <c r="AN24" s="67" t="str">
        <f aca="false">IF($A24="","",IFERROR(INDEX(Raw_Price!$E$2:$E$100,MATCH($A24,Raw_Price!$A$2:$A$100,0)),""))</f>
        <v/>
      </c>
      <c r="AO24" s="49" t="str">
        <f aca="false">IF($A24="","",IFERROR(IF(MIN(SUMIFS(Raw_Q!$M$2:$M$600,Raw_Q!$A$2:$A$600,$A24,Raw_Q!$P$2:$P$600,1),SUMIFS(Raw_Q!$M$2:$M$600,Raw_Q!$A$2:$A$600,$A24,Raw_Q!$P$2:$P$600,5))&lt;=0,"",SUMPRODUCT((Raw_Q!$A$2:$A$600=$A24)*(Raw_Q!$P$2:$P$600&gt;=1)*(Raw_Q!$P$2:$P$600&lt;=4)*Raw_Q!$K$2:$K$600*Raw_Q!$L$2:$L$600)/((SUMIFS(Raw_Q!$M$2:$M$600,Raw_Q!$A$2:$A$600,$A24,Raw_Q!$P$2:$P$600,1)+SUMIFS(Raw_Q!$M$2:$M$600,Raw_Q!$A$2:$A$600,$A24,Raw_Q!$P$2:$P$600,5))/2)),""))</f>
        <v/>
      </c>
      <c r="AP24" s="49" t="str">
        <f aca="false">IF($A24="","",IFERROR(IF(MIN(SUMIFS(Raw_Q!$M$2:$M$600,Raw_Q!$A$2:$A$600,$A24,Raw_Q!$P$2:$P$600,5),SUMIFS(Raw_Q!$M$2:$M$600,Raw_Q!$A$2:$A$600,$A24,Raw_Q!$P$2:$P$600,9))&lt;=0,"",SUMPRODUCT((Raw_Q!$A$2:$A$600=$A24)*(Raw_Q!$P$2:$P$600&gt;=5)*(Raw_Q!$P$2:$P$600&lt;=8)*Raw_Q!$K$2:$K$600*Raw_Q!$L$2:$L$600)/((SUMIFS(Raw_Q!$M$2:$M$600,Raw_Q!$A$2:$A$600,$A24,Raw_Q!$P$2:$P$600,5)+SUMIFS(Raw_Q!$M$2:$M$600,Raw_Q!$A$2:$A$600,$A24,Raw_Q!$P$2:$P$600,9))/2)),""))</f>
        <v/>
      </c>
      <c r="AQ24" s="49" t="str">
        <f aca="false">IF($A24="","",IFERROR(IF(MIN(SUMIFS(Raw_Q!$M$2:$M$600,Raw_Q!$A$2:$A$600,$A24,Raw_Q!$P$2:$P$600,9),SUMIFS(Raw_Q!$M$2:$M$600,Raw_Q!$A$2:$A$600,$A24,Raw_Q!$P$2:$P$600,13))&lt;=0,"",SUMPRODUCT((Raw_Q!$A$2:$A$600=$A24)*(Raw_Q!$P$2:$P$600&gt;=9)*(Raw_Q!$P$2:$P$600&lt;=12)*Raw_Q!$K$2:$K$600*Raw_Q!$L$2:$L$600)/((SUMIFS(Raw_Q!$M$2:$M$600,Raw_Q!$A$2:$A$600,$A24,Raw_Q!$P$2:$P$600,9)+SUMIFS(Raw_Q!$M$2:$M$600,Raw_Q!$A$2:$A$600,$A24,Raw_Q!$P$2:$P$600,13))/2)),""))</f>
        <v/>
      </c>
      <c r="AR24" s="49" t="str">
        <f aca="false">IF($A24="","",IFERROR(IF(MIN(SUMIFS(Raw_Q!$M$2:$M$600,Raw_Q!$A$2:$A$600,$A24,Raw_Q!$P$2:$P$600,13),SUMIFS(Raw_Q!$M$2:$M$600,Raw_Q!$A$2:$A$600,$A24,Raw_Q!$P$2:$P$600,17))&lt;=0,"",SUMPRODUCT((Raw_Q!$A$2:$A$600=$A24)*(Raw_Q!$P$2:$P$600&gt;=13)*(Raw_Q!$P$2:$P$600&lt;=16)*Raw_Q!$K$2:$K$600*Raw_Q!$L$2:$L$600)/((SUMIFS(Raw_Q!$M$2:$M$600,Raw_Q!$A$2:$A$600,$A24,Raw_Q!$P$2:$P$600,13)+SUMIFS(Raw_Q!$M$2:$M$600,Raw_Q!$A$2:$A$600,$A24,Raw_Q!$P$2:$P$600,17))/2)),""))</f>
        <v/>
      </c>
      <c r="AS24" s="49" t="str">
        <f aca="false">IF($A24="","",IFERROR(IF(MIN(SUMIFS(Raw_Q!$M$2:$M$600,Raw_Q!$A$2:$A$600,$A24,Raw_Q!$P$2:$P$600,17),SUMIFS(Raw_Q!$M$2:$M$600,Raw_Q!$A$2:$A$600,$A24,Raw_Q!$P$2:$P$600,21))&lt;=0,"",SUMPRODUCT((Raw_Q!$A$2:$A$600=$A24)*(Raw_Q!$P$2:$P$600&gt;=17)*(Raw_Q!$P$2:$P$600&lt;=20)*Raw_Q!$K$2:$K$600*Raw_Q!$L$2:$L$600)/((SUMIFS(Raw_Q!$M$2:$M$600,Raw_Q!$A$2:$A$600,$A24,Raw_Q!$P$2:$P$600,17)+SUMIFS(Raw_Q!$M$2:$M$600,Raw_Q!$A$2:$A$600,$A24,Raw_Q!$P$2:$P$600,21))/2)),""))</f>
        <v/>
      </c>
    </row>
    <row r="25" customFormat="false" ht="15" hidden="false" customHeight="false" outlineLevel="0" collapsed="false">
      <c r="A25" s="16" t="str">
        <f aca="false">IF(Tickers!A25="","",Tickers!A25)</f>
        <v/>
      </c>
      <c r="B25" s="66" t="str">
        <f aca="false">IF($A25="","",IFERROR(INDEX(Tickers!$B$2:$B$100,MATCH($A25,Tickers!$A$2:$A$100,0)),""))</f>
        <v/>
      </c>
      <c r="C25" s="66" t="str">
        <f aca="false">IF($A25="","",IFERROR(INDEX(Tickers!$D$2:$D$100,MATCH($A25,Tickers!$A$2:$A$100,0)),""))</f>
        <v/>
      </c>
      <c r="D25" s="51" t="str">
        <f aca="false">IF($A25="","",IFERROR(INDEX(Raw_Price!$B$2:$B$100,MATCH($A25,Raw_Price!$A$2:$A$100,0)),""))</f>
        <v/>
      </c>
      <c r="E25" s="48" t="str">
        <f aca="false">IF($A25="","",IFERROR(SUMIFS(Raw_Q!$I$2:$I$600,Raw_Q!$A$2:$A$600,$A25,Raw_Q!$P$2:$P$600,"&gt;=1",Raw_Q!$P$2:$P$600,"&lt;=4"),""))</f>
        <v/>
      </c>
      <c r="F25" s="51" t="str">
        <f aca="false">IF($A25="","",IFERROR(SUMIFS(Raw_Q!$K$2:$K$600,Raw_Q!$A$2:$A$600,$A25,Raw_Q!$P$2:$P$600,"&gt;=1",Raw_Q!$P$2:$P$600,"&lt;=4"),""))</f>
        <v/>
      </c>
      <c r="G25" s="51" t="str">
        <f aca="false">IF($A25="","",IFERROR(SUMIFS(Raw_Q!$K$2:$K$600,Raw_Q!$A$2:$A$600,$A25,Raw_Q!$P$2:$P$600,"&gt;=0",Raw_Q!$P$2:$P$600,"&lt;=3"),""))</f>
        <v/>
      </c>
      <c r="H25" s="51" t="str">
        <f aca="true">IF($A25="","",IFERROR(INDEX(Raw_Est!$B$2:$B$100,MATCH($A25,Raw_Est!$A$2:$A$100,0))*MIN(1,MAX(0,(INDEX(Raw_Est!$D$2:$D$100,MATCH($A25,Raw_Est!$A$2:$A$100,0))-TODAY())/Config!$B$8))+INDEX(Raw_Est!$C$2:$C$100,MATCH($A25,Raw_Est!$A$2:$A$100,0))*(1-MIN(1,MAX(0,(INDEX(Raw_Est!$D$2:$D$100,MATCH($A25,Raw_Est!$A$2:$A$100,0))-TODAY())/Config!$B$8))),""))</f>
        <v/>
      </c>
      <c r="I25" s="49" t="str">
        <f aca="false">IF($A25="","",IFERROR(SUMIFS(Raw_Q!$K$2:$K$600,Raw_Q!$A$2:$A$600,$A25,Raw_Q!$P$2:$P$600,"&gt;=1",Raw_Q!$P$2:$P$600,"&lt;=4")/SUMIFS(Raw_Q!$K$2:$K$600,Raw_Q!$A$2:$A$600,$A25,Raw_Q!$P$2:$P$600,"&gt;=5",Raw_Q!$P$2:$P$600,"&lt;=8")-1,""))</f>
        <v/>
      </c>
      <c r="J25" s="52" t="str">
        <f aca="false">IF($A25="","",IFERROR(IF(F25&lt;=0,"N/M",D25/F25),"N/M"))</f>
        <v/>
      </c>
      <c r="K25" s="52" t="str">
        <f aca="false">IF($A25="","",IFERROR(IF(G25&lt;=0,"N/M",D25/G25),"N/M"))</f>
        <v/>
      </c>
      <c r="L25" s="52" t="str">
        <f aca="false">IF($A25="","",IFERROR(IF(H25&lt;=0,"N/M",D25/H25),"N/M"))</f>
        <v/>
      </c>
      <c r="M25" s="49" t="str">
        <f aca="false">IF($A25="","",IFERROR(INDEX(Raw_Est!$C$2:$C$100,MATCH($A25,Raw_Est!$A$2:$A$100,0))/INDEX(Raw_Est!$B$2:$B$100,MATCH($A25,Raw_Est!$A$2:$A$100,0))-1,""))</f>
        <v/>
      </c>
      <c r="N25" s="51" t="str">
        <f aca="false">IF($A25="","",IFERROR(IF(OR(NOT(ISNUMBER(J25)),I25&lt;Config!$B$6),"N/M",J25/(I25*100)),"N/M"))</f>
        <v/>
      </c>
      <c r="O25" s="51" t="str">
        <f aca="false">IF($A25="","",IFERROR(IF(OR(NOT(ISNUMBER(L25)),M25&lt;Config!$B$6),"N/M",L25/(M25*100)),"N/M"))</f>
        <v/>
      </c>
      <c r="P25" s="51" t="str">
        <f aca="false">IF($A25="","",IFERROR(SUMIFS(Raw_Q!$N$2:$N$600,Raw_Q!$A$2:$A$600,$A25,Raw_Q!$P$2:$P$600,"&gt;=1",Raw_Q!$P$2:$P$600,"&lt;=4"),""))</f>
        <v/>
      </c>
      <c r="Q25" s="49" t="str">
        <f aca="false">IF($A25="","",IFERROR(IF(P25=0,"不配息",P25/D25),""))</f>
        <v/>
      </c>
      <c r="R25" s="49" t="str">
        <f aca="false">IF($A25="","",IFERROR(IF(SUMIFS(Raw_Q!$N$2:$N$600,Raw_Q!$A$2:$A$600,$A25,Raw_Q!$P$2:$P$600,"&gt;=5",Raw_Q!$P$2:$P$600,"&lt;=8")=0,"",SUMIFS(Raw_Q!$N$2:$N$600,Raw_Q!$A$2:$A$600,$A25,Raw_Q!$P$2:$P$600,"&gt;=1",Raw_Q!$P$2:$P$600,"&lt;=4")/SUMIFS(Raw_Q!$N$2:$N$600,Raw_Q!$A$2:$A$600,$A25,Raw_Q!$P$2:$P$600,"&gt;=5",Raw_Q!$P$2:$P$600,"&lt;=8")-1),""))</f>
        <v/>
      </c>
      <c r="S25" s="49" t="str">
        <f aca="false">IF($A25="","",IFERROR(SUMIFS(Raw_Q!$I$2:$I$600,Raw_Q!$A$2:$A$600,$A25,Raw_Q!$P$2:$P$600,1)/SUMIFS(Raw_Q!$I$2:$I$600,Raw_Q!$A$2:$A$600,$A25,Raw_Q!$P$2:$P$600,5)-1,""))</f>
        <v/>
      </c>
      <c r="T25" s="49" t="str">
        <f aca="false">IF($A25="","",IFERROR(SUMIFS(Raw_Q!$I$2:$I$600,Raw_Q!$A$2:$A$600,$A25,Raw_Q!$P$2:$P$600,1)/SUMIFS(Raw_Q!$I$2:$I$600,Raw_Q!$A$2:$A$600,$A25,Raw_Q!$P$2:$P$600,2)-1,""))</f>
        <v/>
      </c>
      <c r="U25" s="49" t="str">
        <f aca="false">IF($A25="","",IFERROR(SUMIFS(Raw_Q!$I$2:$I$600,Raw_Q!$A$2:$A$600,$A25,Raw_Q!$P$2:$P$600,2)/SUMIFS(Raw_Q!$I$2:$I$600,Raw_Q!$A$2:$A$600,$A25,Raw_Q!$P$2:$P$600,3)-1,""))</f>
        <v/>
      </c>
      <c r="V25" s="68" t="str">
        <f aca="false">IF($A25="","",IFERROR((T25-U25)*100,""))</f>
        <v/>
      </c>
      <c r="W25" s="66" t="str">
        <f aca="false">IF($A25="","",IFERROR(IF(NOT(ISNUMBER(T25)),"",IF(T25&gt;0,IF(V25&gt;0,"成長且加速","成長但減速"),IF(V25&gt;0,"衰退但收斂","衰退且惡化"))),""))</f>
        <v/>
      </c>
      <c r="X25" s="68" t="str">
        <f aca="false">IF($A25="","",IFERROR((T25-(SUMIFS(Raw_Q!$I$2:$I$600,Raw_Q!$A$2:$A$600,$A25,Raw_Q!$P$2:$P$600,5)/SUMIFS(Raw_Q!$I$2:$I$600,Raw_Q!$A$2:$A$600,$A25,Raw_Q!$P$2:$P$600,6)-1))*100,""))</f>
        <v/>
      </c>
      <c r="Y25" s="49" t="str">
        <f aca="false">IF($A25="","",IFERROR(SUMIFS(Raw_Q!$K$2:$K$600,Raw_Q!$A$2:$A$600,$A25,Raw_Q!$P$2:$P$600,1)/SUMIFS(Raw_Q!$K$2:$K$600,Raw_Q!$A$2:$A$600,$A25,Raw_Q!$P$2:$P$600,5)-1,""))</f>
        <v/>
      </c>
      <c r="Z25" s="49" t="str">
        <f aca="false">IF($A25="","",IFERROR(SUMIFS(Raw_Q!$J$2:$J$600,Raw_Q!$A$2:$A$600,$A25,Raw_Q!$P$2:$P$600,"&gt;=1",Raw_Q!$P$2:$P$600,"&lt;=4")/E25,""))</f>
        <v/>
      </c>
      <c r="AA25" s="49" t="str">
        <f aca="false">IF($A25="","",IFERROR(SUMIFS(Raw_Q!$J$2:$J$600,Raw_Q!$A$2:$A$600,$A25,Raw_Q!$P$2:$P$600,"&gt;=1",Raw_Q!$P$2:$P$600,"&lt;="&amp;Config!$B$5)/SUMIFS(Raw_Q!$I$2:$I$600,Raw_Q!$A$2:$A$600,$A25,Raw_Q!$P$2:$P$600,"&gt;=1",Raw_Q!$P$2:$P$600,"&lt;="&amp;Config!$B$5),""))</f>
        <v/>
      </c>
      <c r="AB25" s="50" t="str">
        <f aca="false">IF($A25="","",IFERROR((Z25-AA25)*10000,""))</f>
        <v/>
      </c>
      <c r="AC25" s="50" t="str">
        <f aca="false">IF($A25="","",IFERROR((SUMIFS(Raw_Q!$J$2:$J$600,Raw_Q!$A$2:$A$600,$A25,Raw_Q!$P$2:$P$600,1)/SUMIFS(Raw_Q!$I$2:$I$600,Raw_Q!$A$2:$A$600,$A25,Raw_Q!$P$2:$P$600,1)-SUMIFS(Raw_Q!$J$2:$J$600,Raw_Q!$A$2:$A$600,$A25,Raw_Q!$P$2:$P$600,5)/SUMIFS(Raw_Q!$I$2:$I$600,Raw_Q!$A$2:$A$600,$A25,Raw_Q!$P$2:$P$600,5))*10000,""))</f>
        <v/>
      </c>
      <c r="AD25" s="51" t="str">
        <f aca="false">IF($A25="","",IFERROR(SUMIFS(Raw_Q!$M$2:$M$600,Raw_Q!$A$2:$A$600,$A25,Raw_Q!$P$2:$P$600,1)/SUMIFS(Raw_Q!$L$2:$L$600,Raw_Q!$A$2:$A$600,$A25,Raw_Q!$P$2:$P$600,1),""))</f>
        <v/>
      </c>
      <c r="AE25" s="48" t="str">
        <f aca="false">IF($A25="","",IFERROR(SUMPRODUCT((Raw_Q!$A$2:$A$600=$A25)*(Raw_Q!$P$2:$P$600&gt;=1)*(Raw_Q!$P$2:$P$600&lt;=4)*Raw_Q!$K$2:$K$600*Raw_Q!$L$2:$L$600),""))</f>
        <v/>
      </c>
      <c r="AF25" s="49" t="str">
        <f aca="false">IF($A25="","",IFERROR(IF(MIN(SUMIFS(Raw_Q!$M$2:$M$600,Raw_Q!$A$2:$A$600,$A25,Raw_Q!$P$2:$P$600,1),SUMIFS(Raw_Q!$M$2:$M$600,Raw_Q!$A$2:$A$600,$A25,Raw_Q!$P$2:$P$600,5))&lt;=0,"N/M",AE25/((SUMIFS(Raw_Q!$M$2:$M$600,Raw_Q!$A$2:$A$600,$A25,Raw_Q!$P$2:$P$600,1)+SUMIFS(Raw_Q!$M$2:$M$600,Raw_Q!$A$2:$A$600,$A25,Raw_Q!$P$2:$P$600,5))/2)),"N/M"))</f>
        <v/>
      </c>
      <c r="AG25" s="49" t="str">
        <f aca="false">IF($A25="","",IFERROR(AVERAGE(AO25:AS25),""))</f>
        <v/>
      </c>
      <c r="AH25" s="49" t="str">
        <f aca="false">IF($A25="","",IFERROR(IF(AD25&lt;=0,"N/M",INDEX(Raw_Est!$B$2:$B$100,MATCH($A25,Raw_Est!$A$2:$A$100,0))/AD25),"N/M"))</f>
        <v/>
      </c>
      <c r="AI25" s="51" t="str">
        <f aca="false">IF($A25="","",IFERROR(SUMIFS(Raw_Q!$K$2:$K$600,Raw_Q!$A$2:$A$600,$A25,Raw_Q!$P$2:$P$600,0),""))</f>
        <v/>
      </c>
      <c r="AJ25" s="66" t="str">
        <f aca="false">IF($A25="","",IFERROR(INDEX(Raw_Q!$B$2:$B$600,MATCH($A25&amp;"|"&amp;0,Raw_Q!$Q$2:$Q$600,0)),""))</f>
        <v/>
      </c>
      <c r="AK25" s="66" t="str">
        <f aca="false">IF($A25="","",IFERROR(INDEX(Raw_Q!$G$2:$G$600,MATCH($A25&amp;"|"&amp;0,Raw_Q!$Q$2:$Q$600,0)),""))</f>
        <v/>
      </c>
      <c r="AL25" s="47" t="str">
        <f aca="false">IF($A25="","",IFERROR(INDEX(Raw_Est!$E$2:$E$100,MATCH($A25,Raw_Est!$A$2:$A$100,0)),""))</f>
        <v/>
      </c>
      <c r="AM25" s="67" t="str">
        <f aca="false">IF($A25="","",IFERROR(INDEX(Raw_Price!$D$2:$D$100,MATCH($A25,Raw_Price!$A$2:$A$100,0)),""))</f>
        <v/>
      </c>
      <c r="AN25" s="67" t="str">
        <f aca="false">IF($A25="","",IFERROR(INDEX(Raw_Price!$E$2:$E$100,MATCH($A25,Raw_Price!$A$2:$A$100,0)),""))</f>
        <v/>
      </c>
      <c r="AO25" s="49" t="str">
        <f aca="false">IF($A25="","",IFERROR(IF(MIN(SUMIFS(Raw_Q!$M$2:$M$600,Raw_Q!$A$2:$A$600,$A25,Raw_Q!$P$2:$P$600,1),SUMIFS(Raw_Q!$M$2:$M$600,Raw_Q!$A$2:$A$600,$A25,Raw_Q!$P$2:$P$600,5))&lt;=0,"",SUMPRODUCT((Raw_Q!$A$2:$A$600=$A25)*(Raw_Q!$P$2:$P$600&gt;=1)*(Raw_Q!$P$2:$P$600&lt;=4)*Raw_Q!$K$2:$K$600*Raw_Q!$L$2:$L$600)/((SUMIFS(Raw_Q!$M$2:$M$600,Raw_Q!$A$2:$A$600,$A25,Raw_Q!$P$2:$P$600,1)+SUMIFS(Raw_Q!$M$2:$M$600,Raw_Q!$A$2:$A$600,$A25,Raw_Q!$P$2:$P$600,5))/2)),""))</f>
        <v/>
      </c>
      <c r="AP25" s="49" t="str">
        <f aca="false">IF($A25="","",IFERROR(IF(MIN(SUMIFS(Raw_Q!$M$2:$M$600,Raw_Q!$A$2:$A$600,$A25,Raw_Q!$P$2:$P$600,5),SUMIFS(Raw_Q!$M$2:$M$600,Raw_Q!$A$2:$A$600,$A25,Raw_Q!$P$2:$P$600,9))&lt;=0,"",SUMPRODUCT((Raw_Q!$A$2:$A$600=$A25)*(Raw_Q!$P$2:$P$600&gt;=5)*(Raw_Q!$P$2:$P$600&lt;=8)*Raw_Q!$K$2:$K$600*Raw_Q!$L$2:$L$600)/((SUMIFS(Raw_Q!$M$2:$M$600,Raw_Q!$A$2:$A$600,$A25,Raw_Q!$P$2:$P$600,5)+SUMIFS(Raw_Q!$M$2:$M$600,Raw_Q!$A$2:$A$600,$A25,Raw_Q!$P$2:$P$600,9))/2)),""))</f>
        <v/>
      </c>
      <c r="AQ25" s="49" t="str">
        <f aca="false">IF($A25="","",IFERROR(IF(MIN(SUMIFS(Raw_Q!$M$2:$M$600,Raw_Q!$A$2:$A$600,$A25,Raw_Q!$P$2:$P$600,9),SUMIFS(Raw_Q!$M$2:$M$600,Raw_Q!$A$2:$A$600,$A25,Raw_Q!$P$2:$P$600,13))&lt;=0,"",SUMPRODUCT((Raw_Q!$A$2:$A$600=$A25)*(Raw_Q!$P$2:$P$600&gt;=9)*(Raw_Q!$P$2:$P$600&lt;=12)*Raw_Q!$K$2:$K$600*Raw_Q!$L$2:$L$600)/((SUMIFS(Raw_Q!$M$2:$M$600,Raw_Q!$A$2:$A$600,$A25,Raw_Q!$P$2:$P$600,9)+SUMIFS(Raw_Q!$M$2:$M$600,Raw_Q!$A$2:$A$600,$A25,Raw_Q!$P$2:$P$600,13))/2)),""))</f>
        <v/>
      </c>
      <c r="AR25" s="49" t="str">
        <f aca="false">IF($A25="","",IFERROR(IF(MIN(SUMIFS(Raw_Q!$M$2:$M$600,Raw_Q!$A$2:$A$600,$A25,Raw_Q!$P$2:$P$600,13),SUMIFS(Raw_Q!$M$2:$M$600,Raw_Q!$A$2:$A$600,$A25,Raw_Q!$P$2:$P$600,17))&lt;=0,"",SUMPRODUCT((Raw_Q!$A$2:$A$600=$A25)*(Raw_Q!$P$2:$P$600&gt;=13)*(Raw_Q!$P$2:$P$600&lt;=16)*Raw_Q!$K$2:$K$600*Raw_Q!$L$2:$L$600)/((SUMIFS(Raw_Q!$M$2:$M$600,Raw_Q!$A$2:$A$600,$A25,Raw_Q!$P$2:$P$600,13)+SUMIFS(Raw_Q!$M$2:$M$600,Raw_Q!$A$2:$A$600,$A25,Raw_Q!$P$2:$P$600,17))/2)),""))</f>
        <v/>
      </c>
      <c r="AS25" s="49" t="str">
        <f aca="false">IF($A25="","",IFERROR(IF(MIN(SUMIFS(Raw_Q!$M$2:$M$600,Raw_Q!$A$2:$A$600,$A25,Raw_Q!$P$2:$P$600,17),SUMIFS(Raw_Q!$M$2:$M$600,Raw_Q!$A$2:$A$600,$A25,Raw_Q!$P$2:$P$600,21))&lt;=0,"",SUMPRODUCT((Raw_Q!$A$2:$A$600=$A25)*(Raw_Q!$P$2:$P$600&gt;=17)*(Raw_Q!$P$2:$P$600&lt;=20)*Raw_Q!$K$2:$K$600*Raw_Q!$L$2:$L$600)/((SUMIFS(Raw_Q!$M$2:$M$600,Raw_Q!$A$2:$A$600,$A25,Raw_Q!$P$2:$P$600,17)+SUMIFS(Raw_Q!$M$2:$M$600,Raw_Q!$A$2:$A$600,$A25,Raw_Q!$P$2:$P$600,21))/2)),""))</f>
        <v/>
      </c>
    </row>
    <row r="26" customFormat="false" ht="15" hidden="false" customHeight="false" outlineLevel="0" collapsed="false">
      <c r="A26" s="16" t="str">
        <f aca="false">IF(Tickers!A26="","",Tickers!A26)</f>
        <v/>
      </c>
      <c r="B26" s="66" t="str">
        <f aca="false">IF($A26="","",IFERROR(INDEX(Tickers!$B$2:$B$100,MATCH($A26,Tickers!$A$2:$A$100,0)),""))</f>
        <v/>
      </c>
      <c r="C26" s="66" t="str">
        <f aca="false">IF($A26="","",IFERROR(INDEX(Tickers!$D$2:$D$100,MATCH($A26,Tickers!$A$2:$A$100,0)),""))</f>
        <v/>
      </c>
      <c r="D26" s="51" t="str">
        <f aca="false">IF($A26="","",IFERROR(INDEX(Raw_Price!$B$2:$B$100,MATCH($A26,Raw_Price!$A$2:$A$100,0)),""))</f>
        <v/>
      </c>
      <c r="E26" s="48" t="str">
        <f aca="false">IF($A26="","",IFERROR(SUMIFS(Raw_Q!$I$2:$I$600,Raw_Q!$A$2:$A$600,$A26,Raw_Q!$P$2:$P$600,"&gt;=1",Raw_Q!$P$2:$P$600,"&lt;=4"),""))</f>
        <v/>
      </c>
      <c r="F26" s="51" t="str">
        <f aca="false">IF($A26="","",IFERROR(SUMIFS(Raw_Q!$K$2:$K$600,Raw_Q!$A$2:$A$600,$A26,Raw_Q!$P$2:$P$600,"&gt;=1",Raw_Q!$P$2:$P$600,"&lt;=4"),""))</f>
        <v/>
      </c>
      <c r="G26" s="51" t="str">
        <f aca="false">IF($A26="","",IFERROR(SUMIFS(Raw_Q!$K$2:$K$600,Raw_Q!$A$2:$A$600,$A26,Raw_Q!$P$2:$P$600,"&gt;=0",Raw_Q!$P$2:$P$600,"&lt;=3"),""))</f>
        <v/>
      </c>
      <c r="H26" s="51" t="str">
        <f aca="true">IF($A26="","",IFERROR(INDEX(Raw_Est!$B$2:$B$100,MATCH($A26,Raw_Est!$A$2:$A$100,0))*MIN(1,MAX(0,(INDEX(Raw_Est!$D$2:$D$100,MATCH($A26,Raw_Est!$A$2:$A$100,0))-TODAY())/Config!$B$8))+INDEX(Raw_Est!$C$2:$C$100,MATCH($A26,Raw_Est!$A$2:$A$100,0))*(1-MIN(1,MAX(0,(INDEX(Raw_Est!$D$2:$D$100,MATCH($A26,Raw_Est!$A$2:$A$100,0))-TODAY())/Config!$B$8))),""))</f>
        <v/>
      </c>
      <c r="I26" s="49" t="str">
        <f aca="false">IF($A26="","",IFERROR(SUMIFS(Raw_Q!$K$2:$K$600,Raw_Q!$A$2:$A$600,$A26,Raw_Q!$P$2:$P$600,"&gt;=1",Raw_Q!$P$2:$P$600,"&lt;=4")/SUMIFS(Raw_Q!$K$2:$K$600,Raw_Q!$A$2:$A$600,$A26,Raw_Q!$P$2:$P$600,"&gt;=5",Raw_Q!$P$2:$P$600,"&lt;=8")-1,""))</f>
        <v/>
      </c>
      <c r="J26" s="52" t="str">
        <f aca="false">IF($A26="","",IFERROR(IF(F26&lt;=0,"N/M",D26/F26),"N/M"))</f>
        <v/>
      </c>
      <c r="K26" s="52" t="str">
        <f aca="false">IF($A26="","",IFERROR(IF(G26&lt;=0,"N/M",D26/G26),"N/M"))</f>
        <v/>
      </c>
      <c r="L26" s="52" t="str">
        <f aca="false">IF($A26="","",IFERROR(IF(H26&lt;=0,"N/M",D26/H26),"N/M"))</f>
        <v/>
      </c>
      <c r="M26" s="49" t="str">
        <f aca="false">IF($A26="","",IFERROR(INDEX(Raw_Est!$C$2:$C$100,MATCH($A26,Raw_Est!$A$2:$A$100,0))/INDEX(Raw_Est!$B$2:$B$100,MATCH($A26,Raw_Est!$A$2:$A$100,0))-1,""))</f>
        <v/>
      </c>
      <c r="N26" s="51" t="str">
        <f aca="false">IF($A26="","",IFERROR(IF(OR(NOT(ISNUMBER(J26)),I26&lt;Config!$B$6),"N/M",J26/(I26*100)),"N/M"))</f>
        <v/>
      </c>
      <c r="O26" s="51" t="str">
        <f aca="false">IF($A26="","",IFERROR(IF(OR(NOT(ISNUMBER(L26)),M26&lt;Config!$B$6),"N/M",L26/(M26*100)),"N/M"))</f>
        <v/>
      </c>
      <c r="P26" s="51" t="str">
        <f aca="false">IF($A26="","",IFERROR(SUMIFS(Raw_Q!$N$2:$N$600,Raw_Q!$A$2:$A$600,$A26,Raw_Q!$P$2:$P$600,"&gt;=1",Raw_Q!$P$2:$P$600,"&lt;=4"),""))</f>
        <v/>
      </c>
      <c r="Q26" s="49" t="str">
        <f aca="false">IF($A26="","",IFERROR(IF(P26=0,"不配息",P26/D26),""))</f>
        <v/>
      </c>
      <c r="R26" s="49" t="str">
        <f aca="false">IF($A26="","",IFERROR(IF(SUMIFS(Raw_Q!$N$2:$N$600,Raw_Q!$A$2:$A$600,$A26,Raw_Q!$P$2:$P$600,"&gt;=5",Raw_Q!$P$2:$P$600,"&lt;=8")=0,"",SUMIFS(Raw_Q!$N$2:$N$600,Raw_Q!$A$2:$A$600,$A26,Raw_Q!$P$2:$P$600,"&gt;=1",Raw_Q!$P$2:$P$600,"&lt;=4")/SUMIFS(Raw_Q!$N$2:$N$600,Raw_Q!$A$2:$A$600,$A26,Raw_Q!$P$2:$P$600,"&gt;=5",Raw_Q!$P$2:$P$600,"&lt;=8")-1),""))</f>
        <v/>
      </c>
      <c r="S26" s="49" t="str">
        <f aca="false">IF($A26="","",IFERROR(SUMIFS(Raw_Q!$I$2:$I$600,Raw_Q!$A$2:$A$600,$A26,Raw_Q!$P$2:$P$600,1)/SUMIFS(Raw_Q!$I$2:$I$600,Raw_Q!$A$2:$A$600,$A26,Raw_Q!$P$2:$P$600,5)-1,""))</f>
        <v/>
      </c>
      <c r="T26" s="49" t="str">
        <f aca="false">IF($A26="","",IFERROR(SUMIFS(Raw_Q!$I$2:$I$600,Raw_Q!$A$2:$A$600,$A26,Raw_Q!$P$2:$P$600,1)/SUMIFS(Raw_Q!$I$2:$I$600,Raw_Q!$A$2:$A$600,$A26,Raw_Q!$P$2:$P$600,2)-1,""))</f>
        <v/>
      </c>
      <c r="U26" s="49" t="str">
        <f aca="false">IF($A26="","",IFERROR(SUMIFS(Raw_Q!$I$2:$I$600,Raw_Q!$A$2:$A$600,$A26,Raw_Q!$P$2:$P$600,2)/SUMIFS(Raw_Q!$I$2:$I$600,Raw_Q!$A$2:$A$600,$A26,Raw_Q!$P$2:$P$600,3)-1,""))</f>
        <v/>
      </c>
      <c r="V26" s="68" t="str">
        <f aca="false">IF($A26="","",IFERROR((T26-U26)*100,""))</f>
        <v/>
      </c>
      <c r="W26" s="66" t="str">
        <f aca="false">IF($A26="","",IFERROR(IF(NOT(ISNUMBER(T26)),"",IF(T26&gt;0,IF(V26&gt;0,"成長且加速","成長但減速"),IF(V26&gt;0,"衰退但收斂","衰退且惡化"))),""))</f>
        <v/>
      </c>
      <c r="X26" s="68" t="str">
        <f aca="false">IF($A26="","",IFERROR((T26-(SUMIFS(Raw_Q!$I$2:$I$600,Raw_Q!$A$2:$A$600,$A26,Raw_Q!$P$2:$P$600,5)/SUMIFS(Raw_Q!$I$2:$I$600,Raw_Q!$A$2:$A$600,$A26,Raw_Q!$P$2:$P$600,6)-1))*100,""))</f>
        <v/>
      </c>
      <c r="Y26" s="49" t="str">
        <f aca="false">IF($A26="","",IFERROR(SUMIFS(Raw_Q!$K$2:$K$600,Raw_Q!$A$2:$A$600,$A26,Raw_Q!$P$2:$P$600,1)/SUMIFS(Raw_Q!$K$2:$K$600,Raw_Q!$A$2:$A$600,$A26,Raw_Q!$P$2:$P$600,5)-1,""))</f>
        <v/>
      </c>
      <c r="Z26" s="49" t="str">
        <f aca="false">IF($A26="","",IFERROR(SUMIFS(Raw_Q!$J$2:$J$600,Raw_Q!$A$2:$A$600,$A26,Raw_Q!$P$2:$P$600,"&gt;=1",Raw_Q!$P$2:$P$600,"&lt;=4")/E26,""))</f>
        <v/>
      </c>
      <c r="AA26" s="49" t="str">
        <f aca="false">IF($A26="","",IFERROR(SUMIFS(Raw_Q!$J$2:$J$600,Raw_Q!$A$2:$A$600,$A26,Raw_Q!$P$2:$P$600,"&gt;=1",Raw_Q!$P$2:$P$600,"&lt;="&amp;Config!$B$5)/SUMIFS(Raw_Q!$I$2:$I$600,Raw_Q!$A$2:$A$600,$A26,Raw_Q!$P$2:$P$600,"&gt;=1",Raw_Q!$P$2:$P$600,"&lt;="&amp;Config!$B$5),""))</f>
        <v/>
      </c>
      <c r="AB26" s="50" t="str">
        <f aca="false">IF($A26="","",IFERROR((Z26-AA26)*10000,""))</f>
        <v/>
      </c>
      <c r="AC26" s="50" t="str">
        <f aca="false">IF($A26="","",IFERROR((SUMIFS(Raw_Q!$J$2:$J$600,Raw_Q!$A$2:$A$600,$A26,Raw_Q!$P$2:$P$600,1)/SUMIFS(Raw_Q!$I$2:$I$600,Raw_Q!$A$2:$A$600,$A26,Raw_Q!$P$2:$P$600,1)-SUMIFS(Raw_Q!$J$2:$J$600,Raw_Q!$A$2:$A$600,$A26,Raw_Q!$P$2:$P$600,5)/SUMIFS(Raw_Q!$I$2:$I$600,Raw_Q!$A$2:$A$600,$A26,Raw_Q!$P$2:$P$600,5))*10000,""))</f>
        <v/>
      </c>
      <c r="AD26" s="51" t="str">
        <f aca="false">IF($A26="","",IFERROR(SUMIFS(Raw_Q!$M$2:$M$600,Raw_Q!$A$2:$A$600,$A26,Raw_Q!$P$2:$P$600,1)/SUMIFS(Raw_Q!$L$2:$L$600,Raw_Q!$A$2:$A$600,$A26,Raw_Q!$P$2:$P$600,1),""))</f>
        <v/>
      </c>
      <c r="AE26" s="48" t="str">
        <f aca="false">IF($A26="","",IFERROR(SUMPRODUCT((Raw_Q!$A$2:$A$600=$A26)*(Raw_Q!$P$2:$P$600&gt;=1)*(Raw_Q!$P$2:$P$600&lt;=4)*Raw_Q!$K$2:$K$600*Raw_Q!$L$2:$L$600),""))</f>
        <v/>
      </c>
      <c r="AF26" s="49" t="str">
        <f aca="false">IF($A26="","",IFERROR(IF(MIN(SUMIFS(Raw_Q!$M$2:$M$600,Raw_Q!$A$2:$A$600,$A26,Raw_Q!$P$2:$P$600,1),SUMIFS(Raw_Q!$M$2:$M$600,Raw_Q!$A$2:$A$600,$A26,Raw_Q!$P$2:$P$600,5))&lt;=0,"N/M",AE26/((SUMIFS(Raw_Q!$M$2:$M$600,Raw_Q!$A$2:$A$600,$A26,Raw_Q!$P$2:$P$600,1)+SUMIFS(Raw_Q!$M$2:$M$600,Raw_Q!$A$2:$A$600,$A26,Raw_Q!$P$2:$P$600,5))/2)),"N/M"))</f>
        <v/>
      </c>
      <c r="AG26" s="49" t="str">
        <f aca="false">IF($A26="","",IFERROR(AVERAGE(AO26:AS26),""))</f>
        <v/>
      </c>
      <c r="AH26" s="49" t="str">
        <f aca="false">IF($A26="","",IFERROR(IF(AD26&lt;=0,"N/M",INDEX(Raw_Est!$B$2:$B$100,MATCH($A26,Raw_Est!$A$2:$A$100,0))/AD26),"N/M"))</f>
        <v/>
      </c>
      <c r="AI26" s="51" t="str">
        <f aca="false">IF($A26="","",IFERROR(SUMIFS(Raw_Q!$K$2:$K$600,Raw_Q!$A$2:$A$600,$A26,Raw_Q!$P$2:$P$600,0),""))</f>
        <v/>
      </c>
      <c r="AJ26" s="66" t="str">
        <f aca="false">IF($A26="","",IFERROR(INDEX(Raw_Q!$B$2:$B$600,MATCH($A26&amp;"|"&amp;0,Raw_Q!$Q$2:$Q$600,0)),""))</f>
        <v/>
      </c>
      <c r="AK26" s="66" t="str">
        <f aca="false">IF($A26="","",IFERROR(INDEX(Raw_Q!$G$2:$G$600,MATCH($A26&amp;"|"&amp;0,Raw_Q!$Q$2:$Q$600,0)),""))</f>
        <v/>
      </c>
      <c r="AL26" s="47" t="str">
        <f aca="false">IF($A26="","",IFERROR(INDEX(Raw_Est!$E$2:$E$100,MATCH($A26,Raw_Est!$A$2:$A$100,0)),""))</f>
        <v/>
      </c>
      <c r="AM26" s="67" t="str">
        <f aca="false">IF($A26="","",IFERROR(INDEX(Raw_Price!$D$2:$D$100,MATCH($A26,Raw_Price!$A$2:$A$100,0)),""))</f>
        <v/>
      </c>
      <c r="AN26" s="67" t="str">
        <f aca="false">IF($A26="","",IFERROR(INDEX(Raw_Price!$E$2:$E$100,MATCH($A26,Raw_Price!$A$2:$A$100,0)),""))</f>
        <v/>
      </c>
      <c r="AO26" s="49" t="str">
        <f aca="false">IF($A26="","",IFERROR(IF(MIN(SUMIFS(Raw_Q!$M$2:$M$600,Raw_Q!$A$2:$A$600,$A26,Raw_Q!$P$2:$P$600,1),SUMIFS(Raw_Q!$M$2:$M$600,Raw_Q!$A$2:$A$600,$A26,Raw_Q!$P$2:$P$600,5))&lt;=0,"",SUMPRODUCT((Raw_Q!$A$2:$A$600=$A26)*(Raw_Q!$P$2:$P$600&gt;=1)*(Raw_Q!$P$2:$P$600&lt;=4)*Raw_Q!$K$2:$K$600*Raw_Q!$L$2:$L$600)/((SUMIFS(Raw_Q!$M$2:$M$600,Raw_Q!$A$2:$A$600,$A26,Raw_Q!$P$2:$P$600,1)+SUMIFS(Raw_Q!$M$2:$M$600,Raw_Q!$A$2:$A$600,$A26,Raw_Q!$P$2:$P$600,5))/2)),""))</f>
        <v/>
      </c>
      <c r="AP26" s="49" t="str">
        <f aca="false">IF($A26="","",IFERROR(IF(MIN(SUMIFS(Raw_Q!$M$2:$M$600,Raw_Q!$A$2:$A$600,$A26,Raw_Q!$P$2:$P$600,5),SUMIFS(Raw_Q!$M$2:$M$600,Raw_Q!$A$2:$A$600,$A26,Raw_Q!$P$2:$P$600,9))&lt;=0,"",SUMPRODUCT((Raw_Q!$A$2:$A$600=$A26)*(Raw_Q!$P$2:$P$600&gt;=5)*(Raw_Q!$P$2:$P$600&lt;=8)*Raw_Q!$K$2:$K$600*Raw_Q!$L$2:$L$600)/((SUMIFS(Raw_Q!$M$2:$M$600,Raw_Q!$A$2:$A$600,$A26,Raw_Q!$P$2:$P$600,5)+SUMIFS(Raw_Q!$M$2:$M$600,Raw_Q!$A$2:$A$600,$A26,Raw_Q!$P$2:$P$600,9))/2)),""))</f>
        <v/>
      </c>
      <c r="AQ26" s="49" t="str">
        <f aca="false">IF($A26="","",IFERROR(IF(MIN(SUMIFS(Raw_Q!$M$2:$M$600,Raw_Q!$A$2:$A$600,$A26,Raw_Q!$P$2:$P$600,9),SUMIFS(Raw_Q!$M$2:$M$600,Raw_Q!$A$2:$A$600,$A26,Raw_Q!$P$2:$P$600,13))&lt;=0,"",SUMPRODUCT((Raw_Q!$A$2:$A$600=$A26)*(Raw_Q!$P$2:$P$600&gt;=9)*(Raw_Q!$P$2:$P$600&lt;=12)*Raw_Q!$K$2:$K$600*Raw_Q!$L$2:$L$600)/((SUMIFS(Raw_Q!$M$2:$M$600,Raw_Q!$A$2:$A$600,$A26,Raw_Q!$P$2:$P$600,9)+SUMIFS(Raw_Q!$M$2:$M$600,Raw_Q!$A$2:$A$600,$A26,Raw_Q!$P$2:$P$600,13))/2)),""))</f>
        <v/>
      </c>
      <c r="AR26" s="49" t="str">
        <f aca="false">IF($A26="","",IFERROR(IF(MIN(SUMIFS(Raw_Q!$M$2:$M$600,Raw_Q!$A$2:$A$600,$A26,Raw_Q!$P$2:$P$600,13),SUMIFS(Raw_Q!$M$2:$M$600,Raw_Q!$A$2:$A$600,$A26,Raw_Q!$P$2:$P$600,17))&lt;=0,"",SUMPRODUCT((Raw_Q!$A$2:$A$600=$A26)*(Raw_Q!$P$2:$P$600&gt;=13)*(Raw_Q!$P$2:$P$600&lt;=16)*Raw_Q!$K$2:$K$600*Raw_Q!$L$2:$L$600)/((SUMIFS(Raw_Q!$M$2:$M$600,Raw_Q!$A$2:$A$600,$A26,Raw_Q!$P$2:$P$600,13)+SUMIFS(Raw_Q!$M$2:$M$600,Raw_Q!$A$2:$A$600,$A26,Raw_Q!$P$2:$P$600,17))/2)),""))</f>
        <v/>
      </c>
      <c r="AS26" s="49" t="str">
        <f aca="false">IF($A26="","",IFERROR(IF(MIN(SUMIFS(Raw_Q!$M$2:$M$600,Raw_Q!$A$2:$A$600,$A26,Raw_Q!$P$2:$P$600,17),SUMIFS(Raw_Q!$M$2:$M$600,Raw_Q!$A$2:$A$600,$A26,Raw_Q!$P$2:$P$600,21))&lt;=0,"",SUMPRODUCT((Raw_Q!$A$2:$A$600=$A26)*(Raw_Q!$P$2:$P$600&gt;=17)*(Raw_Q!$P$2:$P$600&lt;=20)*Raw_Q!$K$2:$K$600*Raw_Q!$L$2:$L$600)/((SUMIFS(Raw_Q!$M$2:$M$600,Raw_Q!$A$2:$A$600,$A26,Raw_Q!$P$2:$P$600,17)+SUMIFS(Raw_Q!$M$2:$M$600,Raw_Q!$A$2:$A$600,$A26,Raw_Q!$P$2:$P$600,21))/2)),""))</f>
        <v/>
      </c>
    </row>
    <row r="28" customFormat="false" ht="15" hidden="false" customHeight="false" outlineLevel="0" collapsed="false">
      <c r="A28" s="25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835</v>
      </c>
    </row>
    <row r="3" customFormat="false" ht="31.5" hidden="false" customHeight="true" outlineLevel="0" collapsed="false">
      <c r="A3" s="15" t="s">
        <v>836</v>
      </c>
      <c r="B3" s="15" t="s">
        <v>837</v>
      </c>
      <c r="C3" s="15" t="s">
        <v>838</v>
      </c>
    </row>
    <row r="4" customFormat="false" ht="15" hidden="false" customHeight="false" outlineLevel="0" collapsed="false">
      <c r="A4" s="5" t="s">
        <v>839</v>
      </c>
      <c r="B4" s="83" t="n">
        <v>24</v>
      </c>
      <c r="C4" s="25" t="s">
        <v>840</v>
      </c>
    </row>
    <row r="5" customFormat="false" ht="15" hidden="false" customHeight="false" outlineLevel="0" collapsed="false">
      <c r="A5" s="5" t="s">
        <v>841</v>
      </c>
      <c r="B5" s="83" t="n">
        <v>20</v>
      </c>
      <c r="C5" s="25" t="s">
        <v>842</v>
      </c>
    </row>
    <row r="6" customFormat="false" ht="15" hidden="false" customHeight="false" outlineLevel="0" collapsed="false">
      <c r="A6" s="2" t="s">
        <v>843</v>
      </c>
      <c r="B6" s="84" t="n">
        <v>0.05</v>
      </c>
      <c r="C6" s="24" t="s">
        <v>844</v>
      </c>
    </row>
    <row r="7" customFormat="false" ht="15" hidden="false" customHeight="false" outlineLevel="0" collapsed="false">
      <c r="A7" s="5" t="s">
        <v>845</v>
      </c>
      <c r="B7" s="83" t="n">
        <v>5</v>
      </c>
      <c r="C7" s="24" t="s">
        <v>846</v>
      </c>
    </row>
    <row r="8" customFormat="false" ht="15" hidden="false" customHeight="false" outlineLevel="0" collapsed="false">
      <c r="A8" s="2" t="s">
        <v>847</v>
      </c>
      <c r="B8" s="83" t="n">
        <v>365</v>
      </c>
      <c r="C8" s="25" t="s">
        <v>848</v>
      </c>
    </row>
    <row r="11" customFormat="false" ht="15" hidden="false" customHeight="false" outlineLevel="0" collapsed="false">
      <c r="A11" s="24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2026-09-15T15:17:34Z</dcterms:created>
  <dc:creator>openpyxl</dc:creator>
  <dc:description/>
  <dc:language>en-US</dc:language>
  <cp:lastModifiedBy/>
  <dcterms:modified xsi:type="dcterms:W3CDTF">2026-09-15T15:17:34Z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