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Raw_Q!$A$1:$Q$277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<sst xmlns="http://schemas.openxmlformats.org/spreadsheetml/2006/main" count="2051" uniqueCount="602">
  <si>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</si>
  <si>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</si>
  <si>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</si>
  <si>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</si>
  <si>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</si>
  <si>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</si>
  <si>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</si>
  <si>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</si>
  <si>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</si>
  <si>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</si>
  <si>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</si>
  <si>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</si>
  <si>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</si>
  <si>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</si>
  <si>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</si>
  <si>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</si>
  <si>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</si>
  <si>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</si>
  <si>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</si>
  <si>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</si>
  <si>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</si>
  <si>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</si>
  <si>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</si>
  <si>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</si>
  <si>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</si>
  <si>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</si>
  <si>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</si>
  <si>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</si>
  <si>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</si>
  <si>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</si>
  <si>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</si>
  <si>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</si>
  <si>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</si>
  <si>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</si>
  <si>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</si>
  <si>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</si>
  <si>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</si>
  <si>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</si>
  <si>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</si>
  <si>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</si>
  <si>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</si>
  <si>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</si>
  <si>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</si>
  <si>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</si>
  <si>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</si>
  <si>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</si>
  <si>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</si>
  <si>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</si>
  <si>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</si>
  <si>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</si>
  <si>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</si>
  <si>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</si>
  <si>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</si>
  <si>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</si>
  <si>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</si>
  <si>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</si>
  <si>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</si>
  <si>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</si>
  <si>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</si>
  <si>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</si>
  <si>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</si>
  <si>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</si>
  <si>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</si>
  <si>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</si>
  <si>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</si>
  <si>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</si>
  <si>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</si>
  <si>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</si>
  <si>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</si>
  <si>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</si>
  <si>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</si>
  <si>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</si>
  <si>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</si>
  <si>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</si>
  <si>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</si>
  <si>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</si>
  <si>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</si>
  <si>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</si>
  <si>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</si>
  <si>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</si>
  <si>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</si>
  <si>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</si>
  <si>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</si>
  <si>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</si>
  <si>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</si>
  <si>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</si>
  <si>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</si>
  <si>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</si>
  <si>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</si>
  <si>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</si>
  <si>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</si>
  <si>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</si>
  <si>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</si>
  <si>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</si>
  <si>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</si>
  <si>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</si>
  <si>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</si>
  <si>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</si>
  <si>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</si>
  <si>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</si>
  <si>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</si>
  <si>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</si>
  <si>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</si>
  <si>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</si>
  <si>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</si>
  <si>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</si>
  <si>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</si>
  <si>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</si>
  <si>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</si>
  <si>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</si>
  <si>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</si>
  <si>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</si>
  <si>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</si>
  <si>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</si>
  <si>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</si>
  <si>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</si>
  <si>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</si>
  <si>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</si>
  <si>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</si>
  <si>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</si>
  <si>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</si>
  <si>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</si>
  <si>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</si>
  <si>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</si>
  <si>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</si>
  <si>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</si>
  <si>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</si>
  <si>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</si>
  <si>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</si>
  <si>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</si>
  <si>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</si>
  <si>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</si>
  <si>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</si>
  <si>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</si>
  <si>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</si>
  <si>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</si>
  <si>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</si>
  <si>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</si>
  <si>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</si>
  <si>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</si>
  <si>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</si>
  <si>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</si>
  <si>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</si>
  <si>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</si>
  <si>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</si>
  <si>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</si>
  <si>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</si>
  <si>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</si>
  <si>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</si>
  <si>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</si>
  <si>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</si>
  <si>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</si>
  <si>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</si>
  <si>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</si>
  <si>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</si>
  <si>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</si>
  <si>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</si>
  <si>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</si>
  <si>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</si>
  <si>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</si>
  <si>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</si>
  <si>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</si>
  <si>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</si>
  <si>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</si>
  <si>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</si>
  <si>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</si>
  <si>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</si>
  <si>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</si>
  <si>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</si>
  <si>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</si>
  <si>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</si>
  <si>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</si>
  <si>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</si>
  <si>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</si>
  <si>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</si>
  <si>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ADBE</t>
  </si>
  <si>
    <t xml:space="preserve">Adobe Inc.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</si>
  <si>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</si>
  <si>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</si>
  <si>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</si>
  <si>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</si>
  <si>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</si>
  <si>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</si>
  <si>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</si>
  <si>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</si>
  <si>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</si>
  <si>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</si>
  <si>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</si>
  <si>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</si>
  <si>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</si>
  <si>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</si>
  <si>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</si>
  <si>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</si>
  <si>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</si>
  <si>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</si>
  <si>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</si>
  <si>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</si>
  <si>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</si>
  <si>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</si>
  <si>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</si>
  <si>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</si>
  <si>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</si>
  <si>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</si>
  <si>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</si>
  <si>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</si>
  <si>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</si>
  <si>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</si>
  <si>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</si>
  <si>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</si>
  <si>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</si>
  <si>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</si>
  <si>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</si>
  <si>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</si>
  <si>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</si>
  <si>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</si>
  <si>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</si>
  <si>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</si>
  <si>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</si>
  <si>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</si>
  <si>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</si>
  <si>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</si>
  <si>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</si>
  <si>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</si>
  <si>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</si>
  <si>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</si>
  <si>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</si>
  <si>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</si>
  <si>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</si>
  <si>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</si>
  <si>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</si>
  <si>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</si>
  <si>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</si>
  <si>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</si>
  <si>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</si>
  <si>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</si>
  <si>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</si>
  <si>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</si>
  <si>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</si>
  <si>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</si>
  <si>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</si>
  <si>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</si>
  <si>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</si>
  <si>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</si>
  <si>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</si>
  <si>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</si>
  <si>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</si>
  <si>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</si>
  <si>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</si>
  <si>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</si>
  <si>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</si>
  <si>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</si>
  <si>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</si>
  <si>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</si>
  <si>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</si>
  <si>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</si>
  <si>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</si>
  <si>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</si>
  <si>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</si>
  <si>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</si>
  <si>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</si>
  <si>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</si>
  <si>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</si>
  <si>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</si>
  <si>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</si>
  <si>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</si>
  <si>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</si>
  <si>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</si>
  <si>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</si>
  <si>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</si>
  <si>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</si>
  <si>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</si>
  <si>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</si>
  <si>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</si>
  <si>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</si>
  <si>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</si>
  <si>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</si>
  <si>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</si>
  <si>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</si>
  <si>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</si>
  <si>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</si>
  <si>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</si>
  <si>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</si>
  <si>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</si>
  <si>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</si>
  <si>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</si>
  <si>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</si>
  <si>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</si>
  <si>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</si>
  <si>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ADBE|1</t>
  </si>
  <si>
    <t xml:space="preserve">ADBE|2</t>
  </si>
  <si>
    <t xml:space="preserve">ADBE|3</t>
  </si>
  <si>
    <t xml:space="preserve">ADBE|4</t>
  </si>
  <si>
    <t xml:space="preserve">ADBE|5</t>
  </si>
  <si>
    <t xml:space="preserve">ADBE|6</t>
  </si>
  <si>
    <t xml:space="preserve">ADBE|7</t>
  </si>
  <si>
    <t xml:space="preserve">ADBE|8</t>
  </si>
  <si>
    <t xml:space="preserve">ADBE|9</t>
  </si>
  <si>
    <t xml:space="preserve">ADBE|10</t>
  </si>
  <si>
    <t xml:space="preserve">ADBE|11</t>
  </si>
  <si>
    <t xml:space="preserve">ADBE|12</t>
  </si>
  <si>
    <t xml:space="preserve">ADBE|13</t>
  </si>
  <si>
    <t xml:space="preserve">ADBE|14</t>
  </si>
  <si>
    <t xml:space="preserve">ADBE|15</t>
  </si>
  <si>
    <t xml:space="preserve">ADBE|16</t>
  </si>
  <si>
    <t xml:space="preserve">ADBE|17</t>
  </si>
  <si>
    <t xml:space="preserve">ADBE|18</t>
  </si>
  <si>
    <t xml:space="preserve">ADBE|19</t>
  </si>
  <si>
    <t xml:space="preserve">ADBE|20</t>
  </si>
  <si>
    <t xml:space="preserve">ADBE|21</t>
  </si>
  <si>
    <t xml:space="preserve">ADBE|22</t>
  </si>
  <si>
    <t xml:space="preserve">ADBE|23</t>
  </si>
  <si>
    <t xml:space="preserve">ADBE|24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</si>
  <si>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</si>
  <si>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</si>
  <si>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</si>
  <si>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</si>
  <si>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</si>
  <si>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</si>
  <si>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</si>
  <si>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</si>
  <si>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</si>
  <si>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</si>
  <si>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</si>
  <si>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</si>
  <si>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</si>
  <si>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</si>
  <si>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</si>
  <si>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</si>
  <si>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</si>
  <si>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</si>
  <si>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</si>
  <si>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</si>
  <si>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</si>
  <si>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</si>
  <si>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</si>
  <si>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</si>
  <si>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</si>
  <si>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</si>
  <si>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</si>
  <si>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</si>
  <si>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</si>
  <si>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</si>
  <si>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</si>
  <si>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</si>
  <si>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</si>
  <si>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</si>
  <si>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</si>
  <si>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</si>
  <si>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</si>
  <si>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</si>
  <si>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</si>
  <si>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</si>
  <si>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</si>
  <si>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</si>
  <si>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</si>
  <si>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</si>
  <si>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</si>
  <si>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</si>
  <si>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</si>
  <si>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</si>
  <si>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</si>
  <si>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</si>
  <si>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</si>
  <si>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</si>
  <si>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</si>
  <si>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</si>
  <si>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</si>
  <si>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</si>
  <si>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</si>
  <si>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</si>
  <si>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</si>
  <si>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</si>
  <si>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</si>
  <si>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</si>
  <si>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</si>
  <si>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</si>
  <si>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</si>
  <si>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</si>
  <si>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</si>
  <si>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</si>
  <si>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</si>
  <si>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</si>
  <si>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</si>
  <si>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</si>
  <si>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</si>
  <si>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</si>
  <si>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</si>
  <si>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</si>
  <si>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</si>
  <si>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</si>
  <si>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</si>
  <si>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</si>
  <si>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</si>
  <si>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</si>
  <si>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</si>
  <si>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</si>
  <si>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</si>
  <si>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</si>
  <si>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</si>
  <si>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</si>
  <si>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</si>
  <si>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</si>
  <si>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</si>
  <si>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</si>
  <si>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</si>
  <si>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</si>
  <si>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</si>
  <si>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</si>
  <si>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</si>
  <si>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</si>
  <si>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</si>
  <si>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</si>
  <si>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</si>
  <si>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</si>
  <si>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</si>
  <si>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</si>
  <si>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</si>
  <si>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</si>
  <si>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</si>
  <si>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</si>
  <si>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</si>
  <si>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</si>
  <si>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</si>
  <si>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</si>
  <si>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</si>
  <si>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</si>
  <si>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</si>
  <si>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</si>
  <si>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</si>
  <si>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</si>
  <si>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</si>
  <si>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</si>
  <si>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</si>
  <si>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</si>
  <si>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</si>
  <si>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</si>
  <si>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</si>
  <si>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</si>
  <si>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</si>
  <si>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</si>
  <si>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</si>
  <si>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</si>
  <si>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</si>
  <si>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</si>
  <si>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</si>
  <si>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</si>
  <si>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</si>
  <si>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</si>
  <si>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</si>
  <si>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</si>
  <si>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</si>
  <si>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</si>
  <si>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</si>
  <si>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</si>
  <si>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</si>
  <si>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</si>
  <si>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</si>
  <si>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</si>
  <si>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</si>
  <si>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</si>
  <si>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</si>
  <si>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</si>
  <si>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</si>
  <si>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</si>
  <si>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</si>
  <si>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</si>
  <si>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</si>
  <si>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</si>
  <si>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</si>
  <si>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</si>
  <si>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</si>
  <si>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</si>
  <si>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</si>
  <si>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</si>
  <si>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</si>
  <si>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</si>
  <si>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</si>
  <si>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</si>
  <si>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</si>
  <si>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</si>
  <si>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</si>
  <si>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</si>
  <si>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</si>
  <si>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</si>
  <si>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</si>
  <si>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</si>
  <si>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</si>
  <si>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</si>
  <si>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</si>
  <si>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</si>
  <si>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</si>
  <si>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</si>
  <si>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</si>
  <si>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</si>
  <si>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</si>
  <si>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</si>
  <si>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</si>
  <si>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</si>
  <si>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</si>
  <si>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</si>
  <si>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</si>
  <si>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</si>
  <si>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</si>
  <si>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</si>
  <si>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</si>
  <si>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</si>
  <si>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</si>
  <si>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</si>
  <si>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</si>
  <si>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</si>
  <si>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</si>
  <si>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</si>
  <si>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</si>
  <si>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</si>
  <si>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ADBE|0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</si>
  <si>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</si>
  <si>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</si>
  <si>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</si>
  <si>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</si>
  <si>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</si>
  <si>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MRVL|0</t>
  </si>
  <si>
    <t xml:space="preserve">FY2027Q1E</t>
  </si>
  <si>
    <t xml:space="preserve">MSFT|0</t>
  </si>
  <si>
    <t xml:space="preserve">MU|0</t>
  </si>
  <si>
    <t xml:space="preserve">NVDA|0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</si>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</sst>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5D3A5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6DC384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324.680114746094</v>
      </c>
      <c r="E3" s="18" t="n">
        <f aca="false">IF(Calc!$A$2="","",Calc!J$2)</f>
        <v>37.2339581130841</v>
      </c>
      <c r="F3" s="18" t="n">
        <f aca="false">IF(Calc!$A$2="","",Calc!L$2)</f>
        <v>34.2700635184632</v>
      </c>
      <c r="G3" s="17" t="n">
        <f aca="false">IF(Calc!$A$2="","",Calc!N$2)</f>
        <v>1.15198020640951</v>
      </c>
      <c r="H3" s="17" t="n">
        <f aca="false">IF(Calc!$A$2="","",Calc!O$2)</f>
        <v>4.20162764762268</v>
      </c>
      <c r="I3" s="19" t="n">
        <f aca="false">IF(Calc!$A$2="","",Calc!Q$2)</f>
        <v>0.0032339522881502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1.20603548273103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503.885009765625</v>
      </c>
      <c r="E4" s="18" t="n">
        <f aca="false">IF(Calc!$A$3="","",Calc!J$3)</f>
        <v>29.1600121392144</v>
      </c>
      <c r="F4" s="18" t="n">
        <f aca="false">IF(Calc!$A$3="","",Calc!L$3)</f>
        <v>24.6851919194726</v>
      </c>
      <c r="G4" s="17" t="n">
        <f aca="false">IF(Calc!$A$3="","",Calc!N$3)</f>
        <v>1.09269935598595</v>
      </c>
      <c r="H4" s="17" t="n">
        <f aca="false">IF(Calc!$A$3="","",Calc!O$3)</f>
        <v>1.27638742558506</v>
      </c>
      <c r="I4" s="19" t="n">
        <f aca="false">IF(Calc!$A$3="","",Calc!Q$3)</f>
        <v>0.00706510400389939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217.810104370117</v>
      </c>
      <c r="E5" s="18" t="n">
        <f aca="false">IF(Calc!$A$4="","",Calc!J$4)</f>
        <v>31.071341564924</v>
      </c>
      <c r="F5" s="18" t="n">
        <f aca="false">IF(Calc!$A$4="","",Calc!L$4)</f>
        <v>16.9650591147048</v>
      </c>
      <c r="G5" s="17" t="n">
        <f aca="false">IF(Calc!$A$4="","",Calc!N$4)</f>
        <v>0.320620220206172</v>
      </c>
      <c r="H5" s="17" t="n">
        <f aca="false">IF(Calc!$A$4="","",Calc!O$4)</f>
        <v>0.261222326762332</v>
      </c>
      <c r="I5" s="19" t="n">
        <f aca="false">IF(Calc!$A$4="","",Calc!Q$4)</f>
        <v>0.00128552346462405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0.991974707512315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ADBE</v>
      </c>
      <c r="B6" s="16" t="str">
        <f aca="false">IF(Calc!$A$5="","",Calc!B$5)</f>
        <v>Adobe Inc.</v>
      </c>
      <c r="C6" s="16" t="n">
        <f aca="false">IF(Calc!$A$5="","",Calc!C$5)</f>
        <v>0</v>
      </c>
      <c r="D6" s="17" t="n">
        <f aca="false">IF(Calc!$A$5="","",Calc!D$5)</f>
        <v>293.609985351563</v>
      </c>
      <c r="E6" s="18" t="n">
        <f aca="false">IF(Calc!$A$5="","",Calc!J$5)</f>
        <v>12.8607089510102</v>
      </c>
      <c r="F6" s="18" t="n">
        <f aca="false">IF(Calc!$A$5="","",Calc!L$5)</f>
        <v>10.9837503851759</v>
      </c>
      <c r="G6" s="17" t="n">
        <f aca="false">IF(Calc!$A$5="","",Calc!N$5)</f>
        <v>0.780402153064396</v>
      </c>
      <c r="H6" s="17" t="n">
        <f aca="false">IF(Calc!$A$5="","",Calc!O$5)</f>
        <v>0.87098627697447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0.034385745545483</v>
      </c>
      <c r="L6" s="19" t="n">
        <f aca="false">IF(Calc!$A$5="","",Calc!U$5)</f>
        <v>0.0329350984824024</v>
      </c>
      <c r="M6" s="20" t="n">
        <f aca="false">IF(Calc!$A$5="","",Calc!V$5)</f>
        <v>0.145064706308062</v>
      </c>
      <c r="N6" s="21" t="str">
        <f aca="false">IF(Calc!$A$5="","",Calc!W$5)</f>
        <v>成長且加速</v>
      </c>
      <c r="O6" s="20" t="n">
        <f aca="false">IF(Calc!$A$5="","",Calc!X$5)</f>
        <v>0.655935422591703</v>
      </c>
      <c r="P6" s="19" t="n">
        <f aca="false">IF(Calc!$A$5="","",Calc!S$5)</f>
        <v>0.126851694193768</v>
      </c>
      <c r="Q6" s="19" t="n">
        <f aca="false">IF(Calc!$A$5="","",Calc!Y$5)</f>
        <v>0.177865612648221</v>
      </c>
      <c r="R6" s="19" t="n">
        <f aca="false">IF(Calc!$A$5="","",Calc!I$5)</f>
        <v>0.164795918367347</v>
      </c>
      <c r="S6" s="19" t="n">
        <f aca="false">IF(Calc!$A$5="","",Calc!Z$5)</f>
        <v>0.894039209461068</v>
      </c>
      <c r="T6" s="19" t="n">
        <f aca="false">IF(Calc!$A$5="","",Calc!AA$5)</f>
        <v>0.885099329216446</v>
      </c>
      <c r="U6" s="22" t="n">
        <f aca="false">IF(Calc!$A$5="","",Calc!AB$5)</f>
        <v>89.3988024462256</v>
      </c>
      <c r="V6" s="22" t="n">
        <f aca="false">IF(Calc!$A$5="","",Calc!AC$5)</f>
        <v>5.94043653010523</v>
      </c>
      <c r="W6" s="19" t="n">
        <f aca="false">IF(Calc!$A$5="","",Calc!AF$5)</f>
        <v>0.821346338064966</v>
      </c>
      <c r="X6" s="19" t="n">
        <f aca="false">IF(Calc!$A$5="","",Calc!AG$5)</f>
        <v>0.542288119031566</v>
      </c>
      <c r="Y6" s="19" t="n">
        <f aca="false">IF(Calc!$A$5="","",Calc!AH$5)</f>
        <v>0.852020816113909</v>
      </c>
      <c r="Z6" s="17" t="n">
        <f aca="false">IF(Calc!$A$5="","",Calc!AI$5)</f>
        <v>6.07854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46275</v>
      </c>
    </row>
    <row r="7" customFormat="false" ht="15" hidden="false" customHeight="false" outlineLevel="0" collapsed="false">
      <c r="A7" s="16" t="str">
        <f aca="false">IF(Calc!$A$6="","",Calc!A$6)</f>
        <v>AAOI</v>
      </c>
      <c r="B7" s="16" t="str">
        <f aca="false">IF(Calc!$A$6="","",Calc!B$6)</f>
        <v>Applied Optoelectronics, Inc.</v>
      </c>
      <c r="C7" s="16" t="str">
        <f aca="false">IF(Calc!$A$6="","",Calc!C$6)</f>
        <v>觀察</v>
      </c>
      <c r="D7" s="17" t="n">
        <f aca="false">IF(Calc!$A$6="","",Calc!D$6)</f>
        <v>103.254997253418</v>
      </c>
      <c r="E7" s="18" t="str">
        <f aca="false">IF(Calc!$A$6="","",Calc!J$6)</f>
        <v>N/M</v>
      </c>
      <c r="F7" s="18" t="n">
        <f aca="false">IF(Calc!$A$6="","",Calc!L$6)</f>
        <v>31.2720500357606</v>
      </c>
      <c r="G7" s="17" t="str">
        <f aca="false">IF(Calc!$A$6="","",Calc!N$6)</f>
        <v>N/M</v>
      </c>
      <c r="H7" s="17" t="n">
        <f aca="false">IF(Calc!$A$6="","",Calc!O$6)</f>
        <v>0.0542197705872443</v>
      </c>
      <c r="I7" s="19" t="str">
        <f aca="false">IF(Calc!$A$6="","",Calc!Q$6)</f>
        <v>不配息</v>
      </c>
      <c r="J7" s="19" t="str">
        <f aca="false">IF(Calc!$A$6="","",Calc!R$6)</f>
        <v/>
      </c>
      <c r="K7" s="19" t="n">
        <f aca="false">IF(Calc!$A$6="","",Calc!T$6)</f>
        <v>0.269795691525962</v>
      </c>
      <c r="L7" s="19" t="n">
        <f aca="false">IF(Calc!$A$6="","",Calc!U$6)</f>
        <v>0.125638619539151</v>
      </c>
      <c r="M7" s="20" t="n">
        <f aca="false">IF(Calc!$A$6="","",Calc!V$6)</f>
        <v>14.4157071986811</v>
      </c>
      <c r="N7" s="21" t="str">
        <f aca="false">IF(Calc!$A$6="","",Calc!W$6)</f>
        <v>成長且加速</v>
      </c>
      <c r="O7" s="20" t="n">
        <f aca="false">IF(Calc!$A$6="","",Calc!X$6)</f>
        <v>23.8822018647203</v>
      </c>
      <c r="P7" s="19" t="n">
        <f aca="false">IF(Calc!$A$6="","",Calc!S$6)</f>
        <v>0.864189136685057</v>
      </c>
      <c r="Q7" s="19" t="n">
        <f aca="false">IF(Calc!$A$6="","",Calc!Y$6)</f>
        <v>-1.375</v>
      </c>
      <c r="R7" s="19" t="n">
        <f aca="false">IF(Calc!$A$6="","",Calc!I$6)</f>
        <v>-0.731707317073171</v>
      </c>
      <c r="S7" s="19" t="n">
        <f aca="false">IF(Calc!$A$6="","",Calc!Z$6)</f>
        <v>0.289158850277699</v>
      </c>
      <c r="T7" s="19" t="n">
        <f aca="false">IF(Calc!$A$6="","",Calc!AA$6)</f>
        <v>0.253464763497746</v>
      </c>
      <c r="U7" s="22" t="n">
        <f aca="false">IF(Calc!$A$6="","",Calc!AB$6)</f>
        <v>356.940867799522</v>
      </c>
      <c r="V7" s="22" t="n">
        <f aca="false">IF(Calc!$A$6="","",Calc!AC$6)</f>
        <v>-254.523289533234</v>
      </c>
      <c r="W7" s="19" t="n">
        <f aca="false">IF(Calc!$A$6="","",Calc!AF$6)</f>
        <v>-0.00652409978757825</v>
      </c>
      <c r="X7" s="19" t="n">
        <f aca="false">IF(Calc!$A$6="","",Calc!AG$6)</f>
        <v>-0.126183636440972</v>
      </c>
      <c r="Y7" s="19" t="n">
        <f aca="false">IF(Calc!$A$6="","",Calc!AH$6)</f>
        <v>0.0332526430958769</v>
      </c>
      <c r="Z7" s="17" t="n">
        <f aca="false">IF(Calc!$A$6="","",Calc!AI$6)</f>
        <v>0.14333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46331</v>
      </c>
    </row>
    <row r="8" customFormat="false" ht="15" hidden="false" customHeight="false" outlineLevel="0" collapsed="false">
      <c r="A8" s="16" t="str">
        <f aca="false">IF(Calc!$A$7="","",Calc!A$7)</f>
        <v>MRVL</v>
      </c>
      <c r="B8" s="16" t="str">
        <f aca="false">IF(Calc!$A$7="","",Calc!B$7)</f>
        <v>Marvell Technology, Inc.</v>
      </c>
      <c r="C8" s="16" t="str">
        <f aca="false">IF(Calc!$A$7="","",Calc!C$7)</f>
        <v>池子</v>
      </c>
      <c r="D8" s="17" t="n">
        <f aca="false">IF(Calc!$A$7="","",Calc!D$7)</f>
        <v>207.324996948242</v>
      </c>
      <c r="E8" s="18" t="n">
        <f aca="false">IF(Calc!$A$7="","",Calc!J$7)</f>
        <v>62.8257566509825</v>
      </c>
      <c r="F8" s="18" t="n">
        <f aca="false">IF(Calc!$A$7="","",Calc!L$7)</f>
        <v>36.7549300264031</v>
      </c>
      <c r="G8" s="17" t="n">
        <f aca="false">IF(Calc!$A$7="","",Calc!N$7)</f>
        <v>1.48730362683959</v>
      </c>
      <c r="H8" s="17" t="n">
        <f aca="false">IF(Calc!$A$7="","",Calc!O$7)</f>
        <v>0.629803548891303</v>
      </c>
      <c r="I8" s="19" t="n">
        <f aca="false">IF(Calc!$A$7="","",Calc!Q$7)</f>
        <v>0.00115760281457964</v>
      </c>
      <c r="J8" s="19" t="n">
        <f aca="false">IF(Calc!$A$7="","",Calc!R$7)</f>
        <v>0</v>
      </c>
      <c r="K8" s="19" t="n">
        <f aca="false">IF(Calc!$A$7="","",Calc!T$7)</f>
        <v>0.132972123417983</v>
      </c>
      <c r="L8" s="19" t="n">
        <f aca="false">IF(Calc!$A$7="","",Calc!U$7)</f>
        <v>0.0897372335151216</v>
      </c>
      <c r="M8" s="20" t="n">
        <f aca="false">IF(Calc!$A$7="","",Calc!V$7)</f>
        <v>4.32348899028616</v>
      </c>
      <c r="N8" s="21" t="str">
        <f aca="false">IF(Calc!$A$7="","",Calc!W$7)</f>
        <v>成長且加速</v>
      </c>
      <c r="O8" s="20" t="n">
        <f aca="false">IF(Calc!$A$7="","",Calc!X$7)</f>
        <v>7.4511721370814</v>
      </c>
      <c r="P8" s="19" t="n">
        <f aca="false">IF(Calc!$A$7="","",Calc!S$7)</f>
        <v>0.365485269926724</v>
      </c>
      <c r="Q8" s="19" t="n">
        <f aca="false">IF(Calc!$A$7="","",Calc!Y$7)</f>
        <v>0.402985074626866</v>
      </c>
      <c r="R8" s="19" t="n">
        <f aca="false">IF(Calc!$A$7="","",Calc!I$7)</f>
        <v>0.422413793103448</v>
      </c>
      <c r="S8" s="19" t="n">
        <f aca="false">IF(Calc!$A$7="","",Calc!Z$7)</f>
        <v>0.522110409193359</v>
      </c>
      <c r="T8" s="19" t="n">
        <f aca="false">IF(Calc!$A$7="","",Calc!AA$7)</f>
        <v>0.478380825799555</v>
      </c>
      <c r="U8" s="22" t="n">
        <f aca="false">IF(Calc!$A$7="","",Calc!AB$7)</f>
        <v>437.295833938042</v>
      </c>
      <c r="V8" s="22" t="n">
        <f aca="false">IF(Calc!$A$7="","",Calc!AC$7)</f>
        <v>276.131078056631</v>
      </c>
      <c r="W8" s="19" t="n">
        <f aca="false">IF(Calc!$A$7="","",Calc!AF$7)</f>
        <v>0.182888152397405</v>
      </c>
      <c r="X8" s="19" t="n">
        <f aca="false">IF(Calc!$A$7="","",Calc!AG$7)</f>
        <v>0.0988212987040118</v>
      </c>
      <c r="Y8" s="19" t="n">
        <f aca="false">IF(Calc!$A$7="","",Calc!AH$7)</f>
        <v>0.209165430292042</v>
      </c>
      <c r="Z8" s="17" t="n">
        <f aca="false">IF(Calc!$A$7="","",Calc!AI$7)</f>
        <v>1.1004</v>
      </c>
      <c r="AA8" s="16" t="str">
        <f aca="false">IF(Calc!$A$7="","",Calc!AJ$7)</f>
        <v>FY2027Q3E</v>
      </c>
      <c r="AB8" s="16" t="str">
        <f aca="false">IF(Calc!$A$7="","",Calc!AK$7)</f>
        <v>consensus</v>
      </c>
      <c r="AC8" s="23" t="n">
        <f aca="false">IF(Calc!$A$7="","",Calc!AM$7)</f>
        <v>46261</v>
      </c>
    </row>
    <row r="9" customFormat="false" ht="15" hidden="false" customHeight="false" outlineLevel="0" collapsed="false">
      <c r="A9" s="16" t="str">
        <f aca="false">IF(Calc!$A$8="","",Calc!A$8)</f>
        <v>MU</v>
      </c>
      <c r="B9" s="16" t="str">
        <f aca="false">IF(Calc!$A$8="","",Calc!B$8)</f>
        <v>Micron Technology, Inc.</v>
      </c>
      <c r="C9" s="16" t="str">
        <f aca="false">IF(Calc!$A$8="","",Calc!C$8)</f>
        <v>池子</v>
      </c>
      <c r="D9" s="17" t="n">
        <f aca="false">IF(Calc!$A$8="","",Calc!D$8)</f>
        <v>944.190002441406</v>
      </c>
      <c r="E9" s="18" t="n">
        <f aca="false">IF(Calc!$A$8="","",Calc!J$8)</f>
        <v>20.9261968626198</v>
      </c>
      <c r="F9" s="18" t="n">
        <f aca="false">IF(Calc!$A$8="","",Calc!L$8)</f>
        <v>6.09055662446584</v>
      </c>
      <c r="G9" s="17" t="n">
        <f aca="false">IF(Calc!$A$8="","",Calc!N$8)</f>
        <v>0.0348409275582398</v>
      </c>
      <c r="H9" s="17" t="n">
        <f aca="false">IF(Calc!$A$8="","",Calc!O$8)</f>
        <v>0.0547688369319995</v>
      </c>
      <c r="I9" s="19" t="n">
        <f aca="false">IF(Calc!$A$8="","",Calc!Q$8)</f>
        <v>0.000524258887215572</v>
      </c>
      <c r="J9" s="19" t="n">
        <f aca="false">IF(Calc!$A$8="","",Calc!R$8)</f>
        <v>0.076086956521739</v>
      </c>
      <c r="K9" s="19" t="n">
        <f aca="false">IF(Calc!$A$8="","",Calc!T$8)</f>
        <v>0.737468566638726</v>
      </c>
      <c r="L9" s="19" t="n">
        <f aca="false">IF(Calc!$A$8="","",Calc!U$8)</f>
        <v>0.74888221065748</v>
      </c>
      <c r="M9" s="20" t="n">
        <f aca="false">IF(Calc!$A$8="","",Calc!V$8)</f>
        <v>-1.1413644018754</v>
      </c>
      <c r="N9" s="21" t="str">
        <f aca="false">IF(Calc!$A$8="","",Calc!W$8)</f>
        <v>成長但減速</v>
      </c>
      <c r="O9" s="20" t="n">
        <f aca="false">IF(Calc!$A$8="","",Calc!X$8)</f>
        <v>58.2495264763648</v>
      </c>
      <c r="P9" s="19" t="n">
        <f aca="false">IF(Calc!$A$8="","",Calc!S$8)</f>
        <v>3.45715514460811</v>
      </c>
      <c r="Q9" s="19" t="n">
        <f aca="false">IF(Calc!$A$8="","",Calc!Y$8)</f>
        <v>12.1465968586387</v>
      </c>
      <c r="R9" s="19" t="n">
        <f aca="false">IF(Calc!$A$8="","",Calc!I$8)</f>
        <v>6.00621118012422</v>
      </c>
      <c r="S9" s="19" t="n">
        <f aca="false">IF(Calc!$A$8="","",Calc!Z$8)</f>
        <v>0.725690675055941</v>
      </c>
      <c r="T9" s="19" t="n">
        <f aca="false">IF(Calc!$A$8="","",Calc!AA$8)</f>
        <v>0.496566676869707</v>
      </c>
      <c r="U9" s="22" t="n">
        <f aca="false">IF(Calc!$A$8="","",Calc!AB$8)</f>
        <v>2291.23998186234</v>
      </c>
      <c r="V9" s="22" t="n">
        <f aca="false">IF(Calc!$A$8="","",Calc!AC$8)</f>
        <v>4684.55706115273</v>
      </c>
      <c r="W9" s="19" t="n">
        <f aca="false">IF(Calc!$A$8="","",Calc!AF$8)</f>
        <v>0.680652793915707</v>
      </c>
      <c r="X9" s="19" t="n">
        <f aca="false">IF(Calc!$A$8="","",Calc!AG$8)</f>
        <v>0.179851756978296</v>
      </c>
      <c r="Y9" s="19" t="n">
        <f aca="false">IF(Calc!$A$8="","",Calc!AH$8)</f>
        <v>0.834394025257138</v>
      </c>
      <c r="Z9" s="17" t="n">
        <f aca="false">IF(Calc!$A$8="","",Calc!AI$8)</f>
        <v>31.28341</v>
      </c>
      <c r="AA9" s="16" t="str">
        <f aca="false">IF(Calc!$A$8="","",Calc!AJ$8)</f>
        <v>FY2026Q4E</v>
      </c>
      <c r="AB9" s="16" t="str">
        <f aca="false">IF(Calc!$A$8="","",Calc!AK$8)</f>
        <v>consensus</v>
      </c>
      <c r="AC9" s="23" t="n">
        <f aca="false">IF(Calc!$A$8="","",Calc!AM$8)</f>
        <v>46295</v>
      </c>
    </row>
    <row r="10" customFormat="false" ht="15" hidden="false" customHeight="false" outlineLevel="0" collapsed="false">
      <c r="A10" s="16" t="str">
        <f aca="false">IF(Calc!$A$9="","",Calc!A$9)</f>
        <v>TER</v>
      </c>
      <c r="B10" s="16" t="str">
        <f aca="false">IF(Calc!$A$9="","",Calc!B$9)</f>
        <v>Teradyne, Inc.</v>
      </c>
      <c r="C10" s="16" t="str">
        <f aca="false">IF(Calc!$A$9="","",Calc!C$9)</f>
        <v>池子</v>
      </c>
      <c r="D10" s="17" t="n">
        <f aca="false">IF(Calc!$A$9="","",Calc!D$9)</f>
        <v>331.174987792969</v>
      </c>
      <c r="E10" s="18" t="n">
        <f aca="false">IF(Calc!$A$9="","",Calc!J$9)</f>
        <v>43.1217432022095</v>
      </c>
      <c r="F10" s="18" t="n">
        <f aca="false">IF(Calc!$A$9="","",Calc!L$9)</f>
        <v>30.6546397640628</v>
      </c>
      <c r="G10" s="17" t="n">
        <f aca="false">IF(Calc!$A$9="","",Calc!N$9)</f>
        <v>0.303095179492248</v>
      </c>
      <c r="H10" s="17" t="n">
        <f aca="false">IF(Calc!$A$9="","",Calc!O$9)</f>
        <v>1.08813211074827</v>
      </c>
      <c r="I10" s="19" t="n">
        <f aca="false">IF(Calc!$A$9="","",Calc!Q$9)</f>
        <v>0.00150977585394393</v>
      </c>
      <c r="J10" s="19" t="n">
        <f aca="false">IF(Calc!$A$9="","",Calc!R$9)</f>
        <v>0.0416666666666667</v>
      </c>
      <c r="K10" s="19" t="n">
        <f aca="false">IF(Calc!$A$9="","",Calc!T$9)</f>
        <v>0.0362543606441825</v>
      </c>
      <c r="L10" s="19" t="n">
        <f aca="false">IF(Calc!$A$9="","",Calc!U$9)</f>
        <v>0.183836608553017</v>
      </c>
      <c r="M10" s="20" t="n">
        <f aca="false">IF(Calc!$A$9="","",Calc!V$9)</f>
        <v>-14.7582247908835</v>
      </c>
      <c r="N10" s="21" t="str">
        <f aca="false">IF(Calc!$A$9="","",Calc!W$9)</f>
        <v>成長但減速</v>
      </c>
      <c r="O10" s="20" t="n">
        <f aca="false">IF(Calc!$A$9="","",Calc!X$9)</f>
        <v>8.56695397364704</v>
      </c>
      <c r="P10" s="19" t="n">
        <f aca="false">IF(Calc!$A$9="","",Calc!S$9)</f>
        <v>1.03896305137949</v>
      </c>
      <c r="Q10" s="19" t="n">
        <f aca="false">IF(Calc!$A$9="","",Calc!Y$9)</f>
        <v>3.33333333333333</v>
      </c>
      <c r="R10" s="19" t="n">
        <f aca="false">IF(Calc!$A$9="","",Calc!I$9)</f>
        <v>1.42271293375394</v>
      </c>
      <c r="S10" s="19" t="n">
        <f aca="false">IF(Calc!$A$9="","",Calc!Z$9)</f>
        <v>0.592415912882325</v>
      </c>
      <c r="T10" s="19" t="n">
        <f aca="false">IF(Calc!$A$9="","",Calc!AA$9)</f>
        <v>0.588385499583535</v>
      </c>
      <c r="U10" s="22" t="n">
        <f aca="false">IF(Calc!$A$9="","",Calc!AB$9)</f>
        <v>40.3041329879061</v>
      </c>
      <c r="V10" s="22" t="n">
        <f aca="false">IF(Calc!$A$9="","",Calc!AC$9)</f>
        <v>256.287212686569</v>
      </c>
      <c r="W10" s="19" t="n">
        <f aca="false">IF(Calc!$A$9="","",Calc!AF$9)</f>
        <v>0.386345132643224</v>
      </c>
      <c r="X10" s="19" t="n">
        <f aca="false">IF(Calc!$A$9="","",Calc!AG$9)</f>
        <v>0.19783528496635</v>
      </c>
      <c r="Y10" s="19" t="n">
        <f aca="false">IF(Calc!$A$9="","",Calc!AH$9)</f>
        <v>0.417097824882854</v>
      </c>
      <c r="Z10" s="17" t="n">
        <f aca="false">IF(Calc!$A$9="","",Calc!AI$9)</f>
        <v>2.05052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46316</v>
      </c>
    </row>
    <row r="11" customFormat="false" ht="15" hidden="false" customHeight="false" outlineLevel="0" collapsed="false">
      <c r="A11" s="16" t="str">
        <f aca="false">IF(Calc!$A$10="","",Calc!A$10)</f>
        <v>DELL</v>
      </c>
      <c r="B11" s="16" t="str">
        <f aca="false">IF(Calc!$A$10="","",Calc!B$10)</f>
        <v>Dell Technologies Inc.</v>
      </c>
      <c r="C11" s="16" t="str">
        <f aca="false">IF(Calc!$A$10="","",Calc!C$10)</f>
        <v>池子</v>
      </c>
      <c r="D11" s="17" t="n">
        <f aca="false">IF(Calc!$A$10="","",Calc!D$10)</f>
        <v>441.180511474609</v>
      </c>
      <c r="E11" s="18" t="n">
        <f aca="false">IF(Calc!$A$10="","",Calc!J$10)</f>
        <v>32.2972555984341</v>
      </c>
      <c r="F11" s="18" t="n">
        <f aca="false">IF(Calc!$A$10="","",Calc!L$10)</f>
        <v>22.5092471167173</v>
      </c>
      <c r="G11" s="17" t="n">
        <f aca="false">IF(Calc!$A$10="","",Calc!N$10)</f>
        <v>0.495544162892486</v>
      </c>
      <c r="H11" s="17" t="n">
        <f aca="false">IF(Calc!$A$10="","",Calc!O$10)</f>
        <v>3.17136370296188</v>
      </c>
      <c r="I11" s="19" t="n">
        <f aca="false">IF(Calc!$A$10="","",Calc!Q$10)</f>
        <v>0.00499795422202574</v>
      </c>
      <c r="J11" s="19" t="n">
        <f aca="false">IF(Calc!$A$10="","",Calc!R$10)</f>
        <v>0.185483870967742</v>
      </c>
      <c r="K11" s="19" t="n">
        <f aca="false">IF(Calc!$A$10="","",Calc!T$10)</f>
        <v>0.313460559034123</v>
      </c>
      <c r="L11" s="19" t="n">
        <f aca="false">IF(Calc!$A$10="","",Calc!U$10)</f>
        <v>0.236030364747269</v>
      </c>
      <c r="M11" s="20" t="n">
        <f aca="false">IF(Calc!$A$10="","",Calc!V$10)</f>
        <v>7.74301942868543</v>
      </c>
      <c r="N11" s="21" t="str">
        <f aca="false">IF(Calc!$A$10="","",Calc!W$10)</f>
        <v>成長且加速</v>
      </c>
      <c r="O11" s="20" t="n">
        <f aca="false">IF(Calc!$A$10="","",Calc!X$10)</f>
        <v>33.1439219875928</v>
      </c>
      <c r="P11" s="19" t="n">
        <f aca="false">IF(Calc!$A$10="","",Calc!S$10)</f>
        <v>0.87535289588502</v>
      </c>
      <c r="Q11" s="19" t="n">
        <f aca="false">IF(Calc!$A$10="","",Calc!Y$10)</f>
        <v>2.13548387096774</v>
      </c>
      <c r="R11" s="19" t="n">
        <f aca="false">IF(Calc!$A$10="","",Calc!I$10)</f>
        <v>0.651753325272068</v>
      </c>
      <c r="S11" s="19" t="n">
        <f aca="false">IF(Calc!$A$10="","",Calc!Z$10)</f>
        <v>0.19068372113849</v>
      </c>
      <c r="T11" s="19" t="n">
        <f aca="false">IF(Calc!$A$10="","",Calc!AA$10)</f>
        <v>0.205590388418855</v>
      </c>
      <c r="U11" s="22" t="n">
        <f aca="false">IF(Calc!$A$10="","",Calc!AB$10)</f>
        <v>-149.066672803646</v>
      </c>
      <c r="V11" s="22" t="n">
        <f aca="false">IF(Calc!$A$10="","",Calc!AC$10)</f>
        <v>-336.804262347599</v>
      </c>
      <c r="W11" s="19" t="str">
        <f aca="false">IF(Calc!$A$10="","",Calc!AF$10)</f>
        <v>N/M</v>
      </c>
      <c r="X11" s="19" t="str">
        <f aca="false">IF(Calc!$A$10="","",Calc!AG$10)</f>
        <v/>
      </c>
      <c r="Y11" s="19" t="str">
        <f aca="false">IF(Calc!$A$10="","",Calc!AH$10)</f>
        <v>N/M</v>
      </c>
      <c r="Z11" s="17" t="n">
        <f aca="false">IF(Calc!$A$10="","",Calc!AI$10)</f>
        <v>4.91986</v>
      </c>
      <c r="AA11" s="16" t="str">
        <f aca="false">IF(Calc!$A$10="","",Calc!AJ$10)</f>
        <v>FY2027Q2E</v>
      </c>
      <c r="AB11" s="16" t="str">
        <f aca="false">IF(Calc!$A$10="","",Calc!AK$10)</f>
        <v>consensus</v>
      </c>
      <c r="AC11" s="23" t="n">
        <f aca="false">IF(Calc!$A$10="","",Calc!AM$10)</f>
        <v>46266</v>
      </c>
    </row>
    <row r="12" customFormat="false" ht="15" hidden="false" customHeight="false" outlineLevel="0" collapsed="false">
      <c r="A12" s="16" t="str">
        <f aca="false">IF(Calc!$A$11="","",Calc!A$11)</f>
        <v>DIOD</v>
      </c>
      <c r="B12" s="16" t="str">
        <f aca="false">IF(Calc!$A$11="","",Calc!B$11)</f>
        <v>Diodes Incorporated</v>
      </c>
      <c r="C12" s="16" t="str">
        <f aca="false">IF(Calc!$A$11="","",Calc!C$11)</f>
        <v>池子</v>
      </c>
      <c r="D12" s="17" t="n">
        <f aca="false">IF(Calc!$A$11="","",Calc!D$11)</f>
        <v>88.2149963378906</v>
      </c>
      <c r="E12" s="18" t="n">
        <f aca="false">IF(Calc!$A$11="","",Calc!J$11)</f>
        <v>47.9429327923319</v>
      </c>
      <c r="F12" s="18" t="n">
        <f aca="false">IF(Calc!$A$11="","",Calc!L$11)</f>
        <v>17.7145856066736</v>
      </c>
      <c r="G12" s="17" t="n">
        <f aca="false">IF(Calc!$A$11="","",Calc!N$11)</f>
        <v>0.920808709186057</v>
      </c>
      <c r="H12" s="17" t="n">
        <f aca="false">IF(Calc!$A$11="","",Calc!O$11)</f>
        <v>0.217636337453418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0.0988045882895525</v>
      </c>
      <c r="L12" s="19" t="n">
        <f aca="false">IF(Calc!$A$11="","",Calc!U$11)</f>
        <v>0.0354693062429452</v>
      </c>
      <c r="M12" s="20" t="n">
        <f aca="false">IF(Calc!$A$11="","",Calc!V$11)</f>
        <v>6.33352820466073</v>
      </c>
      <c r="N12" s="21" t="str">
        <f aca="false">IF(Calc!$A$11="","",Calc!W$11)</f>
        <v>成長且加速</v>
      </c>
      <c r="O12" s="20" t="n">
        <f aca="false">IF(Calc!$A$11="","",Calc!X$11)</f>
        <v>-0.386829714401982</v>
      </c>
      <c r="P12" s="19" t="n">
        <f aca="false">IF(Calc!$A$11="","",Calc!S$11)</f>
        <v>0.216587659607004</v>
      </c>
      <c r="Q12" s="19" t="n">
        <f aca="false">IF(Calc!$A$11="","",Calc!Y$11)</f>
        <v>1.1875</v>
      </c>
      <c r="R12" s="19" t="n">
        <f aca="false">IF(Calc!$A$11="","",Calc!I$11)</f>
        <v>0.520661157024793</v>
      </c>
      <c r="S12" s="19" t="n">
        <f aca="false">IF(Calc!$A$11="","",Calc!Z$11)</f>
        <v>0.317343877695835</v>
      </c>
      <c r="T12" s="19" t="n">
        <f aca="false">IF(Calc!$A$11="","",Calc!AA$11)</f>
        <v>0.367154264642682</v>
      </c>
      <c r="U12" s="22" t="n">
        <f aca="false">IF(Calc!$A$11="","",Calc!AB$11)</f>
        <v>-498.103869468474</v>
      </c>
      <c r="V12" s="22" t="n">
        <f aca="false">IF(Calc!$A$11="","",Calc!AC$11)</f>
        <v>163.047629749846</v>
      </c>
      <c r="W12" s="19" t="n">
        <f aca="false">IF(Calc!$A$11="","",Calc!AF$11)</f>
        <v>0.0445283756950168</v>
      </c>
      <c r="X12" s="19" t="n">
        <f aca="false">IF(Calc!$A$11="","",Calc!AG$11)</f>
        <v>0.0973734285146471</v>
      </c>
      <c r="Y12" s="19" t="n">
        <f aca="false">IF(Calc!$A$11="","",Calc!AH$11)</f>
        <v>0.0767240041366572</v>
      </c>
      <c r="Z12" s="17" t="n">
        <f aca="false">IF(Calc!$A$11="","",Calc!AI$11)</f>
        <v>1.055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46331</v>
      </c>
    </row>
    <row r="13" customFormat="false" ht="15" hidden="false" customHeight="false" outlineLevel="0" collapsed="false">
      <c r="A13" s="16" t="str">
        <f aca="false">IF(Calc!$A$12="","",Calc!A$12)</f>
        <v>CRWD</v>
      </c>
      <c r="B13" s="16" t="str">
        <f aca="false">IF(Calc!$A$12="","",Calc!B$12)</f>
        <v>CrowdStrike Holdings, Inc.</v>
      </c>
      <c r="C13" s="16" t="str">
        <f aca="false">IF(Calc!$A$12="","",Calc!C$12)</f>
        <v>池子</v>
      </c>
      <c r="D13" s="17" t="n">
        <f aca="false">IF(Calc!$A$12="","",Calc!D$12)</f>
        <v>216.679992675781</v>
      </c>
      <c r="E13" s="18" t="n">
        <f aca="false">IF(Calc!$A$12="","",Calc!J$12)</f>
        <v>195.207200608812</v>
      </c>
      <c r="F13" s="18" t="n">
        <f aca="false">IF(Calc!$A$12="","",Calc!L$12)</f>
        <v>148.932283955391</v>
      </c>
      <c r="G13" s="17" t="n">
        <f aca="false">IF(Calc!$A$12="","",Calc!N$12)</f>
        <v>8.36602288323479</v>
      </c>
      <c r="H13" s="17" t="n">
        <f aca="false">IF(Calc!$A$12="","",Calc!O$12)</f>
        <v>5.49970827544986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2.8943649418423</v>
      </c>
      <c r="L13" s="19" t="n">
        <f aca="false">IF(Calc!$A$12="","",Calc!U$12)</f>
        <v>0.0614796514411566</v>
      </c>
      <c r="M13" s="20" t="n">
        <f aca="false">IF(Calc!$A$12="","",Calc!V$12)</f>
        <v>283.288529040114</v>
      </c>
      <c r="N13" s="21" t="str">
        <f aca="false">IF(Calc!$A$12="","",Calc!W$12)</f>
        <v>成長且加速</v>
      </c>
      <c r="O13" s="20" t="n">
        <f aca="false">IF(Calc!$A$12="","",Calc!X$12)</f>
        <v>283.49884861594</v>
      </c>
      <c r="P13" s="19" t="n">
        <f aca="false">IF(Calc!$A$12="","",Calc!S$12)</f>
        <v>3.61622461829057</v>
      </c>
      <c r="Q13" s="19" t="n">
        <f aca="false">IF(Calc!$A$12="","",Calc!Y$12)</f>
        <v>0.347826086956522</v>
      </c>
      <c r="R13" s="19" t="n">
        <f aca="false">IF(Calc!$A$12="","",Calc!I$12)</f>
        <v>0.233333333333333</v>
      </c>
      <c r="S13" s="19" t="n">
        <f aca="false">IF(Calc!$A$12="","",Calc!Z$12)</f>
        <v>0.75319547196433</v>
      </c>
      <c r="T13" s="19" t="n">
        <f aca="false">IF(Calc!$A$12="","",Calc!AA$12)</f>
        <v>0.747800753212096</v>
      </c>
      <c r="U13" s="22" t="n">
        <f aca="false">IF(Calc!$A$12="","",Calc!AB$12)</f>
        <v>53.9471875223418</v>
      </c>
      <c r="V13" s="22" t="n">
        <f aca="false">IF(Calc!$A$12="","",Calc!AC$12)</f>
        <v>173.371959495257</v>
      </c>
      <c r="W13" s="19" t="n">
        <f aca="false">IF(Calc!$A$12="","",Calc!AF$12)</f>
        <v>0.256552951299128</v>
      </c>
      <c r="X13" s="19" t="n">
        <f aca="false">IF(Calc!$A$12="","",Calc!AG$12)</f>
        <v>0.144432210063504</v>
      </c>
      <c r="Y13" s="19" t="n">
        <f aca="false">IF(Calc!$A$12="","",Calc!AH$12)</f>
        <v>0.251912910699403</v>
      </c>
      <c r="Z13" s="17" t="n">
        <f aca="false">IF(Calc!$A$12="","",Calc!AI$12)</f>
        <v>0.31116</v>
      </c>
      <c r="AA13" s="16" t="str">
        <f aca="false">IF(Calc!$A$12="","",Calc!AJ$12)</f>
        <v>FY2027Q3E</v>
      </c>
      <c r="AB13" s="16" t="str">
        <f aca="false">IF(Calc!$A$12="","",Calc!AK$12)</f>
        <v>consensus</v>
      </c>
      <c r="AC13" s="23" t="n">
        <f aca="false">IF(Calc!$A$12="","",Calc!AM$12)</f>
        <v>46260</v>
      </c>
    </row>
    <row r="14" customFormat="false" ht="15" hidden="false" customHeight="false" outlineLevel="0" collapsed="false">
      <c r="A14" s="16" t="str">
        <f aca="false">IF(Calc!$A$13="","",Calc!A$13)</f>
        <v/>
      </c>
      <c r="B14" s="16" t="str">
        <f aca="false">IF(Calc!$A$13="","",Calc!B$13)</f>
        <v/>
      </c>
      <c r="C14" s="16" t="str">
        <f aca="false">IF(Calc!$A$13="","",Calc!C$13)</f>
        <v/>
      </c>
      <c r="D14" s="17" t="str">
        <f aca="false">IF(Calc!$A$13="","",Calc!D$13)</f>
        <v/>
      </c>
      <c r="E14" s="18" t="str">
        <f aca="false">IF(Calc!$A$13="","",Calc!J$13)</f>
        <v/>
      </c>
      <c r="F14" s="18" t="str">
        <f aca="false">IF(Calc!$A$13="","",Calc!L$13)</f>
        <v/>
      </c>
      <c r="G14" s="17" t="str">
        <f aca="false">IF(Calc!$A$13="","",Calc!N$13)</f>
        <v/>
      </c>
      <c r="H14" s="17" t="str">
        <f aca="false">IF(Calc!$A$13="","",Calc!O$13)</f>
        <v/>
      </c>
      <c r="I14" s="19" t="str">
        <f aca="false">IF(Calc!$A$13="","",Calc!Q$13)</f>
        <v/>
      </c>
      <c r="J14" s="19" t="str">
        <f aca="false">IF(Calc!$A$13="","",Calc!R$13)</f>
        <v/>
      </c>
      <c r="K14" s="19" t="str">
        <f aca="false">IF(Calc!$A$13="","",Calc!T$13)</f>
        <v/>
      </c>
      <c r="L14" s="19" t="str">
        <f aca="false">IF(Calc!$A$13="","",Calc!U$13)</f>
        <v/>
      </c>
      <c r="M14" s="20" t="str">
        <f aca="false">IF(Calc!$A$13="","",Calc!V$13)</f>
        <v/>
      </c>
      <c r="N14" s="21" t="str">
        <f aca="false">IF(Calc!$A$13="","",Calc!W$13)</f>
        <v/>
      </c>
      <c r="O14" s="20" t="str">
        <f aca="false">IF(Calc!$A$13="","",Calc!X$13)</f>
        <v/>
      </c>
      <c r="P14" s="19" t="str">
        <f aca="false">IF(Calc!$A$13="","",Calc!S$13)</f>
        <v/>
      </c>
      <c r="Q14" s="19" t="str">
        <f aca="false">IF(Calc!$A$13="","",Calc!Y$13)</f>
        <v/>
      </c>
      <c r="R14" s="19" t="str">
        <f aca="false">IF(Calc!$A$13="","",Calc!I$13)</f>
        <v/>
      </c>
      <c r="S14" s="19" t="str">
        <f aca="false">IF(Calc!$A$13="","",Calc!Z$13)</f>
        <v/>
      </c>
      <c r="T14" s="19" t="str">
        <f aca="false">IF(Calc!$A$13="","",Calc!AA$13)</f>
        <v/>
      </c>
      <c r="U14" s="22" t="str">
        <f aca="false">IF(Calc!$A$13="","",Calc!AB$13)</f>
        <v/>
      </c>
      <c r="V14" s="22" t="str">
        <f aca="false">IF(Calc!$A$13="","",Calc!AC$13)</f>
        <v/>
      </c>
      <c r="W14" s="19" t="str">
        <f aca="false">IF(Calc!$A$13="","",Calc!AF$13)</f>
        <v/>
      </c>
      <c r="X14" s="19" t="str">
        <f aca="false">IF(Calc!$A$13="","",Calc!AG$13)</f>
        <v/>
      </c>
      <c r="Y14" s="19" t="str">
        <f aca="false">IF(Calc!$A$13="","",Calc!AH$13)</f>
        <v/>
      </c>
      <c r="Z14" s="17" t="str">
        <f aca="false">IF(Calc!$A$13="","",Calc!AI$13)</f>
        <v/>
      </c>
      <c r="AA14" s="16" t="str">
        <f aca="false">IF(Calc!$A$13="","",Calc!AJ$13)</f>
        <v/>
      </c>
      <c r="AB14" s="16" t="str">
        <f aca="false">IF(Calc!$A$13="","",Calc!AK$13)</f>
        <v/>
      </c>
      <c r="AC14" s="23" t="str">
        <f aca="false">IF(Calc!$A$13="","",Calc!AM$13)</f>
        <v/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8">
      <formula>"N/M"</formula>
    </cfRule>
  </conditionalFormatting>
  <conditionalFormatting sqref="G3:G22">
    <cfRule type="cellIs" priority="11" operator="lessThan" aboveAverage="0" equalAverage="0" bottom="0" percent="0" rank="0" text="" dxfId="59">
      <formula>1.5</formula>
    </cfRule>
  </conditionalFormatting>
  <conditionalFormatting sqref="H3:H22">
    <cfRule type="cellIs" priority="12" operator="lessThan" aboveAverage="0" equalAverage="0" bottom="0" percent="0" rank="0" text="" dxfId="59">
      <formula>1.5</formula>
    </cfRule>
  </conditionalFormatting>
  <conditionalFormatting sqref="N3:N22">
    <cfRule type="cellIs" priority="13" operator="equal" aboveAverage="0" equalAverage="0" bottom="0" percent="0" rank="0" text="" dxfId="59">
      <formula>"成長且加速"</formula>
    </cfRule>
    <cfRule type="cellIs" priority="14" operator="equal" aboveAverage="0" equalAverage="0" bottom="0" percent="0" rank="0" text="" dxfId="60">
      <formula>"成長但減速"</formula>
    </cfRule>
    <cfRule type="cellIs" priority="15" operator="equal" aboveAverage="0" equalAverage="0" bottom="0" percent="0" rank="0" text="" dxfId="60">
      <formula>"衰退但收斂"</formula>
    </cfRule>
    <cfRule type="cellIs" priority="16" operator="equal" aboveAverage="0" equalAverage="0" bottom="0" percent="0" rank="0" text="" dxfId="61">
      <formula>"衰退且惡化"</formula>
    </cfRule>
  </conditionalFormatting>
  <conditionalFormatting sqref="A3:AC22">
    <cfRule type="expression" priority="17" aboveAverage="0" equalAverage="0" bottom="0" percent="0" rank="0" text="" dxfId="6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324.680114746094</v>
      </c>
      <c r="D4" s="30" t="s">
        <v>86</v>
      </c>
      <c r="E4" s="32" t="n">
        <f aca="false">IF($B$2="","",IFERROR(INDEX(Calc!$AL$2:$AL$100,MATCH($B$2,Calc!$A$2:$A$100,0)),""))</f>
        <v>28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46266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37.2339581130841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34.2700635184632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1.15198020640951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4.20162764762268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9.47416145205479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0.0032339522881502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1.20603548273103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0.0815637804979068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324.680114746094</v>
      </c>
      <c r="L12" s="55" t="n">
        <f aca="false">IF(Stock_Card!$B$2="","",IFERROR(INDEX(Calc!$Q$2:$Q$100,MATCH(Stock_Card!$B$2,Calc!$A$2:$A$100,0)),""))</f>
        <v>0.0032339522881502</v>
      </c>
      <c r="M12" s="58" t="n">
        <f aca="false">IF(Stock_Card!$B$2="","",IFERROR(INDEX(Calc!$J$2:$J$100,MATCH(Stock_Card!$B$2,Calc!$A$2:$A$100,0)),""))</f>
        <v>37.2339581130841</v>
      </c>
      <c r="N12" s="57" t="n">
        <f aca="false">IF(Stock_Card!$B$2="","",IFERROR(INDEX(Calc!$N$2:$N$100,MATCH(Stock_Card!$B$2,Calc!$A$2:$A$100,0)),""))</f>
        <v>1.15198020640951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9.47416145205479</v>
      </c>
      <c r="H13" s="55" t="n">
        <f aca="false">IF(Stock_Card!$B$2="","",IFERROR(INDEX(Calc!$M$2:$M$100,MATCH(Stock_Card!$B$2,Calc!$A$2:$A$100,0)),""))</f>
        <v>0.0815637804979068</v>
      </c>
      <c r="I13" s="55" t="n">
        <f aca="false">IF(Stock_Card!$B$2="","",IFERROR(INDEX(Calc!$AH$2:$AH$100,MATCH(Stock_Card!$B$2,Calc!$A$2:$A$100,0)),""))</f>
        <v>1.20603548273103</v>
      </c>
      <c r="J13" s="59"/>
      <c r="K13" s="59"/>
      <c r="L13" s="59"/>
      <c r="M13" s="58" t="n">
        <f aca="false">IF(Stock_Card!$B$2="","",IFERROR(INDEX(Calc!$L$2:$L$100,MATCH(Stock_Card!$B$2,Calc!$A$2:$A$100,0)),""))</f>
        <v>34.2700635184632</v>
      </c>
      <c r="N13" s="57" t="n">
        <f aca="false">IF(Stock_Card!$B$2="","",IFERROR(INDEX(Calc!$O$2:$O$100,MATCH(Stock_Card!$B$2,Calc!$A$2:$A$100,0)),""))</f>
        <v>4.20162764762268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{33FD8B77-C949-43E6-8779-3F506CA8B5ED}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9">
      <formula>"成長且加速"</formula>
    </cfRule>
    <cfRule type="cellIs" priority="5" operator="equal" aboveAverage="0" equalAverage="0" bottom="0" percent="0" rank="0" text="" dxfId="60">
      <formula>"成長但減速"</formula>
    </cfRule>
    <cfRule type="cellIs" priority="6" operator="equal" aboveAverage="0" equalAverage="0" bottom="0" percent="0" rank="0" text="" dxfId="60">
      <formula>"衰退但收斂"</formula>
    </cfRule>
    <cfRule type="cellIs" priority="7" operator="equal" aboveAverage="0" equalAverage="0" bottom="0" percent="0" rank="0" text="" dxfId="6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3">
      <formula>$O5="預估"</formula>
    </cfRule>
  </conditionalFormatting>
  <conditionalFormatting sqref="B24:B28">
    <cfRule type="expression" priority="12" aboveAverage="0" equalAverage="0" bottom="0" percent="0" rank="0" text="" dxfId="6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3FD8B77-C949-43E6-8779-3F506CA8B5E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58</v>
      </c>
      <c r="I4" s="67" t="n">
        <f aca="false">IF($A4="","",IFERROR(INDEX(Raw_Price!$E$2:$E$100,MATCH($A4,Raw_Price!$A$2:$A$100,0)),""))</f>
        <v>46266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57</v>
      </c>
      <c r="I5" s="67" t="n">
        <f aca="false">IF($A5="","",IFERROR(INDEX(Raw_Price!$E$2:$E$100,MATCH($A5,Raw_Price!$A$2:$A$100,0)),""))</f>
        <v>46266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77</v>
      </c>
      <c r="I6" s="67" t="n">
        <f aca="false">IF($A6="","",IFERROR(INDEX(Raw_Price!$E$2:$E$100,MATCH($A6,Raw_Price!$A$2:$A$100,0)),""))</f>
        <v>46266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ADBE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44074</v>
      </c>
      <c r="E7" s="67" t="n">
        <f aca="false">IF($A7="","",IFERROR(SUMIFS(Raw_Q!$E$2:$E$600,Raw_Q!$A$2:$A$600,$A7,Raw_Q!$P$2:$P$600,1),""))</f>
        <v>46173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46275</v>
      </c>
      <c r="H7" s="47" t="n">
        <f aca="true">IF($A7="","",IFERROR(INDEX(Raw_Price!$D$2:$D$100,MATCH($A7,Raw_Price!$A$2:$A$100,0))-TODAY(),""))</f>
        <v>9</v>
      </c>
      <c r="I7" s="67" t="n">
        <f aca="false">IF($A7="","",IFERROR(INDEX(Raw_Price!$E$2:$E$100,MATCH($A7,Raw_Price!$A$2:$A$100,0)),""))</f>
        <v>46266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AAOI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44104</v>
      </c>
      <c r="E8" s="67" t="n">
        <f aca="false">IF($A8="","",IFERROR(SUMIFS(Raw_Q!$E$2:$E$600,Raw_Q!$A$2:$A$600,$A8,Raw_Q!$P$2:$P$600,1),""))</f>
        <v>46203</v>
      </c>
      <c r="F8" s="66" t="str">
        <f aca="false">IF($A8="","",IFERROR(INDEX(Raw_Q!$B$2:$B$600,MATCH($A8&amp;"|"&amp;0,Raw_Q!$Q$2:$Q$600,0)),""))</f>
        <v>FY2026Q3E</v>
      </c>
      <c r="G8" s="67" t="n">
        <f aca="false">IF($A8="","",IFERROR(INDEX(Raw_Price!$D$2:$D$100,MATCH($A8,Raw_Price!$A$2:$A$100,0)),""))</f>
        <v>46331</v>
      </c>
      <c r="H8" s="47" t="n">
        <f aca="true">IF($A8="","",IFERROR(INDEX(Raw_Price!$D$2:$D$100,MATCH($A8,Raw_Price!$A$2:$A$100,0))-TODAY(),""))</f>
        <v>65</v>
      </c>
      <c r="I8" s="67" t="n">
        <f aca="false">IF($A8="","",IFERROR(INDEX(Raw_Price!$E$2:$E$100,MATCH($A8,Raw_Price!$A$2:$A$100,0)),""))</f>
        <v>46266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MRVL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44135</v>
      </c>
      <c r="E9" s="67" t="n">
        <f aca="false">IF($A9="","",IFERROR(SUMIFS(Raw_Q!$E$2:$E$600,Raw_Q!$A$2:$A$600,$A9,Raw_Q!$P$2:$P$600,1),""))</f>
        <v>46234</v>
      </c>
      <c r="F9" s="66" t="str">
        <f aca="false">IF($A9="","",IFERROR(INDEX(Raw_Q!$B$2:$B$600,MATCH($A9&amp;"|"&amp;0,Raw_Q!$Q$2:$Q$600,0)),""))</f>
        <v>FY2027Q3E</v>
      </c>
      <c r="G9" s="67" t="n">
        <f aca="false">IF($A9="","",IFERROR(INDEX(Raw_Price!$D$2:$D$100,MATCH($A9,Raw_Price!$A$2:$A$100,0)),""))</f>
        <v>46261</v>
      </c>
      <c r="H9" s="47" t="n">
        <f aca="true">IF($A9="","",IFERROR(INDEX(Raw_Price!$D$2:$D$100,MATCH($A9,Raw_Price!$A$2:$A$100,0))-TODAY(),""))</f>
        <v>-5</v>
      </c>
      <c r="I9" s="67" t="n">
        <f aca="false">IF($A9="","",IFERROR(INDEX(Raw_Price!$E$2:$E$100,MATCH($A9,Raw_Price!$A$2:$A$100,0)),""))</f>
        <v>46266</v>
      </c>
      <c r="J9" s="66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MU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44074</v>
      </c>
      <c r="E10" s="67" t="n">
        <f aca="false">IF($A10="","",IFERROR(SUMIFS(Raw_Q!$E$2:$E$600,Raw_Q!$A$2:$A$600,$A10,Raw_Q!$P$2:$P$600,1),""))</f>
        <v>46173</v>
      </c>
      <c r="F10" s="66" t="str">
        <f aca="false">IF($A10="","",IFERROR(INDEX(Raw_Q!$B$2:$B$600,MATCH($A10&amp;"|"&amp;0,Raw_Q!$Q$2:$Q$600,0)),""))</f>
        <v>FY2026Q4E</v>
      </c>
      <c r="G10" s="67" t="n">
        <f aca="false">IF($A10="","",IFERROR(INDEX(Raw_Price!$D$2:$D$100,MATCH($A10,Raw_Price!$A$2:$A$100,0)),""))</f>
        <v>46295</v>
      </c>
      <c r="H10" s="47" t="n">
        <f aca="true">IF($A10="","",IFERROR(INDEX(Raw_Price!$D$2:$D$100,MATCH($A10,Raw_Price!$A$2:$A$100,0))-TODAY(),""))</f>
        <v>29</v>
      </c>
      <c r="I10" s="67" t="n">
        <f aca="false">IF($A10="","",IFERROR(INDEX(Raw_Price!$E$2:$E$100,MATCH($A10,Raw_Price!$A$2:$A$100,0)),""))</f>
        <v>46266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TER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44104</v>
      </c>
      <c r="E11" s="67" t="n">
        <f aca="false">IF($A11="","",IFERROR(SUMIFS(Raw_Q!$E$2:$E$600,Raw_Q!$A$2:$A$600,$A11,Raw_Q!$P$2:$P$600,1),""))</f>
        <v>46203</v>
      </c>
      <c r="F11" s="66" t="str">
        <f aca="false">IF($A11="","",IFERROR(INDEX(Raw_Q!$B$2:$B$600,MATCH($A11&amp;"|"&amp;0,Raw_Q!$Q$2:$Q$600,0)),""))</f>
        <v>FY2026Q3E</v>
      </c>
      <c r="G11" s="67" t="n">
        <f aca="false">IF($A11="","",IFERROR(INDEX(Raw_Price!$D$2:$D$100,MATCH($A11,Raw_Price!$A$2:$A$100,0)),""))</f>
        <v>46316</v>
      </c>
      <c r="H11" s="47" t="n">
        <f aca="true">IF($A11="","",IFERROR(INDEX(Raw_Price!$D$2:$D$100,MATCH($A11,Raw_Price!$A$2:$A$100,0))-TODAY(),""))</f>
        <v>50</v>
      </c>
      <c r="I11" s="67" t="n">
        <f aca="false">IF($A11="","",IFERROR(INDEX(Raw_Price!$E$2:$E$100,MATCH($A11,Raw_Price!$A$2:$A$100,0)),""))</f>
        <v>46266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DELL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44043</v>
      </c>
      <c r="E12" s="67" t="n">
        <f aca="false">IF($A12="","",IFERROR(SUMIFS(Raw_Q!$E$2:$E$600,Raw_Q!$A$2:$A$600,$A12,Raw_Q!$P$2:$P$600,1),""))</f>
        <v>46142</v>
      </c>
      <c r="F12" s="66" t="str">
        <f aca="false">IF($A12="","",IFERROR(INDEX(Raw_Q!$B$2:$B$600,MATCH($A12&amp;"|"&amp;0,Raw_Q!$Q$2:$Q$600,0)),""))</f>
        <v>FY2027Q2E</v>
      </c>
      <c r="G12" s="67" t="n">
        <f aca="false">IF($A12="","",IFERROR(INDEX(Raw_Price!$D$2:$D$100,MATCH($A12,Raw_Price!$A$2:$A$100,0)),""))</f>
        <v>46266</v>
      </c>
      <c r="H12" s="47" t="n">
        <f aca="true">IF($A12="","",IFERROR(INDEX(Raw_Price!$D$2:$D$100,MATCH($A12,Raw_Price!$A$2:$A$100,0))-TODAY(),""))</f>
        <v>0</v>
      </c>
      <c r="I12" s="67" t="n">
        <f aca="false">IF($A12="","",IFERROR(INDEX(Raw_Price!$E$2:$E$100,MATCH($A12,Raw_Price!$A$2:$A$100,0)),""))</f>
        <v>46266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DIOD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44104</v>
      </c>
      <c r="E13" s="67" t="n">
        <f aca="false">IF($A13="","",IFERROR(SUMIFS(Raw_Q!$E$2:$E$600,Raw_Q!$A$2:$A$600,$A13,Raw_Q!$P$2:$P$600,1),""))</f>
        <v>46203</v>
      </c>
      <c r="F13" s="66" t="str">
        <f aca="false">IF($A13="","",IFERROR(INDEX(Raw_Q!$B$2:$B$600,MATCH($A13&amp;"|"&amp;0,Raw_Q!$Q$2:$Q$600,0)),""))</f>
        <v>FY2026Q3E</v>
      </c>
      <c r="G13" s="67" t="n">
        <f aca="false">IF($A13="","",IFERROR(INDEX(Raw_Price!$D$2:$D$100,MATCH($A13,Raw_Price!$A$2:$A$100,0)),""))</f>
        <v>46331</v>
      </c>
      <c r="H13" s="47" t="n">
        <f aca="true">IF($A13="","",IFERROR(INDEX(Raw_Price!$D$2:$D$100,MATCH($A13,Raw_Price!$A$2:$A$100,0))-TODAY(),""))</f>
        <v>65</v>
      </c>
      <c r="I13" s="67" t="n">
        <f aca="false">IF($A13="","",IFERROR(INDEX(Raw_Price!$E$2:$E$100,MATCH($A13,Raw_Price!$A$2:$A$100,0)),""))</f>
        <v>46266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CRWD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44135</v>
      </c>
      <c r="E14" s="67" t="n">
        <f aca="false">IF($A14="","",IFERROR(SUMIFS(Raw_Q!$E$2:$E$600,Raw_Q!$A$2:$A$600,$A14,Raw_Q!$P$2:$P$600,1),""))</f>
        <v>46234</v>
      </c>
      <c r="F14" s="66" t="str">
        <f aca="false">IF($A14="","",IFERROR(INDEX(Raw_Q!$B$2:$B$600,MATCH($A14&amp;"|"&amp;0,Raw_Q!$Q$2:$Q$600,0)),""))</f>
        <v>FY2027Q3E</v>
      </c>
      <c r="G14" s="67" t="n">
        <f aca="false">IF($A14="","",IFERROR(INDEX(Raw_Price!$D$2:$D$100,MATCH($A14,Raw_Price!$A$2:$A$100,0)),""))</f>
        <v>46260</v>
      </c>
      <c r="H14" s="47" t="n">
        <f aca="true">IF($A14="","",IFERROR(INDEX(Raw_Price!$D$2:$D$100,MATCH($A14,Raw_Price!$A$2:$A$100,0))-TODAY(),""))</f>
        <v>-6</v>
      </c>
      <c r="I14" s="67" t="n">
        <f aca="false">IF($A14="","",IFERROR(INDEX(Raw_Price!$E$2:$E$100,MATCH($A14,Raw_Price!$A$2:$A$100,0)),""))</f>
        <v>46266</v>
      </c>
      <c r="J14" s="66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/>
      </c>
      <c r="B15" s="47" t="str">
        <f aca="false">IF($A15="","",COUNTIFS(Raw_Q!$A$2:$A$600,$A15,Raw_Q!$F$2:$F$600,"N"))</f>
        <v/>
      </c>
      <c r="C15" s="47" t="str">
        <f aca="false">IF($A15="","",Config!$B$4)</f>
        <v/>
      </c>
      <c r="D15" s="67" t="str">
        <f aca="false">IF($A15="","",IFERROR(SUMIFS(Raw_Q!$E$2:$E$600,Raw_Q!$A$2:$A$600,$A15,Raw_Q!$P$2:$P$600,$B15),""))</f>
        <v/>
      </c>
      <c r="E15" s="67" t="str">
        <f aca="false">IF($A15="","",IFERROR(SUMIFS(Raw_Q!$E$2:$E$600,Raw_Q!$A$2:$A$600,$A15,Raw_Q!$P$2:$P$600,1),""))</f>
        <v/>
      </c>
      <c r="F15" s="66" t="str">
        <f aca="false">IF($A15="","",IFERROR(INDEX(Raw_Q!$B$2:$B$600,MATCH($A15&amp;"|"&amp;0,Raw_Q!$Q$2:$Q$600,0)),""))</f>
        <v/>
      </c>
      <c r="G15" s="67" t="str">
        <f aca="false">IF($A15="","",IFERROR(INDEX(Raw_Price!$D$2:$D$100,MATCH($A15,Raw_Price!$A$2:$A$100,0)),""))</f>
        <v/>
      </c>
      <c r="H15" s="47" t="str">
        <f aca="true">IF($A15="","",IFERROR(INDEX(Raw_Price!$D$2:$D$100,MATCH($A15,Raw_Price!$A$2:$A$100,0))-TODAY(),""))</f>
        <v/>
      </c>
      <c r="I15" s="67" t="str">
        <f aca="false">IF($A15="","",IFERROR(INDEX(Raw_Price!$E$2:$E$100,MATCH($A15,Raw_Price!$A$2:$A$100,0)),""))</f>
        <v/>
      </c>
      <c r="J15" s="66" t="str">
        <f aca="true">IF($A15="","",IF($B15=0,"未抓取",IF($B15&lt;$C15,"需補歷史 ("&amp;($C15-$B15)&amp;" 季)",IF(TODAY()&gt;$G15,"待更新財報","OK"))))</f>
        <v/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IF($A16="","",IFERROR(SUMIFS(Raw_Q!$E$2:$E$600,Raw_Q!$A$2:$A$600,$A16,Raw_Q!$P$2:$P$600,$B16),""))</f>
        <v/>
      </c>
      <c r="E16" s="67" t="str">
        <f aca="false">IF($A16="","",IFERROR(SUMIFS(Raw_Q!$E$2:$E$600,Raw_Q!$A$2:$A$600,$A16,Raw_Q!$P$2:$P$600,1),""))</f>
        <v/>
      </c>
      <c r="F16" s="66" t="str">
        <f aca="false">IF($A16="","",IFERROR(INDEX(Raw_Q!$B$2:$B$600,MATCH($A16&amp;"|"&amp;0,Raw_Q!$Q$2:$Q$600,0)),""))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66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IF($A17="","",IFERROR(SUMIFS(Raw_Q!$E$2:$E$600,Raw_Q!$A$2:$A$600,$A17,Raw_Q!$P$2:$P$600,$B17),""))</f>
        <v/>
      </c>
      <c r="E17" s="67" t="str">
        <f aca="false">IF($A17="","",IFERROR(SUMIFS(Raw_Q!$E$2:$E$600,Raw_Q!$A$2:$A$600,$A17,Raw_Q!$P$2:$P$600,1),""))</f>
        <v/>
      </c>
      <c r="F17" s="66" t="str">
        <f aca="false">IF($A17="","",IFERROR(INDEX(Raw_Q!$B$2:$B$600,MATCH($A17&amp;"|"&amp;0,Raw_Q!$Q$2:$Q$600,0)),""))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66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IF($A18="","",IFERROR(SUMIFS(Raw_Q!$E$2:$E$600,Raw_Q!$A$2:$A$600,$A18,Raw_Q!$P$2:$P$600,$B18),""))</f>
        <v/>
      </c>
      <c r="E18" s="67" t="str">
        <f aca="false">IF($A18="","",IFERROR(SUMIFS(Raw_Q!$E$2:$E$600,Raw_Q!$A$2:$A$600,$A18,Raw_Q!$P$2:$P$600,1),""))</f>
        <v/>
      </c>
      <c r="F18" s="66" t="str">
        <f aca="false">IF($A18="","",IFERROR(INDEX(Raw_Q!$B$2:$B$600,MATCH($A18&amp;"|"&amp;0,Raw_Q!$Q$2:$Q$600,0)),""))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66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IF($A19="","",IFERROR(SUMIFS(Raw_Q!$E$2:$E$600,Raw_Q!$A$2:$A$600,$A19,Raw_Q!$P$2:$P$600,$B19),""))</f>
        <v/>
      </c>
      <c r="E19" s="67" t="str">
        <f aca="false">IF($A19="","",IFERROR(SUMIFS(Raw_Q!$E$2:$E$600,Raw_Q!$A$2:$A$600,$A19,Raw_Q!$P$2:$P$600,1),""))</f>
        <v/>
      </c>
      <c r="F19" s="66" t="str">
        <f aca="false">IF($A19="","",IFERROR(INDEX(Raw_Q!$B$2:$B$600,MATCH($A19&amp;"|"&amp;0,Raw_Q!$Q$2:$Q$600,0)),""))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66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4">
      <formula>"OK"</formula>
    </cfRule>
    <cfRule type="cellIs" priority="3" operator="equal" aboveAverage="0" equalAverage="0" bottom="0" percent="0" rank="0" text="" dxfId="65">
      <formula>"待更新財報"</formula>
    </cfRule>
    <cfRule type="expression" priority="4" aboveAverage="0" equalAverage="0" bottom="0" percent="0" rank="0" text="" dxfId="66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171</v>
      </c>
      <c r="D5" s="73"/>
      <c r="E5" s="73"/>
      <c r="F5" s="75"/>
      <c r="G5" s="73"/>
    </row>
    <row r="6" customFormat="false" ht="15" hidden="false" customHeight="false" outlineLevel="0" collapsed="false">
      <c r="A6" s="73" t="s">
        <v>177</v>
      </c>
      <c r="B6" s="73" t="s">
        <v>178</v>
      </c>
      <c r="C6" s="74" t="s">
        <v>168</v>
      </c>
      <c r="D6" s="74" t="s">
        <v>179</v>
      </c>
      <c r="E6" s="73" t="s">
        <v>180</v>
      </c>
      <c r="F6" s="75" t="n">
        <v>46263</v>
      </c>
      <c r="G6" s="73"/>
    </row>
    <row r="7" customFormat="false" ht="15" hidden="false" customHeight="false" outlineLevel="0" collapsed="false">
      <c r="A7" s="73" t="s">
        <v>181</v>
      </c>
      <c r="B7" s="73" t="s">
        <v>182</v>
      </c>
      <c r="C7" s="74" t="s">
        <v>174</v>
      </c>
      <c r="D7" s="74" t="s">
        <v>183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174</v>
      </c>
      <c r="D8" s="74" t="s">
        <v>183</v>
      </c>
      <c r="E8" s="73"/>
      <c r="F8" s="75" t="n">
        <v>46264</v>
      </c>
      <c r="G8" s="73"/>
    </row>
    <row r="9" customFormat="false" ht="15" hidden="false" customHeight="false" outlineLevel="0" collapsed="false">
      <c r="A9" s="73" t="s">
        <v>186</v>
      </c>
      <c r="B9" s="73" t="s">
        <v>187</v>
      </c>
      <c r="C9" s="74" t="s">
        <v>188</v>
      </c>
      <c r="D9" s="74" t="s">
        <v>183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168</v>
      </c>
      <c r="D10" s="74" t="s">
        <v>183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174</v>
      </c>
      <c r="D11" s="74" t="s">
        <v>183</v>
      </c>
      <c r="E11" s="73"/>
      <c r="F11" s="75" t="n">
        <v>46265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183</v>
      </c>
      <c r="E12" s="73"/>
      <c r="F12" s="75" t="n">
        <v>46266</v>
      </c>
      <c r="G12" s="73"/>
    </row>
    <row r="13" customFormat="false" ht="15" hidden="false" customHeight="false" outlineLevel="0" collapsed="false">
      <c r="A13" s="73"/>
      <c r="B13" s="73"/>
      <c r="C13" s="73"/>
      <c r="D13" s="73"/>
      <c r="E13" s="73"/>
      <c r="F13" s="75"/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196</v>
      </c>
      <c r="C1" s="14" t="s">
        <v>197</v>
      </c>
      <c r="D1" s="14" t="s">
        <v>198</v>
      </c>
      <c r="E1" s="14" t="s">
        <v>199</v>
      </c>
      <c r="F1" s="14" t="s">
        <v>200</v>
      </c>
      <c r="G1" s="14" t="s">
        <v>201</v>
      </c>
      <c r="H1" s="14" t="s">
        <v>202</v>
      </c>
      <c r="I1" s="14" t="s">
        <v>203</v>
      </c>
      <c r="J1" s="14" t="s">
        <v>204</v>
      </c>
      <c r="K1" s="14" t="s">
        <v>205</v>
      </c>
      <c r="L1" s="14" t="s">
        <v>206</v>
      </c>
      <c r="M1" s="14" t="s">
        <v>207</v>
      </c>
      <c r="N1" s="14" t="s">
        <v>208</v>
      </c>
      <c r="O1" s="14" t="s">
        <v>209</v>
      </c>
      <c r="P1" s="14" t="s">
        <v>210</v>
      </c>
      <c r="Q1" s="14" t="s">
        <v>211</v>
      </c>
    </row>
    <row r="2" customFormat="false" ht="15" hidden="false" customHeight="false" outlineLevel="0" collapsed="false">
      <c r="A2" s="76" t="s">
        <v>177</v>
      </c>
      <c r="B2" s="76" t="s">
        <v>212</v>
      </c>
      <c r="C2" s="77" t="n">
        <v>2026</v>
      </c>
      <c r="D2" s="77" t="n">
        <v>2</v>
      </c>
      <c r="E2" s="78" t="n">
        <v>46203</v>
      </c>
      <c r="F2" s="76" t="s">
        <v>213</v>
      </c>
      <c r="G2" s="76" t="s">
        <v>214</v>
      </c>
      <c r="H2" s="76" t="s">
        <v>215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216</v>
      </c>
    </row>
    <row r="3" customFormat="false" ht="15" hidden="false" customHeight="false" outlineLevel="0" collapsed="false">
      <c r="A3" s="76" t="s">
        <v>177</v>
      </c>
      <c r="B3" s="76" t="s">
        <v>217</v>
      </c>
      <c r="C3" s="77" t="n">
        <v>2026</v>
      </c>
      <c r="D3" s="77" t="n">
        <v>1</v>
      </c>
      <c r="E3" s="78" t="n">
        <v>46112</v>
      </c>
      <c r="F3" s="76" t="s">
        <v>213</v>
      </c>
      <c r="G3" s="76" t="s">
        <v>214</v>
      </c>
      <c r="H3" s="76" t="s">
        <v>215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218</v>
      </c>
    </row>
    <row r="4" customFormat="false" ht="15" hidden="false" customHeight="false" outlineLevel="0" collapsed="false">
      <c r="A4" s="76" t="s">
        <v>177</v>
      </c>
      <c r="B4" s="76" t="s">
        <v>219</v>
      </c>
      <c r="C4" s="77" t="n">
        <v>2025</v>
      </c>
      <c r="D4" s="77" t="n">
        <v>4</v>
      </c>
      <c r="E4" s="78" t="n">
        <v>46022</v>
      </c>
      <c r="F4" s="76" t="s">
        <v>213</v>
      </c>
      <c r="G4" s="76" t="s">
        <v>214</v>
      </c>
      <c r="H4" s="76" t="s">
        <v>215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220</v>
      </c>
    </row>
    <row r="5" customFormat="false" ht="15" hidden="false" customHeight="false" outlineLevel="0" collapsed="false">
      <c r="A5" s="76" t="s">
        <v>177</v>
      </c>
      <c r="B5" s="76" t="s">
        <v>221</v>
      </c>
      <c r="C5" s="77" t="n">
        <v>2025</v>
      </c>
      <c r="D5" s="77" t="n">
        <v>3</v>
      </c>
      <c r="E5" s="78" t="n">
        <v>45930</v>
      </c>
      <c r="F5" s="76" t="s">
        <v>213</v>
      </c>
      <c r="G5" s="76" t="s">
        <v>214</v>
      </c>
      <c r="H5" s="76" t="s">
        <v>215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222</v>
      </c>
    </row>
    <row r="6" customFormat="false" ht="15" hidden="false" customHeight="false" outlineLevel="0" collapsed="false">
      <c r="A6" s="76" t="s">
        <v>177</v>
      </c>
      <c r="B6" s="76" t="s">
        <v>223</v>
      </c>
      <c r="C6" s="77" t="n">
        <v>2025</v>
      </c>
      <c r="D6" s="77" t="n">
        <v>2</v>
      </c>
      <c r="E6" s="78" t="n">
        <v>45838</v>
      </c>
      <c r="F6" s="76" t="s">
        <v>213</v>
      </c>
      <c r="G6" s="76" t="s">
        <v>214</v>
      </c>
      <c r="H6" s="76" t="s">
        <v>215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224</v>
      </c>
    </row>
    <row r="7" customFormat="false" ht="15" hidden="false" customHeight="false" outlineLevel="0" collapsed="false">
      <c r="A7" s="76" t="s">
        <v>177</v>
      </c>
      <c r="B7" s="76" t="s">
        <v>225</v>
      </c>
      <c r="C7" s="77" t="n">
        <v>2025</v>
      </c>
      <c r="D7" s="77" t="n">
        <v>1</v>
      </c>
      <c r="E7" s="78" t="n">
        <v>45747</v>
      </c>
      <c r="F7" s="76" t="s">
        <v>213</v>
      </c>
      <c r="G7" s="76" t="s">
        <v>214</v>
      </c>
      <c r="H7" s="76" t="s">
        <v>215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226</v>
      </c>
    </row>
    <row r="8" customFormat="false" ht="15" hidden="false" customHeight="false" outlineLevel="0" collapsed="false">
      <c r="A8" s="76" t="s">
        <v>177</v>
      </c>
      <c r="B8" s="76" t="s">
        <v>227</v>
      </c>
      <c r="C8" s="77" t="n">
        <v>2024</v>
      </c>
      <c r="D8" s="77" t="n">
        <v>4</v>
      </c>
      <c r="E8" s="78" t="n">
        <v>45657</v>
      </c>
      <c r="F8" s="76" t="s">
        <v>213</v>
      </c>
      <c r="G8" s="76" t="s">
        <v>214</v>
      </c>
      <c r="H8" s="76" t="s">
        <v>215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228</v>
      </c>
    </row>
    <row r="9" customFormat="false" ht="15" hidden="false" customHeight="false" outlineLevel="0" collapsed="false">
      <c r="A9" s="76" t="s">
        <v>177</v>
      </c>
      <c r="B9" s="76" t="s">
        <v>229</v>
      </c>
      <c r="C9" s="77" t="n">
        <v>2024</v>
      </c>
      <c r="D9" s="77" t="n">
        <v>3</v>
      </c>
      <c r="E9" s="78" t="n">
        <v>45565</v>
      </c>
      <c r="F9" s="76" t="s">
        <v>213</v>
      </c>
      <c r="G9" s="76" t="s">
        <v>214</v>
      </c>
      <c r="H9" s="76" t="s">
        <v>215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230</v>
      </c>
    </row>
    <row r="10" customFormat="false" ht="15" hidden="false" customHeight="false" outlineLevel="0" collapsed="false">
      <c r="A10" s="76" t="s">
        <v>177</v>
      </c>
      <c r="B10" s="76" t="s">
        <v>231</v>
      </c>
      <c r="C10" s="77" t="n">
        <v>2024</v>
      </c>
      <c r="D10" s="77" t="n">
        <v>2</v>
      </c>
      <c r="E10" s="78" t="n">
        <v>45473</v>
      </c>
      <c r="F10" s="76" t="s">
        <v>213</v>
      </c>
      <c r="G10" s="76" t="s">
        <v>214</v>
      </c>
      <c r="H10" s="76" t="s">
        <v>215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232</v>
      </c>
    </row>
    <row r="11" customFormat="false" ht="15" hidden="false" customHeight="false" outlineLevel="0" collapsed="false">
      <c r="A11" s="76" t="s">
        <v>177</v>
      </c>
      <c r="B11" s="76" t="s">
        <v>233</v>
      </c>
      <c r="C11" s="77" t="n">
        <v>2024</v>
      </c>
      <c r="D11" s="77" t="n">
        <v>1</v>
      </c>
      <c r="E11" s="78" t="n">
        <v>45382</v>
      </c>
      <c r="F11" s="76" t="s">
        <v>213</v>
      </c>
      <c r="G11" s="76" t="s">
        <v>214</v>
      </c>
      <c r="H11" s="76" t="s">
        <v>215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234</v>
      </c>
    </row>
    <row r="12" customFormat="false" ht="15" hidden="false" customHeight="false" outlineLevel="0" collapsed="false">
      <c r="A12" s="76" t="s">
        <v>177</v>
      </c>
      <c r="B12" s="76" t="s">
        <v>235</v>
      </c>
      <c r="C12" s="77" t="n">
        <v>2023</v>
      </c>
      <c r="D12" s="77" t="n">
        <v>4</v>
      </c>
      <c r="E12" s="78" t="n">
        <v>45291</v>
      </c>
      <c r="F12" s="76" t="s">
        <v>213</v>
      </c>
      <c r="G12" s="76" t="s">
        <v>214</v>
      </c>
      <c r="H12" s="76" t="s">
        <v>215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236</v>
      </c>
    </row>
    <row r="13" customFormat="false" ht="15" hidden="false" customHeight="false" outlineLevel="0" collapsed="false">
      <c r="A13" s="76" t="s">
        <v>177</v>
      </c>
      <c r="B13" s="76" t="s">
        <v>237</v>
      </c>
      <c r="C13" s="77" t="n">
        <v>2023</v>
      </c>
      <c r="D13" s="77" t="n">
        <v>3</v>
      </c>
      <c r="E13" s="78" t="n">
        <v>45199</v>
      </c>
      <c r="F13" s="76" t="s">
        <v>213</v>
      </c>
      <c r="G13" s="76" t="s">
        <v>214</v>
      </c>
      <c r="H13" s="76" t="s">
        <v>215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238</v>
      </c>
    </row>
    <row r="14" customFormat="false" ht="15" hidden="false" customHeight="false" outlineLevel="0" collapsed="false">
      <c r="A14" s="76" t="s">
        <v>177</v>
      </c>
      <c r="B14" s="76" t="s">
        <v>239</v>
      </c>
      <c r="C14" s="77" t="n">
        <v>2023</v>
      </c>
      <c r="D14" s="77" t="n">
        <v>2</v>
      </c>
      <c r="E14" s="78" t="n">
        <v>45107</v>
      </c>
      <c r="F14" s="76" t="s">
        <v>213</v>
      </c>
      <c r="G14" s="76" t="s">
        <v>214</v>
      </c>
      <c r="H14" s="76" t="s">
        <v>215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240</v>
      </c>
    </row>
    <row r="15" customFormat="false" ht="15" hidden="false" customHeight="false" outlineLevel="0" collapsed="false">
      <c r="A15" s="76" t="s">
        <v>177</v>
      </c>
      <c r="B15" s="76" t="s">
        <v>241</v>
      </c>
      <c r="C15" s="77" t="n">
        <v>2023</v>
      </c>
      <c r="D15" s="77" t="n">
        <v>1</v>
      </c>
      <c r="E15" s="78" t="n">
        <v>45016</v>
      </c>
      <c r="F15" s="76" t="s">
        <v>213</v>
      </c>
      <c r="G15" s="76" t="s">
        <v>214</v>
      </c>
      <c r="H15" s="76" t="s">
        <v>215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242</v>
      </c>
    </row>
    <row r="16" customFormat="false" ht="15" hidden="false" customHeight="false" outlineLevel="0" collapsed="false">
      <c r="A16" s="76" t="s">
        <v>177</v>
      </c>
      <c r="B16" s="76" t="s">
        <v>243</v>
      </c>
      <c r="C16" s="77" t="n">
        <v>2022</v>
      </c>
      <c r="D16" s="77" t="n">
        <v>4</v>
      </c>
      <c r="E16" s="78" t="n">
        <v>44926</v>
      </c>
      <c r="F16" s="76" t="s">
        <v>213</v>
      </c>
      <c r="G16" s="76" t="s">
        <v>214</v>
      </c>
      <c r="H16" s="76" t="s">
        <v>215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244</v>
      </c>
    </row>
    <row r="17" customFormat="false" ht="15" hidden="false" customHeight="false" outlineLevel="0" collapsed="false">
      <c r="A17" s="76" t="s">
        <v>177</v>
      </c>
      <c r="B17" s="76" t="s">
        <v>245</v>
      </c>
      <c r="C17" s="77" t="n">
        <v>2022</v>
      </c>
      <c r="D17" s="77" t="n">
        <v>3</v>
      </c>
      <c r="E17" s="78" t="n">
        <v>44834</v>
      </c>
      <c r="F17" s="76" t="s">
        <v>213</v>
      </c>
      <c r="G17" s="76" t="s">
        <v>214</v>
      </c>
      <c r="H17" s="76" t="s">
        <v>215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246</v>
      </c>
    </row>
    <row r="18" customFormat="false" ht="15" hidden="false" customHeight="false" outlineLevel="0" collapsed="false">
      <c r="A18" s="76" t="s">
        <v>177</v>
      </c>
      <c r="B18" s="76" t="s">
        <v>247</v>
      </c>
      <c r="C18" s="77" t="n">
        <v>2022</v>
      </c>
      <c r="D18" s="77" t="n">
        <v>2</v>
      </c>
      <c r="E18" s="78" t="n">
        <v>44742</v>
      </c>
      <c r="F18" s="76" t="s">
        <v>213</v>
      </c>
      <c r="G18" s="76" t="s">
        <v>214</v>
      </c>
      <c r="H18" s="76" t="s">
        <v>215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248</v>
      </c>
    </row>
    <row r="19" customFormat="false" ht="15" hidden="false" customHeight="false" outlineLevel="0" collapsed="false">
      <c r="A19" s="76" t="s">
        <v>177</v>
      </c>
      <c r="B19" s="76" t="s">
        <v>249</v>
      </c>
      <c r="C19" s="77" t="n">
        <v>2022</v>
      </c>
      <c r="D19" s="77" t="n">
        <v>1</v>
      </c>
      <c r="E19" s="78" t="n">
        <v>44651</v>
      </c>
      <c r="F19" s="76" t="s">
        <v>213</v>
      </c>
      <c r="G19" s="76" t="s">
        <v>214</v>
      </c>
      <c r="H19" s="76" t="s">
        <v>215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250</v>
      </c>
    </row>
    <row r="20" customFormat="false" ht="15" hidden="false" customHeight="false" outlineLevel="0" collapsed="false">
      <c r="A20" s="76" t="s">
        <v>177</v>
      </c>
      <c r="B20" s="76" t="s">
        <v>251</v>
      </c>
      <c r="C20" s="77" t="n">
        <v>2021</v>
      </c>
      <c r="D20" s="77" t="n">
        <v>4</v>
      </c>
      <c r="E20" s="78" t="n">
        <v>44561</v>
      </c>
      <c r="F20" s="76" t="s">
        <v>213</v>
      </c>
      <c r="G20" s="76" t="s">
        <v>214</v>
      </c>
      <c r="H20" s="76" t="s">
        <v>215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252</v>
      </c>
    </row>
    <row r="21" customFormat="false" ht="15" hidden="false" customHeight="false" outlineLevel="0" collapsed="false">
      <c r="A21" s="76" t="s">
        <v>177</v>
      </c>
      <c r="B21" s="76" t="s">
        <v>253</v>
      </c>
      <c r="C21" s="77" t="n">
        <v>2021</v>
      </c>
      <c r="D21" s="77" t="n">
        <v>3</v>
      </c>
      <c r="E21" s="78" t="n">
        <v>44469</v>
      </c>
      <c r="F21" s="76" t="s">
        <v>213</v>
      </c>
      <c r="G21" s="76" t="s">
        <v>214</v>
      </c>
      <c r="H21" s="76" t="s">
        <v>215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254</v>
      </c>
    </row>
    <row r="22" customFormat="false" ht="15" hidden="false" customHeight="false" outlineLevel="0" collapsed="false">
      <c r="A22" s="76" t="s">
        <v>177</v>
      </c>
      <c r="B22" s="76" t="s">
        <v>255</v>
      </c>
      <c r="C22" s="77" t="n">
        <v>2021</v>
      </c>
      <c r="D22" s="77" t="n">
        <v>2</v>
      </c>
      <c r="E22" s="78" t="n">
        <v>44377</v>
      </c>
      <c r="F22" s="76" t="s">
        <v>213</v>
      </c>
      <c r="G22" s="76" t="s">
        <v>214</v>
      </c>
      <c r="H22" s="76" t="s">
        <v>215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256</v>
      </c>
    </row>
    <row r="23" customFormat="false" ht="15" hidden="false" customHeight="false" outlineLevel="0" collapsed="false">
      <c r="A23" s="76" t="s">
        <v>177</v>
      </c>
      <c r="B23" s="76" t="s">
        <v>257</v>
      </c>
      <c r="C23" s="77" t="n">
        <v>2021</v>
      </c>
      <c r="D23" s="77" t="n">
        <v>1</v>
      </c>
      <c r="E23" s="78" t="n">
        <v>44286</v>
      </c>
      <c r="F23" s="76" t="s">
        <v>213</v>
      </c>
      <c r="G23" s="76" t="s">
        <v>214</v>
      </c>
      <c r="H23" s="76" t="s">
        <v>215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258</v>
      </c>
    </row>
    <row r="24" customFormat="false" ht="15" hidden="false" customHeight="false" outlineLevel="0" collapsed="false">
      <c r="A24" s="76" t="s">
        <v>177</v>
      </c>
      <c r="B24" s="76" t="s">
        <v>259</v>
      </c>
      <c r="C24" s="77" t="n">
        <v>2020</v>
      </c>
      <c r="D24" s="77" t="n">
        <v>4</v>
      </c>
      <c r="E24" s="78" t="n">
        <v>44196</v>
      </c>
      <c r="F24" s="76" t="s">
        <v>213</v>
      </c>
      <c r="G24" s="76" t="s">
        <v>214</v>
      </c>
      <c r="H24" s="76" t="s">
        <v>215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260</v>
      </c>
    </row>
    <row r="25" customFormat="false" ht="15" hidden="false" customHeight="false" outlineLevel="0" collapsed="false">
      <c r="A25" s="76" t="s">
        <v>177</v>
      </c>
      <c r="B25" s="76" t="s">
        <v>261</v>
      </c>
      <c r="C25" s="77" t="n">
        <v>2020</v>
      </c>
      <c r="D25" s="77" t="n">
        <v>3</v>
      </c>
      <c r="E25" s="78" t="n">
        <v>44104</v>
      </c>
      <c r="F25" s="76" t="s">
        <v>213</v>
      </c>
      <c r="G25" s="76" t="s">
        <v>214</v>
      </c>
      <c r="H25" s="76" t="s">
        <v>215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262</v>
      </c>
    </row>
    <row r="26" customFormat="false" ht="15" hidden="false" customHeight="false" outlineLevel="0" collapsed="false">
      <c r="A26" s="76" t="s">
        <v>84</v>
      </c>
      <c r="B26" s="76" t="s">
        <v>263</v>
      </c>
      <c r="C26" s="77" t="n">
        <v>2026</v>
      </c>
      <c r="D26" s="77" t="n">
        <v>3</v>
      </c>
      <c r="E26" s="78" t="n">
        <v>46203</v>
      </c>
      <c r="F26" s="76" t="s">
        <v>213</v>
      </c>
      <c r="G26" s="76" t="s">
        <v>214</v>
      </c>
      <c r="H26" s="76" t="s">
        <v>215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264</v>
      </c>
    </row>
    <row r="27" customFormat="false" ht="15" hidden="false" customHeight="false" outlineLevel="0" collapsed="false">
      <c r="A27" s="76" t="s">
        <v>84</v>
      </c>
      <c r="B27" s="76" t="s">
        <v>212</v>
      </c>
      <c r="C27" s="77" t="n">
        <v>2026</v>
      </c>
      <c r="D27" s="77" t="n">
        <v>2</v>
      </c>
      <c r="E27" s="78" t="n">
        <v>46112</v>
      </c>
      <c r="F27" s="76" t="s">
        <v>213</v>
      </c>
      <c r="G27" s="76" t="s">
        <v>214</v>
      </c>
      <c r="H27" s="76" t="s">
        <v>215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265</v>
      </c>
    </row>
    <row r="28" customFormat="false" ht="15" hidden="false" customHeight="false" outlineLevel="0" collapsed="false">
      <c r="A28" s="76" t="s">
        <v>84</v>
      </c>
      <c r="B28" s="76" t="s">
        <v>217</v>
      </c>
      <c r="C28" s="77" t="n">
        <v>2026</v>
      </c>
      <c r="D28" s="77" t="n">
        <v>1</v>
      </c>
      <c r="E28" s="78" t="n">
        <v>46022</v>
      </c>
      <c r="F28" s="76" t="s">
        <v>213</v>
      </c>
      <c r="G28" s="76" t="s">
        <v>214</v>
      </c>
      <c r="H28" s="76" t="s">
        <v>215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266</v>
      </c>
    </row>
    <row r="29" customFormat="false" ht="15" hidden="false" customHeight="false" outlineLevel="0" collapsed="false">
      <c r="A29" s="76" t="s">
        <v>84</v>
      </c>
      <c r="B29" s="76" t="s">
        <v>219</v>
      </c>
      <c r="C29" s="77" t="n">
        <v>2025</v>
      </c>
      <c r="D29" s="77" t="n">
        <v>4</v>
      </c>
      <c r="E29" s="78" t="n">
        <v>45930</v>
      </c>
      <c r="F29" s="76" t="s">
        <v>213</v>
      </c>
      <c r="G29" s="76" t="s">
        <v>214</v>
      </c>
      <c r="H29" s="76" t="s">
        <v>215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267</v>
      </c>
    </row>
    <row r="30" customFormat="false" ht="15" hidden="false" customHeight="false" outlineLevel="0" collapsed="false">
      <c r="A30" s="76" t="s">
        <v>84</v>
      </c>
      <c r="B30" s="76" t="s">
        <v>221</v>
      </c>
      <c r="C30" s="77" t="n">
        <v>2025</v>
      </c>
      <c r="D30" s="77" t="n">
        <v>3</v>
      </c>
      <c r="E30" s="78" t="n">
        <v>45838</v>
      </c>
      <c r="F30" s="76" t="s">
        <v>213</v>
      </c>
      <c r="G30" s="76" t="s">
        <v>214</v>
      </c>
      <c r="H30" s="76" t="s">
        <v>215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268</v>
      </c>
    </row>
    <row r="31" customFormat="false" ht="15" hidden="false" customHeight="false" outlineLevel="0" collapsed="false">
      <c r="A31" s="76" t="s">
        <v>84</v>
      </c>
      <c r="B31" s="76" t="s">
        <v>223</v>
      </c>
      <c r="C31" s="77" t="n">
        <v>2025</v>
      </c>
      <c r="D31" s="77" t="n">
        <v>2</v>
      </c>
      <c r="E31" s="78" t="n">
        <v>45747</v>
      </c>
      <c r="F31" s="76" t="s">
        <v>213</v>
      </c>
      <c r="G31" s="76" t="s">
        <v>214</v>
      </c>
      <c r="H31" s="76" t="s">
        <v>215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269</v>
      </c>
    </row>
    <row r="32" customFormat="false" ht="15" hidden="false" customHeight="false" outlineLevel="0" collapsed="false">
      <c r="A32" s="76" t="s">
        <v>84</v>
      </c>
      <c r="B32" s="76" t="s">
        <v>225</v>
      </c>
      <c r="C32" s="77" t="n">
        <v>2025</v>
      </c>
      <c r="D32" s="77" t="n">
        <v>1</v>
      </c>
      <c r="E32" s="78" t="n">
        <v>45657</v>
      </c>
      <c r="F32" s="76" t="s">
        <v>213</v>
      </c>
      <c r="G32" s="76" t="s">
        <v>214</v>
      </c>
      <c r="H32" s="76" t="s">
        <v>215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270</v>
      </c>
    </row>
    <row r="33" customFormat="false" ht="15" hidden="false" customHeight="false" outlineLevel="0" collapsed="false">
      <c r="A33" s="76" t="s">
        <v>84</v>
      </c>
      <c r="B33" s="76" t="s">
        <v>227</v>
      </c>
      <c r="C33" s="77" t="n">
        <v>2024</v>
      </c>
      <c r="D33" s="77" t="n">
        <v>4</v>
      </c>
      <c r="E33" s="78" t="n">
        <v>45565</v>
      </c>
      <c r="F33" s="76" t="s">
        <v>213</v>
      </c>
      <c r="G33" s="76" t="s">
        <v>214</v>
      </c>
      <c r="H33" s="76" t="s">
        <v>215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271</v>
      </c>
    </row>
    <row r="34" customFormat="false" ht="15" hidden="false" customHeight="false" outlineLevel="0" collapsed="false">
      <c r="A34" s="76" t="s">
        <v>84</v>
      </c>
      <c r="B34" s="76" t="s">
        <v>229</v>
      </c>
      <c r="C34" s="77" t="n">
        <v>2024</v>
      </c>
      <c r="D34" s="77" t="n">
        <v>3</v>
      </c>
      <c r="E34" s="78" t="n">
        <v>45473</v>
      </c>
      <c r="F34" s="76" t="s">
        <v>213</v>
      </c>
      <c r="G34" s="76" t="s">
        <v>214</v>
      </c>
      <c r="H34" s="76" t="s">
        <v>215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272</v>
      </c>
    </row>
    <row r="35" customFormat="false" ht="15" hidden="false" customHeight="false" outlineLevel="0" collapsed="false">
      <c r="A35" s="76" t="s">
        <v>84</v>
      </c>
      <c r="B35" s="76" t="s">
        <v>231</v>
      </c>
      <c r="C35" s="77" t="n">
        <v>2024</v>
      </c>
      <c r="D35" s="77" t="n">
        <v>2</v>
      </c>
      <c r="E35" s="78" t="n">
        <v>45382</v>
      </c>
      <c r="F35" s="76" t="s">
        <v>213</v>
      </c>
      <c r="G35" s="76" t="s">
        <v>214</v>
      </c>
      <c r="H35" s="76" t="s">
        <v>215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273</v>
      </c>
    </row>
    <row r="36" customFormat="false" ht="15" hidden="false" customHeight="false" outlineLevel="0" collapsed="false">
      <c r="A36" s="76" t="s">
        <v>84</v>
      </c>
      <c r="B36" s="76" t="s">
        <v>233</v>
      </c>
      <c r="C36" s="77" t="n">
        <v>2024</v>
      </c>
      <c r="D36" s="77" t="n">
        <v>1</v>
      </c>
      <c r="E36" s="78" t="n">
        <v>45291</v>
      </c>
      <c r="F36" s="76" t="s">
        <v>213</v>
      </c>
      <c r="G36" s="76" t="s">
        <v>214</v>
      </c>
      <c r="H36" s="76" t="s">
        <v>215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274</v>
      </c>
    </row>
    <row r="37" customFormat="false" ht="15" hidden="false" customHeight="false" outlineLevel="0" collapsed="false">
      <c r="A37" s="76" t="s">
        <v>84</v>
      </c>
      <c r="B37" s="76" t="s">
        <v>235</v>
      </c>
      <c r="C37" s="77" t="n">
        <v>2023</v>
      </c>
      <c r="D37" s="77" t="n">
        <v>4</v>
      </c>
      <c r="E37" s="78" t="n">
        <v>45199</v>
      </c>
      <c r="F37" s="76" t="s">
        <v>213</v>
      </c>
      <c r="G37" s="76" t="s">
        <v>214</v>
      </c>
      <c r="H37" s="76" t="s">
        <v>215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275</v>
      </c>
    </row>
    <row r="38" customFormat="false" ht="15" hidden="false" customHeight="false" outlineLevel="0" collapsed="false">
      <c r="A38" s="76" t="s">
        <v>84</v>
      </c>
      <c r="B38" s="76" t="s">
        <v>237</v>
      </c>
      <c r="C38" s="77" t="n">
        <v>2023</v>
      </c>
      <c r="D38" s="77" t="n">
        <v>3</v>
      </c>
      <c r="E38" s="78" t="n">
        <v>45107</v>
      </c>
      <c r="F38" s="76" t="s">
        <v>213</v>
      </c>
      <c r="G38" s="76" t="s">
        <v>214</v>
      </c>
      <c r="H38" s="76" t="s">
        <v>215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276</v>
      </c>
    </row>
    <row r="39" customFormat="false" ht="15" hidden="false" customHeight="false" outlineLevel="0" collapsed="false">
      <c r="A39" s="76" t="s">
        <v>84</v>
      </c>
      <c r="B39" s="76" t="s">
        <v>239</v>
      </c>
      <c r="C39" s="77" t="n">
        <v>2023</v>
      </c>
      <c r="D39" s="77" t="n">
        <v>2</v>
      </c>
      <c r="E39" s="78" t="n">
        <v>45016</v>
      </c>
      <c r="F39" s="76" t="s">
        <v>213</v>
      </c>
      <c r="G39" s="76" t="s">
        <v>214</v>
      </c>
      <c r="H39" s="76" t="s">
        <v>215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277</v>
      </c>
    </row>
    <row r="40" customFormat="false" ht="15" hidden="false" customHeight="false" outlineLevel="0" collapsed="false">
      <c r="A40" s="76" t="s">
        <v>84</v>
      </c>
      <c r="B40" s="76" t="s">
        <v>241</v>
      </c>
      <c r="C40" s="77" t="n">
        <v>2023</v>
      </c>
      <c r="D40" s="77" t="n">
        <v>1</v>
      </c>
      <c r="E40" s="78" t="n">
        <v>44926</v>
      </c>
      <c r="F40" s="76" t="s">
        <v>213</v>
      </c>
      <c r="G40" s="76" t="s">
        <v>214</v>
      </c>
      <c r="H40" s="76" t="s">
        <v>215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278</v>
      </c>
    </row>
    <row r="41" customFormat="false" ht="15" hidden="false" customHeight="false" outlineLevel="0" collapsed="false">
      <c r="A41" s="76" t="s">
        <v>84</v>
      </c>
      <c r="B41" s="76" t="s">
        <v>243</v>
      </c>
      <c r="C41" s="77" t="n">
        <v>2022</v>
      </c>
      <c r="D41" s="77" t="n">
        <v>4</v>
      </c>
      <c r="E41" s="78" t="n">
        <v>44834</v>
      </c>
      <c r="F41" s="76" t="s">
        <v>213</v>
      </c>
      <c r="G41" s="76" t="s">
        <v>214</v>
      </c>
      <c r="H41" s="76" t="s">
        <v>215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279</v>
      </c>
    </row>
    <row r="42" customFormat="false" ht="15" hidden="false" customHeight="false" outlineLevel="0" collapsed="false">
      <c r="A42" s="76" t="s">
        <v>84</v>
      </c>
      <c r="B42" s="76" t="s">
        <v>245</v>
      </c>
      <c r="C42" s="77" t="n">
        <v>2022</v>
      </c>
      <c r="D42" s="77" t="n">
        <v>3</v>
      </c>
      <c r="E42" s="78" t="n">
        <v>44742</v>
      </c>
      <c r="F42" s="76" t="s">
        <v>213</v>
      </c>
      <c r="G42" s="76" t="s">
        <v>214</v>
      </c>
      <c r="H42" s="76" t="s">
        <v>215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280</v>
      </c>
    </row>
    <row r="43" customFormat="false" ht="15" hidden="false" customHeight="false" outlineLevel="0" collapsed="false">
      <c r="A43" s="76" t="s">
        <v>84</v>
      </c>
      <c r="B43" s="76" t="s">
        <v>247</v>
      </c>
      <c r="C43" s="77" t="n">
        <v>2022</v>
      </c>
      <c r="D43" s="77" t="n">
        <v>2</v>
      </c>
      <c r="E43" s="78" t="n">
        <v>44651</v>
      </c>
      <c r="F43" s="76" t="s">
        <v>213</v>
      </c>
      <c r="G43" s="76" t="s">
        <v>214</v>
      </c>
      <c r="H43" s="76" t="s">
        <v>215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281</v>
      </c>
    </row>
    <row r="44" customFormat="false" ht="15" hidden="false" customHeight="false" outlineLevel="0" collapsed="false">
      <c r="A44" s="76" t="s">
        <v>84</v>
      </c>
      <c r="B44" s="76" t="s">
        <v>249</v>
      </c>
      <c r="C44" s="77" t="n">
        <v>2022</v>
      </c>
      <c r="D44" s="77" t="n">
        <v>1</v>
      </c>
      <c r="E44" s="78" t="n">
        <v>44561</v>
      </c>
      <c r="F44" s="76" t="s">
        <v>213</v>
      </c>
      <c r="G44" s="76" t="s">
        <v>214</v>
      </c>
      <c r="H44" s="76" t="s">
        <v>215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282</v>
      </c>
    </row>
    <row r="45" customFormat="false" ht="15" hidden="false" customHeight="false" outlineLevel="0" collapsed="false">
      <c r="A45" s="76" t="s">
        <v>84</v>
      </c>
      <c r="B45" s="76" t="s">
        <v>251</v>
      </c>
      <c r="C45" s="77" t="n">
        <v>2021</v>
      </c>
      <c r="D45" s="77" t="n">
        <v>4</v>
      </c>
      <c r="E45" s="78" t="n">
        <v>44469</v>
      </c>
      <c r="F45" s="76" t="s">
        <v>213</v>
      </c>
      <c r="G45" s="76" t="s">
        <v>214</v>
      </c>
      <c r="H45" s="76" t="s">
        <v>215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283</v>
      </c>
    </row>
    <row r="46" customFormat="false" ht="15" hidden="false" customHeight="false" outlineLevel="0" collapsed="false">
      <c r="A46" s="76" t="s">
        <v>84</v>
      </c>
      <c r="B46" s="76" t="s">
        <v>253</v>
      </c>
      <c r="C46" s="77" t="n">
        <v>2021</v>
      </c>
      <c r="D46" s="77" t="n">
        <v>3</v>
      </c>
      <c r="E46" s="78" t="n">
        <v>44377</v>
      </c>
      <c r="F46" s="76" t="s">
        <v>213</v>
      </c>
      <c r="G46" s="76" t="s">
        <v>214</v>
      </c>
      <c r="H46" s="76" t="s">
        <v>215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284</v>
      </c>
    </row>
    <row r="47" customFormat="false" ht="15" hidden="false" customHeight="false" outlineLevel="0" collapsed="false">
      <c r="A47" s="76" t="s">
        <v>84</v>
      </c>
      <c r="B47" s="76" t="s">
        <v>255</v>
      </c>
      <c r="C47" s="77" t="n">
        <v>2021</v>
      </c>
      <c r="D47" s="77" t="n">
        <v>2</v>
      </c>
      <c r="E47" s="78" t="n">
        <v>44286</v>
      </c>
      <c r="F47" s="76" t="s">
        <v>213</v>
      </c>
      <c r="G47" s="76" t="s">
        <v>214</v>
      </c>
      <c r="H47" s="76" t="s">
        <v>215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285</v>
      </c>
    </row>
    <row r="48" customFormat="false" ht="15" hidden="false" customHeight="false" outlineLevel="0" collapsed="false">
      <c r="A48" s="76" t="s">
        <v>84</v>
      </c>
      <c r="B48" s="76" t="s">
        <v>257</v>
      </c>
      <c r="C48" s="77" t="n">
        <v>2021</v>
      </c>
      <c r="D48" s="77" t="n">
        <v>1</v>
      </c>
      <c r="E48" s="78" t="n">
        <v>44196</v>
      </c>
      <c r="F48" s="76" t="s">
        <v>213</v>
      </c>
      <c r="G48" s="76" t="s">
        <v>214</v>
      </c>
      <c r="H48" s="76" t="s">
        <v>215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286</v>
      </c>
    </row>
    <row r="49" customFormat="false" ht="15" hidden="false" customHeight="false" outlineLevel="0" collapsed="false">
      <c r="A49" s="76" t="s">
        <v>84</v>
      </c>
      <c r="B49" s="76" t="s">
        <v>259</v>
      </c>
      <c r="C49" s="77" t="n">
        <v>2020</v>
      </c>
      <c r="D49" s="77" t="n">
        <v>4</v>
      </c>
      <c r="E49" s="78" t="n">
        <v>44104</v>
      </c>
      <c r="F49" s="76" t="s">
        <v>213</v>
      </c>
      <c r="G49" s="76" t="s">
        <v>214</v>
      </c>
      <c r="H49" s="76" t="s">
        <v>215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287</v>
      </c>
    </row>
    <row r="50" customFormat="false" ht="15" hidden="false" customHeight="false" outlineLevel="0" collapsed="false">
      <c r="A50" s="76" t="s">
        <v>175</v>
      </c>
      <c r="B50" s="76" t="s">
        <v>212</v>
      </c>
      <c r="C50" s="77" t="n">
        <v>2026</v>
      </c>
      <c r="D50" s="77" t="n">
        <v>2</v>
      </c>
      <c r="E50" s="78" t="n">
        <v>46173</v>
      </c>
      <c r="F50" s="76" t="s">
        <v>213</v>
      </c>
      <c r="G50" s="76" t="s">
        <v>214</v>
      </c>
      <c r="H50" s="76" t="s">
        <v>215</v>
      </c>
      <c r="I50" s="79" t="n">
        <v>6618</v>
      </c>
      <c r="J50" s="79" t="n">
        <v>5903</v>
      </c>
      <c r="K50" s="80" t="n">
        <v>5.96</v>
      </c>
      <c r="L50" s="79" t="n">
        <v>402</v>
      </c>
      <c r="M50" s="79" t="n">
        <v>11518</v>
      </c>
      <c r="N50" s="80" t="n">
        <v>0</v>
      </c>
      <c r="O50" s="80" t="n">
        <v>259.209991455078</v>
      </c>
      <c r="P50" s="47" t="n">
        <v>1</v>
      </c>
      <c r="Q50" s="66" t="s">
        <v>288</v>
      </c>
    </row>
    <row r="51" customFormat="false" ht="15" hidden="false" customHeight="false" outlineLevel="0" collapsed="false">
      <c r="A51" s="76" t="s">
        <v>175</v>
      </c>
      <c r="B51" s="76" t="s">
        <v>217</v>
      </c>
      <c r="C51" s="77" t="n">
        <v>2026</v>
      </c>
      <c r="D51" s="77" t="n">
        <v>1</v>
      </c>
      <c r="E51" s="78" t="n">
        <v>46081</v>
      </c>
      <c r="F51" s="76" t="s">
        <v>213</v>
      </c>
      <c r="G51" s="76" t="s">
        <v>214</v>
      </c>
      <c r="H51" s="76" t="s">
        <v>215</v>
      </c>
      <c r="I51" s="79" t="n">
        <v>6398</v>
      </c>
      <c r="J51" s="79" t="n">
        <v>5734</v>
      </c>
      <c r="K51" s="80" t="n">
        <v>6.06</v>
      </c>
      <c r="L51" s="79" t="n">
        <v>411</v>
      </c>
      <c r="M51" s="79" t="n">
        <v>11433</v>
      </c>
      <c r="N51" s="80" t="n">
        <v>0</v>
      </c>
      <c r="O51" s="80" t="n">
        <v>262.410003662109</v>
      </c>
      <c r="P51" s="47" t="n">
        <v>2</v>
      </c>
      <c r="Q51" s="66" t="s">
        <v>289</v>
      </c>
    </row>
    <row r="52" customFormat="false" ht="15" hidden="false" customHeight="false" outlineLevel="0" collapsed="false">
      <c r="A52" s="76" t="s">
        <v>175</v>
      </c>
      <c r="B52" s="76" t="s">
        <v>219</v>
      </c>
      <c r="C52" s="77" t="n">
        <v>2025</v>
      </c>
      <c r="D52" s="77" t="n">
        <v>4</v>
      </c>
      <c r="E52" s="78" t="n">
        <v>45991</v>
      </c>
      <c r="F52" s="76" t="s">
        <v>213</v>
      </c>
      <c r="G52" s="76" t="s">
        <v>214</v>
      </c>
      <c r="H52" s="76" t="s">
        <v>215</v>
      </c>
      <c r="I52" s="79" t="n">
        <v>6194</v>
      </c>
      <c r="J52" s="79" t="n">
        <v>5545</v>
      </c>
      <c r="K52" s="80" t="n">
        <v>5.5</v>
      </c>
      <c r="L52" s="79" t="n">
        <v>417</v>
      </c>
      <c r="M52" s="79" t="n">
        <v>11623</v>
      </c>
      <c r="N52" s="80" t="n">
        <v>0</v>
      </c>
      <c r="O52" s="80" t="n">
        <v>320.130004882813</v>
      </c>
      <c r="P52" s="47" t="n">
        <v>3</v>
      </c>
      <c r="Q52" s="66" t="s">
        <v>290</v>
      </c>
    </row>
    <row r="53" customFormat="false" ht="15" hidden="false" customHeight="false" outlineLevel="0" collapsed="false">
      <c r="A53" s="76" t="s">
        <v>175</v>
      </c>
      <c r="B53" s="76" t="s">
        <v>221</v>
      </c>
      <c r="C53" s="77" t="n">
        <v>2025</v>
      </c>
      <c r="D53" s="77" t="n">
        <v>3</v>
      </c>
      <c r="E53" s="78" t="n">
        <v>45900</v>
      </c>
      <c r="F53" s="76" t="s">
        <v>213</v>
      </c>
      <c r="G53" s="76" t="s">
        <v>214</v>
      </c>
      <c r="H53" s="76" t="s">
        <v>215</v>
      </c>
      <c r="I53" s="79" t="n">
        <v>5988</v>
      </c>
      <c r="J53" s="79" t="n">
        <v>5346</v>
      </c>
      <c r="K53" s="80" t="n">
        <v>5.31</v>
      </c>
      <c r="L53" s="79" t="n">
        <v>424</v>
      </c>
      <c r="M53" s="79" t="n">
        <v>11770</v>
      </c>
      <c r="N53" s="80" t="n">
        <v>0</v>
      </c>
      <c r="O53" s="80" t="n">
        <v>356.700012207031</v>
      </c>
      <c r="P53" s="47" t="n">
        <v>4</v>
      </c>
      <c r="Q53" s="66" t="s">
        <v>291</v>
      </c>
    </row>
    <row r="54" customFormat="false" ht="15" hidden="false" customHeight="false" outlineLevel="0" collapsed="false">
      <c r="A54" s="76" t="s">
        <v>175</v>
      </c>
      <c r="B54" s="76" t="s">
        <v>223</v>
      </c>
      <c r="C54" s="77" t="n">
        <v>2025</v>
      </c>
      <c r="D54" s="77" t="n">
        <v>2</v>
      </c>
      <c r="E54" s="78" t="n">
        <v>45808</v>
      </c>
      <c r="F54" s="76" t="s">
        <v>213</v>
      </c>
      <c r="G54" s="76" t="s">
        <v>214</v>
      </c>
      <c r="H54" s="76" t="s">
        <v>215</v>
      </c>
      <c r="I54" s="79" t="n">
        <v>5873</v>
      </c>
      <c r="J54" s="79" t="n">
        <v>5235</v>
      </c>
      <c r="K54" s="80" t="n">
        <v>5.06</v>
      </c>
      <c r="L54" s="79" t="n">
        <v>429</v>
      </c>
      <c r="M54" s="79" t="n">
        <v>11448</v>
      </c>
      <c r="N54" s="80" t="n">
        <v>0</v>
      </c>
      <c r="O54" s="80" t="n">
        <v>415.089996337891</v>
      </c>
      <c r="P54" s="47" t="n">
        <v>5</v>
      </c>
      <c r="Q54" s="66" t="s">
        <v>292</v>
      </c>
    </row>
    <row r="55" customFormat="false" ht="15" hidden="false" customHeight="false" outlineLevel="0" collapsed="false">
      <c r="A55" s="76" t="s">
        <v>175</v>
      </c>
      <c r="B55" s="76" t="s">
        <v>225</v>
      </c>
      <c r="C55" s="77" t="n">
        <v>2025</v>
      </c>
      <c r="D55" s="77" t="n">
        <v>1</v>
      </c>
      <c r="E55" s="78" t="n">
        <v>45716</v>
      </c>
      <c r="F55" s="76" t="s">
        <v>213</v>
      </c>
      <c r="G55" s="76" t="s">
        <v>214</v>
      </c>
      <c r="H55" s="76" t="s">
        <v>215</v>
      </c>
      <c r="I55" s="79" t="n">
        <v>5714</v>
      </c>
      <c r="J55" s="79" t="n">
        <v>5092</v>
      </c>
      <c r="K55" s="80" t="n">
        <v>5.08</v>
      </c>
      <c r="L55" s="79" t="n">
        <v>445.2</v>
      </c>
      <c r="M55" s="79" t="n">
        <v>13095</v>
      </c>
      <c r="N55" s="80" t="n">
        <v>0</v>
      </c>
      <c r="O55" s="80" t="n">
        <v>438.559997558594</v>
      </c>
      <c r="P55" s="47" t="n">
        <v>6</v>
      </c>
      <c r="Q55" s="66" t="s">
        <v>293</v>
      </c>
    </row>
    <row r="56" customFormat="false" ht="15" hidden="false" customHeight="false" outlineLevel="0" collapsed="false">
      <c r="A56" s="76" t="s">
        <v>175</v>
      </c>
      <c r="B56" s="76" t="s">
        <v>227</v>
      </c>
      <c r="C56" s="77" t="n">
        <v>2024</v>
      </c>
      <c r="D56" s="77" t="n">
        <v>4</v>
      </c>
      <c r="E56" s="78" t="n">
        <v>45626</v>
      </c>
      <c r="F56" s="76" t="s">
        <v>213</v>
      </c>
      <c r="G56" s="76" t="s">
        <v>214</v>
      </c>
      <c r="H56" s="76" t="s">
        <v>215</v>
      </c>
      <c r="I56" s="79" t="n">
        <v>5606</v>
      </c>
      <c r="J56" s="79" t="n">
        <v>4990</v>
      </c>
      <c r="K56" s="80" t="n">
        <v>4.81</v>
      </c>
      <c r="L56" s="79" t="n">
        <v>449.7</v>
      </c>
      <c r="M56" s="79" t="n">
        <v>14105</v>
      </c>
      <c r="N56" s="80" t="n">
        <v>0</v>
      </c>
      <c r="O56" s="80" t="n">
        <v>515.929992675781</v>
      </c>
      <c r="P56" s="47" t="n">
        <v>7</v>
      </c>
      <c r="Q56" s="66" t="s">
        <v>294</v>
      </c>
    </row>
    <row r="57" customFormat="false" ht="15" hidden="false" customHeight="false" outlineLevel="0" collapsed="false">
      <c r="A57" s="76" t="s">
        <v>175</v>
      </c>
      <c r="B57" s="76" t="s">
        <v>229</v>
      </c>
      <c r="C57" s="77" t="n">
        <v>2024</v>
      </c>
      <c r="D57" s="77" t="n">
        <v>3</v>
      </c>
      <c r="E57" s="78" t="n">
        <v>45535</v>
      </c>
      <c r="F57" s="76" t="s">
        <v>213</v>
      </c>
      <c r="G57" s="76" t="s">
        <v>214</v>
      </c>
      <c r="H57" s="76" t="s">
        <v>215</v>
      </c>
      <c r="I57" s="79" t="n">
        <v>5408</v>
      </c>
      <c r="J57" s="79" t="n">
        <v>4854</v>
      </c>
      <c r="K57" s="80" t="n">
        <v>4.65</v>
      </c>
      <c r="L57" s="79" t="n">
        <v>453.75</v>
      </c>
      <c r="M57" s="79" t="n">
        <v>14545</v>
      </c>
      <c r="N57" s="80" t="n">
        <v>0</v>
      </c>
      <c r="O57" s="80" t="n">
        <v>574.409973144531</v>
      </c>
      <c r="P57" s="47" t="n">
        <v>8</v>
      </c>
      <c r="Q57" s="66" t="s">
        <v>295</v>
      </c>
    </row>
    <row r="58" customFormat="false" ht="15" hidden="false" customHeight="false" outlineLevel="0" collapsed="false">
      <c r="A58" s="76" t="s">
        <v>175</v>
      </c>
      <c r="B58" s="76" t="s">
        <v>231</v>
      </c>
      <c r="C58" s="77" t="n">
        <v>2024</v>
      </c>
      <c r="D58" s="77" t="n">
        <v>2</v>
      </c>
      <c r="E58" s="78" t="n">
        <v>45443</v>
      </c>
      <c r="F58" s="76" t="s">
        <v>213</v>
      </c>
      <c r="G58" s="76" t="s">
        <v>214</v>
      </c>
      <c r="H58" s="76" t="s">
        <v>215</v>
      </c>
      <c r="I58" s="79" t="n">
        <v>5309</v>
      </c>
      <c r="J58" s="79" t="n">
        <v>4711</v>
      </c>
      <c r="K58" s="80" t="n">
        <v>4.48</v>
      </c>
      <c r="L58" s="79" t="n">
        <v>456.5</v>
      </c>
      <c r="M58" s="79" t="n">
        <v>14843</v>
      </c>
      <c r="N58" s="80" t="n">
        <v>0</v>
      </c>
      <c r="O58" s="80" t="n">
        <v>444.760009765625</v>
      </c>
      <c r="P58" s="47" t="n">
        <v>9</v>
      </c>
      <c r="Q58" s="66" t="s">
        <v>296</v>
      </c>
    </row>
    <row r="59" customFormat="false" ht="15" hidden="false" customHeight="false" outlineLevel="0" collapsed="false">
      <c r="A59" s="76" t="s">
        <v>175</v>
      </c>
      <c r="B59" s="76" t="s">
        <v>233</v>
      </c>
      <c r="C59" s="77" t="n">
        <v>2024</v>
      </c>
      <c r="D59" s="77" t="n">
        <v>1</v>
      </c>
      <c r="E59" s="78" t="n">
        <v>45351</v>
      </c>
      <c r="F59" s="76" t="s">
        <v>213</v>
      </c>
      <c r="G59" s="76" t="s">
        <v>214</v>
      </c>
      <c r="H59" s="76" t="s">
        <v>215</v>
      </c>
      <c r="I59" s="79" t="n">
        <v>5182</v>
      </c>
      <c r="J59" s="79" t="n">
        <v>4592</v>
      </c>
      <c r="K59" s="80" t="n">
        <v>4.48</v>
      </c>
      <c r="L59" s="79" t="n">
        <v>458</v>
      </c>
      <c r="M59" s="79" t="n">
        <v>15460</v>
      </c>
      <c r="N59" s="80" t="n">
        <v>0</v>
      </c>
      <c r="O59" s="80" t="n">
        <v>560.280029296875</v>
      </c>
      <c r="P59" s="47" t="n">
        <v>10</v>
      </c>
      <c r="Q59" s="66" t="s">
        <v>297</v>
      </c>
    </row>
    <row r="60" customFormat="false" ht="15" hidden="false" customHeight="false" outlineLevel="0" collapsed="false">
      <c r="A60" s="76" t="s">
        <v>175</v>
      </c>
      <c r="B60" s="76" t="s">
        <v>235</v>
      </c>
      <c r="C60" s="77" t="n">
        <v>2023</v>
      </c>
      <c r="D60" s="77" t="n">
        <v>4</v>
      </c>
      <c r="E60" s="78" t="n">
        <v>45260</v>
      </c>
      <c r="F60" s="76" t="s">
        <v>213</v>
      </c>
      <c r="G60" s="76" t="s">
        <v>214</v>
      </c>
      <c r="H60" s="76" t="s">
        <v>215</v>
      </c>
      <c r="I60" s="79" t="n">
        <v>5048</v>
      </c>
      <c r="J60" s="79" t="n">
        <v>4414</v>
      </c>
      <c r="K60" s="80" t="n">
        <v>4.27</v>
      </c>
      <c r="L60" s="79" t="n">
        <v>459</v>
      </c>
      <c r="M60" s="79" t="n">
        <v>16518</v>
      </c>
      <c r="N60" s="80" t="n">
        <v>0</v>
      </c>
      <c r="O60" s="80" t="n">
        <v>611.010009765625</v>
      </c>
      <c r="P60" s="47" t="n">
        <v>11</v>
      </c>
      <c r="Q60" s="66" t="s">
        <v>298</v>
      </c>
    </row>
    <row r="61" customFormat="false" ht="15" hidden="false" customHeight="false" outlineLevel="0" collapsed="false">
      <c r="A61" s="76" t="s">
        <v>175</v>
      </c>
      <c r="B61" s="76" t="s">
        <v>237</v>
      </c>
      <c r="C61" s="77" t="n">
        <v>2023</v>
      </c>
      <c r="D61" s="77" t="n">
        <v>3</v>
      </c>
      <c r="E61" s="78" t="n">
        <v>45169</v>
      </c>
      <c r="F61" s="76" t="s">
        <v>213</v>
      </c>
      <c r="G61" s="76" t="s">
        <v>214</v>
      </c>
      <c r="H61" s="76" t="s">
        <v>215</v>
      </c>
      <c r="I61" s="79" t="n">
        <v>4890</v>
      </c>
      <c r="J61" s="79" t="n">
        <v>4310</v>
      </c>
      <c r="K61" s="80" t="n">
        <v>4.1</v>
      </c>
      <c r="L61" s="79" t="n">
        <v>459.5</v>
      </c>
      <c r="M61" s="79" t="n">
        <v>15776</v>
      </c>
      <c r="N61" s="80" t="n">
        <v>0</v>
      </c>
      <c r="O61" s="80" t="n">
        <v>559.340026855469</v>
      </c>
      <c r="P61" s="47" t="n">
        <v>12</v>
      </c>
      <c r="Q61" s="66" t="s">
        <v>299</v>
      </c>
    </row>
    <row r="62" customFormat="false" ht="15" hidden="false" customHeight="false" outlineLevel="0" collapsed="false">
      <c r="A62" s="76" t="s">
        <v>175</v>
      </c>
      <c r="B62" s="76" t="s">
        <v>239</v>
      </c>
      <c r="C62" s="77" t="n">
        <v>2023</v>
      </c>
      <c r="D62" s="77" t="n">
        <v>2</v>
      </c>
      <c r="E62" s="78" t="n">
        <v>45077</v>
      </c>
      <c r="F62" s="76" t="s">
        <v>213</v>
      </c>
      <c r="G62" s="76" t="s">
        <v>214</v>
      </c>
      <c r="H62" s="76" t="s">
        <v>215</v>
      </c>
      <c r="I62" s="79" t="n">
        <v>4816</v>
      </c>
      <c r="J62" s="79" t="n">
        <v>4244</v>
      </c>
      <c r="K62" s="80" t="n">
        <v>3.91</v>
      </c>
      <c r="L62" s="79" t="n">
        <v>458.7</v>
      </c>
      <c r="M62" s="79" t="n">
        <v>14838</v>
      </c>
      <c r="N62" s="80" t="n">
        <v>0</v>
      </c>
      <c r="O62" s="80" t="n">
        <v>417.790008544922</v>
      </c>
      <c r="P62" s="47" t="n">
        <v>13</v>
      </c>
      <c r="Q62" s="66" t="s">
        <v>300</v>
      </c>
    </row>
    <row r="63" customFormat="false" ht="15" hidden="false" customHeight="false" outlineLevel="0" collapsed="false">
      <c r="A63" s="76" t="s">
        <v>175</v>
      </c>
      <c r="B63" s="76" t="s">
        <v>241</v>
      </c>
      <c r="C63" s="77" t="n">
        <v>2023</v>
      </c>
      <c r="D63" s="77" t="n">
        <v>1</v>
      </c>
      <c r="E63" s="78" t="n">
        <v>44985</v>
      </c>
      <c r="F63" s="76" t="s">
        <v>213</v>
      </c>
      <c r="G63" s="76" t="s">
        <v>214</v>
      </c>
      <c r="H63" s="76" t="s">
        <v>215</v>
      </c>
      <c r="I63" s="79" t="n">
        <v>4655</v>
      </c>
      <c r="J63" s="79" t="n">
        <v>4087</v>
      </c>
      <c r="K63" s="80" t="n">
        <v>3.8</v>
      </c>
      <c r="L63" s="79" t="n">
        <v>459.5</v>
      </c>
      <c r="M63" s="79" t="n">
        <v>14206</v>
      </c>
      <c r="N63" s="80" t="n">
        <v>0</v>
      </c>
      <c r="O63" s="80" t="n">
        <v>323.950012207031</v>
      </c>
      <c r="P63" s="47" t="n">
        <v>14</v>
      </c>
      <c r="Q63" s="66" t="s">
        <v>301</v>
      </c>
    </row>
    <row r="64" customFormat="false" ht="15" hidden="false" customHeight="false" outlineLevel="0" collapsed="false">
      <c r="A64" s="76" t="s">
        <v>175</v>
      </c>
      <c r="B64" s="76" t="s">
        <v>243</v>
      </c>
      <c r="C64" s="77" t="n">
        <v>2022</v>
      </c>
      <c r="D64" s="77" t="n">
        <v>4</v>
      </c>
      <c r="E64" s="78" t="n">
        <v>44895</v>
      </c>
      <c r="F64" s="76" t="s">
        <v>213</v>
      </c>
      <c r="G64" s="76" t="s">
        <v>214</v>
      </c>
      <c r="H64" s="76" t="s">
        <v>215</v>
      </c>
      <c r="I64" s="79" t="n">
        <v>17606</v>
      </c>
      <c r="J64" s="79" t="n">
        <v>15441</v>
      </c>
      <c r="K64" s="80" t="n">
        <v>3.6</v>
      </c>
      <c r="L64" s="79"/>
      <c r="M64" s="79" t="n">
        <v>14051</v>
      </c>
      <c r="N64" s="80" t="n">
        <v>0</v>
      </c>
      <c r="O64" s="80" t="n">
        <v>344.929992675781</v>
      </c>
      <c r="P64" s="47" t="n">
        <v>15</v>
      </c>
      <c r="Q64" s="66" t="s">
        <v>302</v>
      </c>
    </row>
    <row r="65" customFormat="false" ht="15" hidden="false" customHeight="false" outlineLevel="0" collapsed="false">
      <c r="A65" s="76" t="s">
        <v>175</v>
      </c>
      <c r="B65" s="76" t="s">
        <v>245</v>
      </c>
      <c r="C65" s="77" t="n">
        <v>2022</v>
      </c>
      <c r="D65" s="77" t="n">
        <v>3</v>
      </c>
      <c r="E65" s="78" t="n">
        <v>44804</v>
      </c>
      <c r="F65" s="76" t="s">
        <v>213</v>
      </c>
      <c r="G65" s="76" t="s">
        <v>214</v>
      </c>
      <c r="H65" s="76" t="s">
        <v>215</v>
      </c>
      <c r="I65" s="79" t="n">
        <v>4433</v>
      </c>
      <c r="J65" s="79" t="n">
        <v>3887</v>
      </c>
      <c r="K65" s="80" t="n">
        <v>3.4</v>
      </c>
      <c r="L65" s="79" t="n">
        <v>469.4</v>
      </c>
      <c r="M65" s="79" t="n">
        <v>14373</v>
      </c>
      <c r="N65" s="80" t="n">
        <v>0</v>
      </c>
      <c r="O65" s="80" t="n">
        <v>373.440002441406</v>
      </c>
      <c r="P65" s="47" t="n">
        <v>16</v>
      </c>
      <c r="Q65" s="66" t="s">
        <v>303</v>
      </c>
    </row>
    <row r="66" customFormat="false" ht="15" hidden="false" customHeight="false" outlineLevel="0" collapsed="false">
      <c r="A66" s="76" t="s">
        <v>175</v>
      </c>
      <c r="B66" s="76" t="s">
        <v>247</v>
      </c>
      <c r="C66" s="77" t="n">
        <v>2022</v>
      </c>
      <c r="D66" s="77" t="n">
        <v>2</v>
      </c>
      <c r="E66" s="78" t="n">
        <v>44712</v>
      </c>
      <c r="F66" s="76" t="s">
        <v>213</v>
      </c>
      <c r="G66" s="76" t="s">
        <v>214</v>
      </c>
      <c r="H66" s="76" t="s">
        <v>215</v>
      </c>
      <c r="I66" s="79" t="n">
        <v>4386</v>
      </c>
      <c r="J66" s="79" t="n">
        <v>3847</v>
      </c>
      <c r="K66" s="80" t="n">
        <v>3.35</v>
      </c>
      <c r="L66" s="79" t="n">
        <v>473.3</v>
      </c>
      <c r="M66" s="79" t="n">
        <v>13985</v>
      </c>
      <c r="N66" s="80" t="n">
        <v>0</v>
      </c>
      <c r="O66" s="80" t="n">
        <v>416.480010986328</v>
      </c>
      <c r="P66" s="47" t="n">
        <v>17</v>
      </c>
      <c r="Q66" s="66" t="s">
        <v>304</v>
      </c>
    </row>
    <row r="67" customFormat="false" ht="15" hidden="false" customHeight="false" outlineLevel="0" collapsed="false">
      <c r="A67" s="76" t="s">
        <v>175</v>
      </c>
      <c r="B67" s="76" t="s">
        <v>249</v>
      </c>
      <c r="C67" s="77" t="n">
        <v>2022</v>
      </c>
      <c r="D67" s="77" t="n">
        <v>1</v>
      </c>
      <c r="E67" s="78" t="n">
        <v>44620</v>
      </c>
      <c r="F67" s="76" t="s">
        <v>213</v>
      </c>
      <c r="G67" s="76" t="s">
        <v>214</v>
      </c>
      <c r="H67" s="76" t="s">
        <v>215</v>
      </c>
      <c r="I67" s="79" t="n">
        <v>4262</v>
      </c>
      <c r="J67" s="79" t="n">
        <v>3750</v>
      </c>
      <c r="K67" s="80" t="n">
        <v>3.37</v>
      </c>
      <c r="L67" s="79" t="n">
        <v>475.4</v>
      </c>
      <c r="M67" s="79" t="n">
        <v>13775</v>
      </c>
      <c r="N67" s="80" t="n">
        <v>0</v>
      </c>
      <c r="O67" s="80" t="n">
        <v>467.679992675781</v>
      </c>
      <c r="P67" s="47" t="n">
        <v>18</v>
      </c>
      <c r="Q67" s="66" t="s">
        <v>305</v>
      </c>
    </row>
    <row r="68" customFormat="false" ht="15" hidden="false" customHeight="false" outlineLevel="0" collapsed="false">
      <c r="A68" s="76" t="s">
        <v>175</v>
      </c>
      <c r="B68" s="76" t="s">
        <v>251</v>
      </c>
      <c r="C68" s="77" t="n">
        <v>2021</v>
      </c>
      <c r="D68" s="77" t="n">
        <v>4</v>
      </c>
      <c r="E68" s="78" t="n">
        <v>44530</v>
      </c>
      <c r="F68" s="76" t="s">
        <v>213</v>
      </c>
      <c r="G68" s="76" t="s">
        <v>214</v>
      </c>
      <c r="H68" s="76" t="s">
        <v>215</v>
      </c>
      <c r="I68" s="79" t="n">
        <v>4110</v>
      </c>
      <c r="J68" s="79" t="n">
        <v>3603</v>
      </c>
      <c r="K68" s="80" t="n">
        <v>3.2</v>
      </c>
      <c r="L68" s="79"/>
      <c r="M68" s="79" t="n">
        <v>14797</v>
      </c>
      <c r="N68" s="80" t="n">
        <v>0</v>
      </c>
      <c r="O68" s="80" t="n">
        <v>669.849975585938</v>
      </c>
      <c r="P68" s="47" t="n">
        <v>19</v>
      </c>
      <c r="Q68" s="66" t="s">
        <v>306</v>
      </c>
    </row>
    <row r="69" customFormat="false" ht="15" hidden="false" customHeight="false" outlineLevel="0" collapsed="false">
      <c r="A69" s="76" t="s">
        <v>175</v>
      </c>
      <c r="B69" s="76" t="s">
        <v>253</v>
      </c>
      <c r="C69" s="77" t="n">
        <v>2021</v>
      </c>
      <c r="D69" s="77" t="n">
        <v>3</v>
      </c>
      <c r="E69" s="78" t="n">
        <v>44439</v>
      </c>
      <c r="F69" s="76" t="s">
        <v>213</v>
      </c>
      <c r="G69" s="76" t="s">
        <v>214</v>
      </c>
      <c r="H69" s="76" t="s">
        <v>215</v>
      </c>
      <c r="I69" s="79" t="n">
        <v>3935</v>
      </c>
      <c r="J69" s="79" t="n">
        <v>3468</v>
      </c>
      <c r="K69" s="80" t="n">
        <v>3.11</v>
      </c>
      <c r="L69" s="79" t="n">
        <v>480.7</v>
      </c>
      <c r="M69" s="79" t="n">
        <v>14414</v>
      </c>
      <c r="N69" s="80" t="n">
        <v>0</v>
      </c>
      <c r="O69" s="80" t="n">
        <v>663.700012207031</v>
      </c>
      <c r="P69" s="47" t="n">
        <v>20</v>
      </c>
      <c r="Q69" s="66" t="s">
        <v>307</v>
      </c>
    </row>
    <row r="70" customFormat="false" ht="15" hidden="false" customHeight="false" outlineLevel="0" collapsed="false">
      <c r="A70" s="76" t="s">
        <v>175</v>
      </c>
      <c r="B70" s="76" t="s">
        <v>255</v>
      </c>
      <c r="C70" s="77" t="n">
        <v>2021</v>
      </c>
      <c r="D70" s="77" t="n">
        <v>2</v>
      </c>
      <c r="E70" s="78" t="n">
        <v>44347</v>
      </c>
      <c r="F70" s="76" t="s">
        <v>213</v>
      </c>
      <c r="G70" s="76" t="s">
        <v>214</v>
      </c>
      <c r="H70" s="76" t="s">
        <v>215</v>
      </c>
      <c r="I70" s="79" t="n">
        <v>3835</v>
      </c>
      <c r="J70" s="79" t="n">
        <v>3391</v>
      </c>
      <c r="K70" s="80" t="n">
        <v>3.03</v>
      </c>
      <c r="L70" s="79" t="n">
        <v>480.8</v>
      </c>
      <c r="M70" s="79" t="n">
        <v>13852</v>
      </c>
      <c r="N70" s="80" t="n">
        <v>0</v>
      </c>
      <c r="O70" s="80" t="n">
        <v>504.579986572266</v>
      </c>
      <c r="P70" s="47" t="n">
        <v>21</v>
      </c>
      <c r="Q70" s="66" t="s">
        <v>308</v>
      </c>
    </row>
    <row r="71" customFormat="false" ht="15" hidden="false" customHeight="false" outlineLevel="0" collapsed="false">
      <c r="A71" s="76" t="s">
        <v>175</v>
      </c>
      <c r="B71" s="76" t="s">
        <v>257</v>
      </c>
      <c r="C71" s="77" t="n">
        <v>2021</v>
      </c>
      <c r="D71" s="77" t="n">
        <v>1</v>
      </c>
      <c r="E71" s="78" t="n">
        <v>44255</v>
      </c>
      <c r="F71" s="76" t="s">
        <v>213</v>
      </c>
      <c r="G71" s="76" t="s">
        <v>214</v>
      </c>
      <c r="H71" s="76" t="s">
        <v>215</v>
      </c>
      <c r="I71" s="79" t="n">
        <v>3905</v>
      </c>
      <c r="J71" s="79" t="n">
        <v>3458</v>
      </c>
      <c r="K71" s="80" t="n">
        <v>3.14</v>
      </c>
      <c r="L71" s="79" t="n">
        <v>482.9</v>
      </c>
      <c r="M71" s="79" t="n">
        <v>13546</v>
      </c>
      <c r="N71" s="80" t="n">
        <v>0</v>
      </c>
      <c r="O71" s="80" t="n">
        <v>459.670013427734</v>
      </c>
      <c r="P71" s="47" t="n">
        <v>22</v>
      </c>
      <c r="Q71" s="66" t="s">
        <v>309</v>
      </c>
    </row>
    <row r="72" customFormat="false" ht="15" hidden="false" customHeight="false" outlineLevel="0" collapsed="false">
      <c r="A72" s="76" t="s">
        <v>175</v>
      </c>
      <c r="B72" s="76" t="s">
        <v>259</v>
      </c>
      <c r="C72" s="77" t="n">
        <v>2020</v>
      </c>
      <c r="D72" s="77" t="n">
        <v>4</v>
      </c>
      <c r="E72" s="78" t="n">
        <v>44165</v>
      </c>
      <c r="F72" s="76" t="s">
        <v>213</v>
      </c>
      <c r="G72" s="76" t="s">
        <v>214</v>
      </c>
      <c r="H72" s="76" t="s">
        <v>215</v>
      </c>
      <c r="I72" s="79" t="n">
        <v>3424</v>
      </c>
      <c r="J72" s="79" t="n">
        <v>2996</v>
      </c>
      <c r="K72" s="80" t="n">
        <v>2.81</v>
      </c>
      <c r="L72" s="79"/>
      <c r="M72" s="79" t="n">
        <v>13264</v>
      </c>
      <c r="N72" s="80" t="n">
        <v>0</v>
      </c>
      <c r="O72" s="80" t="n">
        <v>478.470001220703</v>
      </c>
      <c r="P72" s="47" t="n">
        <v>23</v>
      </c>
      <c r="Q72" s="66" t="s">
        <v>310</v>
      </c>
    </row>
    <row r="73" customFormat="false" ht="15" hidden="false" customHeight="false" outlineLevel="0" collapsed="false">
      <c r="A73" s="76" t="s">
        <v>175</v>
      </c>
      <c r="B73" s="76" t="s">
        <v>261</v>
      </c>
      <c r="C73" s="77" t="n">
        <v>2020</v>
      </c>
      <c r="D73" s="77" t="n">
        <v>3</v>
      </c>
      <c r="E73" s="78" t="n">
        <v>44074</v>
      </c>
      <c r="F73" s="76" t="s">
        <v>213</v>
      </c>
      <c r="G73" s="76" t="s">
        <v>214</v>
      </c>
      <c r="H73" s="76" t="s">
        <v>215</v>
      </c>
      <c r="I73" s="79" t="n">
        <v>3225</v>
      </c>
      <c r="J73" s="79" t="n">
        <v>2798</v>
      </c>
      <c r="K73" s="80" t="n">
        <v>2.57</v>
      </c>
      <c r="L73" s="79" t="n">
        <v>484.9</v>
      </c>
      <c r="M73" s="79" t="n">
        <v>11713</v>
      </c>
      <c r="N73" s="80"/>
      <c r="O73" s="80" t="n">
        <v>513.390014648438</v>
      </c>
      <c r="P73" s="47" t="n">
        <v>24</v>
      </c>
      <c r="Q73" s="66" t="s">
        <v>311</v>
      </c>
    </row>
    <row r="74" customFormat="false" ht="15" hidden="false" customHeight="false" outlineLevel="0" collapsed="false">
      <c r="A74" s="76" t="s">
        <v>193</v>
      </c>
      <c r="B74" s="76" t="s">
        <v>312</v>
      </c>
      <c r="C74" s="77" t="n">
        <v>2027</v>
      </c>
      <c r="D74" s="77" t="n">
        <v>2</v>
      </c>
      <c r="E74" s="78" t="n">
        <v>46234</v>
      </c>
      <c r="F74" s="76" t="s">
        <v>213</v>
      </c>
      <c r="G74" s="76" t="s">
        <v>214</v>
      </c>
      <c r="H74" s="76" t="s">
        <v>215</v>
      </c>
      <c r="I74" s="79" t="n">
        <v>5396.145</v>
      </c>
      <c r="J74" s="79" t="n">
        <v>4057.363</v>
      </c>
      <c r="K74" s="80" t="n">
        <v>0.31</v>
      </c>
      <c r="L74" s="79" t="n">
        <v>1022.9555</v>
      </c>
      <c r="M74" s="79" t="n">
        <v>5101.724</v>
      </c>
      <c r="N74" s="80"/>
      <c r="O74" s="80" t="n">
        <v>190.860000610352</v>
      </c>
      <c r="P74" s="47" t="n">
        <v>1</v>
      </c>
      <c r="Q74" s="66" t="s">
        <v>313</v>
      </c>
    </row>
    <row r="75" customFormat="false" ht="15" hidden="false" customHeight="false" outlineLevel="0" collapsed="false">
      <c r="A75" s="76" t="s">
        <v>193</v>
      </c>
      <c r="B75" s="76" t="s">
        <v>314</v>
      </c>
      <c r="C75" s="77" t="n">
        <v>2027</v>
      </c>
      <c r="D75" s="77" t="n">
        <v>1</v>
      </c>
      <c r="E75" s="78" t="n">
        <v>46142</v>
      </c>
      <c r="F75" s="76" t="s">
        <v>213</v>
      </c>
      <c r="G75" s="76" t="s">
        <v>214</v>
      </c>
      <c r="H75" s="76" t="s">
        <v>215</v>
      </c>
      <c r="I75" s="79" t="n">
        <v>1385.629</v>
      </c>
      <c r="J75" s="79" t="n">
        <v>1043.352</v>
      </c>
      <c r="K75" s="80" t="n">
        <v>0.28</v>
      </c>
      <c r="L75" s="79" t="n">
        <v>1031.524</v>
      </c>
      <c r="M75" s="79" t="n">
        <v>4633.877</v>
      </c>
      <c r="N75" s="80"/>
      <c r="O75" s="80" t="n">
        <v>111.4375</v>
      </c>
      <c r="P75" s="47" t="n">
        <v>2</v>
      </c>
      <c r="Q75" s="66" t="s">
        <v>315</v>
      </c>
    </row>
    <row r="76" customFormat="false" ht="15" hidden="false" customHeight="false" outlineLevel="0" collapsed="false">
      <c r="A76" s="76" t="s">
        <v>193</v>
      </c>
      <c r="B76" s="76" t="s">
        <v>316</v>
      </c>
      <c r="C76" s="77" t="n">
        <v>2026</v>
      </c>
      <c r="D76" s="77" t="n">
        <v>4</v>
      </c>
      <c r="E76" s="78" t="n">
        <v>46053</v>
      </c>
      <c r="F76" s="76" t="s">
        <v>213</v>
      </c>
      <c r="G76" s="76" t="s">
        <v>214</v>
      </c>
      <c r="H76" s="76" t="s">
        <v>215</v>
      </c>
      <c r="I76" s="79" t="n">
        <v>1305.375</v>
      </c>
      <c r="J76" s="79" t="n">
        <v>993.677</v>
      </c>
      <c r="K76" s="80" t="n">
        <v>0.28</v>
      </c>
      <c r="L76" s="79" t="n">
        <v>1032.532</v>
      </c>
      <c r="M76" s="79" t="n">
        <v>4428.39</v>
      </c>
      <c r="N76" s="80"/>
      <c r="O76" s="80" t="n">
        <v>110.351249694824</v>
      </c>
      <c r="P76" s="47" t="n">
        <v>3</v>
      </c>
      <c r="Q76" s="66" t="s">
        <v>317</v>
      </c>
    </row>
    <row r="77" customFormat="false" ht="15" hidden="false" customHeight="false" outlineLevel="0" collapsed="false">
      <c r="A77" s="76" t="s">
        <v>193</v>
      </c>
      <c r="B77" s="76" t="s">
        <v>263</v>
      </c>
      <c r="C77" s="77" t="n">
        <v>2026</v>
      </c>
      <c r="D77" s="77" t="n">
        <v>3</v>
      </c>
      <c r="E77" s="78" t="n">
        <v>45961</v>
      </c>
      <c r="F77" s="76" t="s">
        <v>213</v>
      </c>
      <c r="G77" s="76" t="s">
        <v>214</v>
      </c>
      <c r="H77" s="76" t="s">
        <v>215</v>
      </c>
      <c r="I77" s="79" t="n">
        <v>1234.244</v>
      </c>
      <c r="J77" s="79" t="n">
        <v>926.439</v>
      </c>
      <c r="K77" s="80" t="n">
        <v>0.24</v>
      </c>
      <c r="L77" s="79" t="n">
        <v>1005.304</v>
      </c>
      <c r="M77" s="79" t="n">
        <v>4016.497</v>
      </c>
      <c r="N77" s="80"/>
      <c r="O77" s="80" t="n">
        <v>135.752502441406</v>
      </c>
      <c r="P77" s="47" t="n">
        <v>4</v>
      </c>
      <c r="Q77" s="66" t="s">
        <v>318</v>
      </c>
    </row>
    <row r="78" customFormat="false" ht="15" hidden="false" customHeight="false" outlineLevel="0" collapsed="false">
      <c r="A78" s="76" t="s">
        <v>193</v>
      </c>
      <c r="B78" s="76" t="s">
        <v>212</v>
      </c>
      <c r="C78" s="77" t="n">
        <v>2026</v>
      </c>
      <c r="D78" s="77" t="n">
        <v>2</v>
      </c>
      <c r="E78" s="78" t="n">
        <v>45869</v>
      </c>
      <c r="F78" s="76" t="s">
        <v>213</v>
      </c>
      <c r="G78" s="76" t="s">
        <v>214</v>
      </c>
      <c r="H78" s="76" t="s">
        <v>215</v>
      </c>
      <c r="I78" s="79" t="n">
        <v>1168.952</v>
      </c>
      <c r="J78" s="79" t="n">
        <v>858.669</v>
      </c>
      <c r="K78" s="80" t="n">
        <v>0.23</v>
      </c>
      <c r="L78" s="79" t="n">
        <v>999.636</v>
      </c>
      <c r="M78" s="79" t="n">
        <v>3756.68</v>
      </c>
      <c r="N78" s="80"/>
      <c r="O78" s="80" t="n">
        <v>113.642501831055</v>
      </c>
      <c r="P78" s="47" t="n">
        <v>5</v>
      </c>
      <c r="Q78" s="66" t="s">
        <v>319</v>
      </c>
    </row>
    <row r="79" customFormat="false" ht="15" hidden="false" customHeight="false" outlineLevel="0" collapsed="false">
      <c r="A79" s="76" t="s">
        <v>193</v>
      </c>
      <c r="B79" s="76" t="s">
        <v>217</v>
      </c>
      <c r="C79" s="77" t="n">
        <v>2026</v>
      </c>
      <c r="D79" s="77" t="n">
        <v>1</v>
      </c>
      <c r="E79" s="78" t="n">
        <v>45777</v>
      </c>
      <c r="F79" s="76" t="s">
        <v>213</v>
      </c>
      <c r="G79" s="76" t="s">
        <v>214</v>
      </c>
      <c r="H79" s="76" t="s">
        <v>215</v>
      </c>
      <c r="I79" s="79" t="n">
        <v>1103.434</v>
      </c>
      <c r="J79" s="79" t="n">
        <v>815.559</v>
      </c>
      <c r="K79" s="80" t="n">
        <v>0.18</v>
      </c>
      <c r="L79" s="79" t="n">
        <v>993.728</v>
      </c>
      <c r="M79" s="79" t="n">
        <v>3450.877</v>
      </c>
      <c r="N79" s="80"/>
      <c r="O79" s="80" t="n">
        <v>107.217498779297</v>
      </c>
      <c r="P79" s="47" t="n">
        <v>6</v>
      </c>
      <c r="Q79" s="66" t="s">
        <v>320</v>
      </c>
    </row>
    <row r="80" customFormat="false" ht="15" hidden="false" customHeight="false" outlineLevel="0" collapsed="false">
      <c r="A80" s="76" t="s">
        <v>193</v>
      </c>
      <c r="B80" s="76" t="s">
        <v>219</v>
      </c>
      <c r="C80" s="77" t="n">
        <v>2025</v>
      </c>
      <c r="D80" s="77" t="n">
        <v>4</v>
      </c>
      <c r="E80" s="78" t="n">
        <v>45688</v>
      </c>
      <c r="F80" s="76" t="s">
        <v>213</v>
      </c>
      <c r="G80" s="76" t="s">
        <v>214</v>
      </c>
      <c r="H80" s="76" t="s">
        <v>215</v>
      </c>
      <c r="I80" s="79" t="n">
        <v>1058.538</v>
      </c>
      <c r="J80" s="79" t="n">
        <v>784.548</v>
      </c>
      <c r="K80" s="80" t="n">
        <v>0.26</v>
      </c>
      <c r="L80" s="79" t="n">
        <v>244.75</v>
      </c>
      <c r="M80" s="79" t="n">
        <v>3279.494</v>
      </c>
      <c r="N80" s="80"/>
      <c r="O80" s="80" t="n">
        <v>99.5175018310547</v>
      </c>
      <c r="P80" s="47" t="n">
        <v>7</v>
      </c>
      <c r="Q80" s="66" t="s">
        <v>321</v>
      </c>
    </row>
    <row r="81" customFormat="false" ht="15" hidden="false" customHeight="false" outlineLevel="0" collapsed="false">
      <c r="A81" s="76" t="s">
        <v>193</v>
      </c>
      <c r="B81" s="76" t="s">
        <v>221</v>
      </c>
      <c r="C81" s="77" t="n">
        <v>2025</v>
      </c>
      <c r="D81" s="77" t="n">
        <v>3</v>
      </c>
      <c r="E81" s="78" t="n">
        <v>45596</v>
      </c>
      <c r="F81" s="76" t="s">
        <v>213</v>
      </c>
      <c r="G81" s="76" t="s">
        <v>214</v>
      </c>
      <c r="H81" s="76" t="s">
        <v>215</v>
      </c>
      <c r="I81" s="79" t="n">
        <v>1010.178</v>
      </c>
      <c r="J81" s="79" t="n">
        <v>755.091</v>
      </c>
      <c r="K81" s="80" t="n">
        <v>0.23</v>
      </c>
      <c r="L81" s="79" t="n">
        <v>1000.193</v>
      </c>
      <c r="M81" s="79" t="n">
        <v>3057.933</v>
      </c>
      <c r="N81" s="80"/>
      <c r="O81" s="80" t="n">
        <v>74.2174987792969</v>
      </c>
      <c r="P81" s="47" t="n">
        <v>8</v>
      </c>
      <c r="Q81" s="66" t="s">
        <v>322</v>
      </c>
    </row>
    <row r="82" customFormat="false" ht="15" hidden="false" customHeight="false" outlineLevel="0" collapsed="false">
      <c r="A82" s="76" t="s">
        <v>193</v>
      </c>
      <c r="B82" s="76" t="s">
        <v>223</v>
      </c>
      <c r="C82" s="77" t="n">
        <v>2025</v>
      </c>
      <c r="D82" s="77" t="n">
        <v>2</v>
      </c>
      <c r="E82" s="78" t="n">
        <v>45504</v>
      </c>
      <c r="F82" s="76" t="s">
        <v>213</v>
      </c>
      <c r="G82" s="76" t="s">
        <v>214</v>
      </c>
      <c r="H82" s="76" t="s">
        <v>215</v>
      </c>
      <c r="I82" s="79" t="n">
        <v>963.872</v>
      </c>
      <c r="J82" s="79" t="n">
        <v>726.471</v>
      </c>
      <c r="K82" s="80" t="n">
        <v>0.26</v>
      </c>
      <c r="L82" s="79" t="n">
        <v>993.222</v>
      </c>
      <c r="M82" s="79" t="n">
        <v>2852.915</v>
      </c>
      <c r="N82" s="80"/>
      <c r="O82" s="80" t="n">
        <v>57.9900016784668</v>
      </c>
      <c r="P82" s="47" t="n">
        <v>9</v>
      </c>
      <c r="Q82" s="66" t="s">
        <v>323</v>
      </c>
    </row>
    <row r="83" customFormat="false" ht="15" hidden="false" customHeight="false" outlineLevel="0" collapsed="false">
      <c r="A83" s="76" t="s">
        <v>193</v>
      </c>
      <c r="B83" s="76" t="s">
        <v>225</v>
      </c>
      <c r="C83" s="77" t="n">
        <v>2025</v>
      </c>
      <c r="D83" s="77" t="n">
        <v>1</v>
      </c>
      <c r="E83" s="78" t="n">
        <v>45412</v>
      </c>
      <c r="F83" s="76" t="s">
        <v>213</v>
      </c>
      <c r="G83" s="76" t="s">
        <v>214</v>
      </c>
      <c r="H83" s="76" t="s">
        <v>215</v>
      </c>
      <c r="I83" s="79" t="n">
        <v>921.036</v>
      </c>
      <c r="J83" s="79" t="n">
        <v>696.033</v>
      </c>
      <c r="K83" s="80" t="n">
        <v>0.23</v>
      </c>
      <c r="L83" s="79" t="n">
        <v>984.106</v>
      </c>
      <c r="M83" s="79" t="n">
        <v>2535.54</v>
      </c>
      <c r="N83" s="80"/>
      <c r="O83" s="80" t="n">
        <v>73.1350021362305</v>
      </c>
      <c r="P83" s="47" t="n">
        <v>10</v>
      </c>
      <c r="Q83" s="66" t="s">
        <v>324</v>
      </c>
    </row>
    <row r="84" customFormat="false" ht="15" hidden="false" customHeight="false" outlineLevel="0" collapsed="false">
      <c r="A84" s="76" t="s">
        <v>193</v>
      </c>
      <c r="B84" s="76" t="s">
        <v>227</v>
      </c>
      <c r="C84" s="77" t="n">
        <v>2024</v>
      </c>
      <c r="D84" s="77" t="n">
        <v>4</v>
      </c>
      <c r="E84" s="78" t="n">
        <v>45322</v>
      </c>
      <c r="F84" s="76" t="s">
        <v>213</v>
      </c>
      <c r="G84" s="76" t="s">
        <v>214</v>
      </c>
      <c r="H84" s="76" t="s">
        <v>215</v>
      </c>
      <c r="I84" s="79" t="n">
        <v>845.335</v>
      </c>
      <c r="J84" s="79" t="n">
        <v>636.763</v>
      </c>
      <c r="K84" s="80" t="n">
        <v>0.24</v>
      </c>
      <c r="L84" s="79" t="n">
        <v>243.635</v>
      </c>
      <c r="M84" s="79" t="n">
        <v>2303.95</v>
      </c>
      <c r="N84" s="80"/>
      <c r="O84" s="80" t="n">
        <v>73.125</v>
      </c>
      <c r="P84" s="47" t="n">
        <v>11</v>
      </c>
      <c r="Q84" s="66" t="s">
        <v>325</v>
      </c>
    </row>
    <row r="85" customFormat="false" ht="15" hidden="false" customHeight="false" outlineLevel="0" collapsed="false">
      <c r="A85" s="76" t="s">
        <v>193</v>
      </c>
      <c r="B85" s="76" t="s">
        <v>229</v>
      </c>
      <c r="C85" s="77" t="n">
        <v>2024</v>
      </c>
      <c r="D85" s="77" t="n">
        <v>3</v>
      </c>
      <c r="E85" s="78" t="n">
        <v>45230</v>
      </c>
      <c r="F85" s="76" t="s">
        <v>213</v>
      </c>
      <c r="G85" s="76" t="s">
        <v>214</v>
      </c>
      <c r="H85" s="76" t="s">
        <v>215</v>
      </c>
      <c r="I85" s="79" t="n">
        <v>786.014</v>
      </c>
      <c r="J85" s="79" t="n">
        <v>591.01</v>
      </c>
      <c r="K85" s="80" t="n">
        <v>0.21</v>
      </c>
      <c r="L85" s="79" t="n">
        <v>240.4095</v>
      </c>
      <c r="M85" s="79" t="n">
        <v>2028.95</v>
      </c>
      <c r="N85" s="80"/>
      <c r="O85" s="80" t="n">
        <v>44.1925010681152</v>
      </c>
      <c r="P85" s="47" t="n">
        <v>12</v>
      </c>
      <c r="Q85" s="66" t="s">
        <v>326</v>
      </c>
    </row>
    <row r="86" customFormat="false" ht="15" hidden="false" customHeight="false" outlineLevel="0" collapsed="false">
      <c r="A86" s="76" t="s">
        <v>193</v>
      </c>
      <c r="B86" s="76" t="s">
        <v>231</v>
      </c>
      <c r="C86" s="77" t="n">
        <v>2024</v>
      </c>
      <c r="D86" s="77" t="n">
        <v>2</v>
      </c>
      <c r="E86" s="78" t="n">
        <v>45138</v>
      </c>
      <c r="F86" s="76" t="s">
        <v>213</v>
      </c>
      <c r="G86" s="76" t="s">
        <v>214</v>
      </c>
      <c r="H86" s="76" t="s">
        <v>215</v>
      </c>
      <c r="I86" s="79" t="n">
        <v>731.626</v>
      </c>
      <c r="J86" s="79" t="n">
        <v>548.709</v>
      </c>
      <c r="K86" s="80" t="n">
        <v>0.19</v>
      </c>
      <c r="L86" s="79"/>
      <c r="M86" s="79" t="n">
        <v>1838.207</v>
      </c>
      <c r="N86" s="80"/>
      <c r="O86" s="80" t="n">
        <v>40.4150009155273</v>
      </c>
      <c r="P86" s="47" t="n">
        <v>13</v>
      </c>
      <c r="Q86" s="66" t="s">
        <v>327</v>
      </c>
    </row>
    <row r="87" customFormat="false" ht="15" hidden="false" customHeight="false" outlineLevel="0" collapsed="false">
      <c r="A87" s="76" t="s">
        <v>193</v>
      </c>
      <c r="B87" s="76" t="s">
        <v>233</v>
      </c>
      <c r="C87" s="77" t="n">
        <v>2024</v>
      </c>
      <c r="D87" s="77" t="n">
        <v>1</v>
      </c>
      <c r="E87" s="78" t="n">
        <v>45046</v>
      </c>
      <c r="F87" s="76" t="s">
        <v>213</v>
      </c>
      <c r="G87" s="76" t="s">
        <v>214</v>
      </c>
      <c r="H87" s="76" t="s">
        <v>215</v>
      </c>
      <c r="I87" s="79" t="n">
        <v>692.58</v>
      </c>
      <c r="J87" s="79" t="n">
        <v>523.35</v>
      </c>
      <c r="K87" s="80" t="n">
        <v>0.14</v>
      </c>
      <c r="L87" s="79"/>
      <c r="M87" s="79" t="n">
        <v>1605.301</v>
      </c>
      <c r="N87" s="80"/>
      <c r="O87" s="80" t="n">
        <v>30.0125007629395</v>
      </c>
      <c r="P87" s="47" t="n">
        <v>14</v>
      </c>
      <c r="Q87" s="66" t="s">
        <v>328</v>
      </c>
    </row>
    <row r="88" customFormat="false" ht="15" hidden="false" customHeight="false" outlineLevel="0" collapsed="false">
      <c r="A88" s="76" t="s">
        <v>193</v>
      </c>
      <c r="B88" s="76" t="s">
        <v>235</v>
      </c>
      <c r="C88" s="77" t="n">
        <v>2023</v>
      </c>
      <c r="D88" s="77" t="n">
        <v>4</v>
      </c>
      <c r="E88" s="78" t="n">
        <v>44957</v>
      </c>
      <c r="F88" s="76" t="s">
        <v>213</v>
      </c>
      <c r="G88" s="76" t="s">
        <v>214</v>
      </c>
      <c r="H88" s="76" t="s">
        <v>215</v>
      </c>
      <c r="I88" s="79" t="n">
        <v>637.367</v>
      </c>
      <c r="J88" s="79" t="n">
        <v>461.763</v>
      </c>
      <c r="K88" s="80" t="n">
        <v>0.12</v>
      </c>
      <c r="L88" s="79"/>
      <c r="M88" s="79" t="n">
        <v>1463.641</v>
      </c>
      <c r="N88" s="80"/>
      <c r="O88" s="80" t="n">
        <v>26.4750003814697</v>
      </c>
      <c r="P88" s="47" t="n">
        <v>15</v>
      </c>
      <c r="Q88" s="66" t="s">
        <v>329</v>
      </c>
    </row>
    <row r="89" customFormat="false" ht="15" hidden="false" customHeight="false" outlineLevel="0" collapsed="false">
      <c r="A89" s="76" t="s">
        <v>193</v>
      </c>
      <c r="B89" s="76" t="s">
        <v>237</v>
      </c>
      <c r="C89" s="77" t="n">
        <v>2023</v>
      </c>
      <c r="D89" s="77" t="n">
        <v>3</v>
      </c>
      <c r="E89" s="78" t="n">
        <v>44865</v>
      </c>
      <c r="F89" s="76" t="s">
        <v>213</v>
      </c>
      <c r="G89" s="76" t="s">
        <v>214</v>
      </c>
      <c r="H89" s="76" t="s">
        <v>215</v>
      </c>
      <c r="I89" s="79" t="n">
        <v>580.882</v>
      </c>
      <c r="J89" s="79" t="n">
        <v>422.654</v>
      </c>
      <c r="K89" s="80" t="n">
        <v>0.1</v>
      </c>
      <c r="L89" s="79"/>
      <c r="M89" s="79" t="n">
        <v>1314.289</v>
      </c>
      <c r="N89" s="80"/>
      <c r="O89" s="80" t="n">
        <v>40.2999992370606</v>
      </c>
      <c r="P89" s="47" t="n">
        <v>16</v>
      </c>
      <c r="Q89" s="66" t="s">
        <v>330</v>
      </c>
    </row>
    <row r="90" customFormat="false" ht="15" hidden="false" customHeight="false" outlineLevel="0" collapsed="false">
      <c r="A90" s="76" t="s">
        <v>193</v>
      </c>
      <c r="B90" s="76" t="s">
        <v>239</v>
      </c>
      <c r="C90" s="77" t="n">
        <v>2023</v>
      </c>
      <c r="D90" s="77" t="n">
        <v>2</v>
      </c>
      <c r="E90" s="78" t="n">
        <v>44773</v>
      </c>
      <c r="F90" s="76" t="s">
        <v>213</v>
      </c>
      <c r="G90" s="76" t="s">
        <v>214</v>
      </c>
      <c r="H90" s="76" t="s">
        <v>215</v>
      </c>
      <c r="I90" s="79" t="n">
        <v>535.153</v>
      </c>
      <c r="J90" s="79" t="n">
        <v>394.586</v>
      </c>
      <c r="K90" s="80" t="n">
        <v>0.09</v>
      </c>
      <c r="L90" s="79"/>
      <c r="M90" s="79" t="n">
        <v>1225.419</v>
      </c>
      <c r="N90" s="80"/>
      <c r="O90" s="80" t="n">
        <v>45.9000015258789</v>
      </c>
      <c r="P90" s="47" t="n">
        <v>17</v>
      </c>
      <c r="Q90" s="66" t="s">
        <v>331</v>
      </c>
    </row>
    <row r="91" customFormat="false" ht="15" hidden="false" customHeight="false" outlineLevel="0" collapsed="false">
      <c r="A91" s="76" t="s">
        <v>193</v>
      </c>
      <c r="B91" s="76" t="s">
        <v>241</v>
      </c>
      <c r="C91" s="77" t="n">
        <v>2023</v>
      </c>
      <c r="D91" s="77" t="n">
        <v>1</v>
      </c>
      <c r="E91" s="78" t="n">
        <v>44681</v>
      </c>
      <c r="F91" s="76" t="s">
        <v>213</v>
      </c>
      <c r="G91" s="76" t="s">
        <v>214</v>
      </c>
      <c r="H91" s="76" t="s">
        <v>215</v>
      </c>
      <c r="I91" s="79" t="n">
        <v>487.834</v>
      </c>
      <c r="J91" s="79" t="n">
        <v>361.002</v>
      </c>
      <c r="K91" s="80" t="n">
        <v>0.08</v>
      </c>
      <c r="L91" s="79"/>
      <c r="M91" s="79" t="n">
        <v>1102.541</v>
      </c>
      <c r="N91" s="80"/>
      <c r="O91" s="80" t="n">
        <v>49.689998626709</v>
      </c>
      <c r="P91" s="47" t="n">
        <v>18</v>
      </c>
      <c r="Q91" s="66" t="s">
        <v>332</v>
      </c>
    </row>
    <row r="92" customFormat="false" ht="15" hidden="false" customHeight="false" outlineLevel="0" collapsed="false">
      <c r="A92" s="76" t="s">
        <v>193</v>
      </c>
      <c r="B92" s="76" t="s">
        <v>243</v>
      </c>
      <c r="C92" s="77" t="n">
        <v>2022</v>
      </c>
      <c r="D92" s="77" t="n">
        <v>4</v>
      </c>
      <c r="E92" s="78" t="n">
        <v>44592</v>
      </c>
      <c r="F92" s="76" t="s">
        <v>213</v>
      </c>
      <c r="G92" s="76" t="s">
        <v>214</v>
      </c>
      <c r="H92" s="76" t="s">
        <v>215</v>
      </c>
      <c r="I92" s="79" t="n">
        <v>431.01</v>
      </c>
      <c r="J92" s="79" t="n">
        <v>318.39</v>
      </c>
      <c r="K92" s="80" t="n">
        <v>0.08</v>
      </c>
      <c r="L92" s="79"/>
      <c r="M92" s="79" t="n">
        <v>1025.763999</v>
      </c>
      <c r="N92" s="80"/>
      <c r="O92" s="80" t="n">
        <v>45.1599998474121</v>
      </c>
      <c r="P92" s="47" t="n">
        <v>19</v>
      </c>
      <c r="Q92" s="66" t="s">
        <v>333</v>
      </c>
    </row>
    <row r="93" customFormat="false" ht="15" hidden="false" customHeight="false" outlineLevel="0" collapsed="false">
      <c r="A93" s="76" t="s">
        <v>193</v>
      </c>
      <c r="B93" s="76" t="s">
        <v>245</v>
      </c>
      <c r="C93" s="77" t="n">
        <v>2022</v>
      </c>
      <c r="D93" s="77" t="n">
        <v>3</v>
      </c>
      <c r="E93" s="78" t="n">
        <v>44500</v>
      </c>
      <c r="F93" s="76" t="s">
        <v>213</v>
      </c>
      <c r="G93" s="76" t="s">
        <v>214</v>
      </c>
      <c r="H93" s="76" t="s">
        <v>215</v>
      </c>
      <c r="I93" s="79" t="n">
        <v>380.051</v>
      </c>
      <c r="J93" s="79" t="n">
        <v>278.387</v>
      </c>
      <c r="K93" s="80" t="n">
        <v>0.04</v>
      </c>
      <c r="L93" s="79"/>
      <c r="M93" s="79" t="n">
        <v>948.182</v>
      </c>
      <c r="N93" s="80"/>
      <c r="O93" s="80" t="n">
        <v>70.4499969482422</v>
      </c>
      <c r="P93" s="47" t="n">
        <v>20</v>
      </c>
      <c r="Q93" s="66" t="s">
        <v>334</v>
      </c>
    </row>
    <row r="94" customFormat="false" ht="15" hidden="false" customHeight="false" outlineLevel="0" collapsed="false">
      <c r="A94" s="76" t="s">
        <v>193</v>
      </c>
      <c r="B94" s="76" t="s">
        <v>247</v>
      </c>
      <c r="C94" s="77" t="n">
        <v>2022</v>
      </c>
      <c r="D94" s="77" t="n">
        <v>2</v>
      </c>
      <c r="E94" s="78" t="n">
        <v>44408</v>
      </c>
      <c r="F94" s="76" t="s">
        <v>213</v>
      </c>
      <c r="G94" s="76" t="s">
        <v>214</v>
      </c>
      <c r="H94" s="76" t="s">
        <v>215</v>
      </c>
      <c r="I94" s="79" t="n">
        <v>337.69</v>
      </c>
      <c r="J94" s="79" t="n">
        <v>247.258</v>
      </c>
      <c r="K94" s="80" t="n">
        <v>0.03</v>
      </c>
      <c r="L94" s="79"/>
      <c r="M94" s="79" t="n">
        <v>904.268</v>
      </c>
      <c r="N94" s="80"/>
      <c r="O94" s="80" t="n">
        <v>63.4025001525879</v>
      </c>
      <c r="P94" s="47" t="n">
        <v>21</v>
      </c>
      <c r="Q94" s="66" t="s">
        <v>335</v>
      </c>
    </row>
    <row r="95" customFormat="false" ht="15" hidden="false" customHeight="false" outlineLevel="0" collapsed="false">
      <c r="A95" s="76" t="s">
        <v>193</v>
      </c>
      <c r="B95" s="76" t="s">
        <v>249</v>
      </c>
      <c r="C95" s="77" t="n">
        <v>2022</v>
      </c>
      <c r="D95" s="77" t="n">
        <v>1</v>
      </c>
      <c r="E95" s="78" t="n">
        <v>44316</v>
      </c>
      <c r="F95" s="76" t="s">
        <v>213</v>
      </c>
      <c r="G95" s="76" t="s">
        <v>214</v>
      </c>
      <c r="H95" s="76" t="s">
        <v>215</v>
      </c>
      <c r="I95" s="79" t="n">
        <v>302.843</v>
      </c>
      <c r="J95" s="79" t="n">
        <v>224.338</v>
      </c>
      <c r="K95" s="80" t="n">
        <v>0.03</v>
      </c>
      <c r="L95" s="79"/>
      <c r="M95" s="79" t="n">
        <v>849.264</v>
      </c>
      <c r="N95" s="80"/>
      <c r="O95" s="80" t="n">
        <v>52.127498626709</v>
      </c>
      <c r="P95" s="47" t="n">
        <v>22</v>
      </c>
      <c r="Q95" s="66" t="s">
        <v>336</v>
      </c>
    </row>
    <row r="96" customFormat="false" ht="15" hidden="false" customHeight="false" outlineLevel="0" collapsed="false">
      <c r="A96" s="76" t="s">
        <v>193</v>
      </c>
      <c r="B96" s="76" t="s">
        <v>251</v>
      </c>
      <c r="C96" s="77" t="n">
        <v>2021</v>
      </c>
      <c r="D96" s="77" t="n">
        <v>4</v>
      </c>
      <c r="E96" s="78" t="n">
        <v>44227</v>
      </c>
      <c r="F96" s="76" t="s">
        <v>213</v>
      </c>
      <c r="G96" s="76" t="s">
        <v>214</v>
      </c>
      <c r="H96" s="76" t="s">
        <v>215</v>
      </c>
      <c r="I96" s="79" t="n">
        <v>264.929</v>
      </c>
      <c r="J96" s="79" t="n">
        <v>198.197</v>
      </c>
      <c r="K96" s="80" t="n">
        <v>0.03</v>
      </c>
      <c r="L96" s="79"/>
      <c r="M96" s="79" t="n">
        <v>870.574</v>
      </c>
      <c r="N96" s="80"/>
      <c r="O96" s="80" t="n">
        <v>53.9500007629395</v>
      </c>
      <c r="P96" s="47" t="n">
        <v>23</v>
      </c>
      <c r="Q96" s="66" t="s">
        <v>337</v>
      </c>
    </row>
    <row r="97" customFormat="false" ht="15" hidden="false" customHeight="false" outlineLevel="0" collapsed="false">
      <c r="A97" s="76" t="s">
        <v>193</v>
      </c>
      <c r="B97" s="76" t="s">
        <v>253</v>
      </c>
      <c r="C97" s="77" t="n">
        <v>2021</v>
      </c>
      <c r="D97" s="77" t="n">
        <v>3</v>
      </c>
      <c r="E97" s="78" t="n">
        <v>44135</v>
      </c>
      <c r="F97" s="76" t="s">
        <v>213</v>
      </c>
      <c r="G97" s="76" t="s">
        <v>214</v>
      </c>
      <c r="H97" s="76" t="s">
        <v>215</v>
      </c>
      <c r="I97" s="79" t="n">
        <v>232.46</v>
      </c>
      <c r="J97" s="79" t="n">
        <v>170.933</v>
      </c>
      <c r="K97" s="80" t="n">
        <v>0.02</v>
      </c>
      <c r="L97" s="79"/>
      <c r="M97" s="79" t="n">
        <v>813.485</v>
      </c>
      <c r="N97" s="80"/>
      <c r="O97" s="80" t="n">
        <v>30.9599990844727</v>
      </c>
      <c r="P97" s="47" t="n">
        <v>24</v>
      </c>
      <c r="Q97" s="66" t="s">
        <v>338</v>
      </c>
    </row>
    <row r="98" customFormat="false" ht="15" hidden="false" customHeight="false" outlineLevel="0" collapsed="false">
      <c r="A98" s="76" t="s">
        <v>189</v>
      </c>
      <c r="B98" s="76" t="s">
        <v>314</v>
      </c>
      <c r="C98" s="77" t="n">
        <v>2027</v>
      </c>
      <c r="D98" s="77" t="n">
        <v>1</v>
      </c>
      <c r="E98" s="78" t="n">
        <v>46142</v>
      </c>
      <c r="F98" s="76" t="s">
        <v>213</v>
      </c>
      <c r="G98" s="76" t="s">
        <v>214</v>
      </c>
      <c r="H98" s="76" t="s">
        <v>215</v>
      </c>
      <c r="I98" s="79" t="n">
        <v>43842</v>
      </c>
      <c r="J98" s="79" t="n">
        <v>7782</v>
      </c>
      <c r="K98" s="80" t="n">
        <v>4.86</v>
      </c>
      <c r="L98" s="79" t="n">
        <v>656</v>
      </c>
      <c r="M98" s="79" t="n">
        <v>-1404</v>
      </c>
      <c r="N98" s="80" t="n">
        <v>0.63</v>
      </c>
      <c r="O98" s="80" t="n">
        <v>208.949996948242</v>
      </c>
      <c r="P98" s="47" t="n">
        <v>1</v>
      </c>
      <c r="Q98" s="66" t="s">
        <v>339</v>
      </c>
    </row>
    <row r="99" customFormat="false" ht="15" hidden="false" customHeight="false" outlineLevel="0" collapsed="false">
      <c r="A99" s="76" t="s">
        <v>189</v>
      </c>
      <c r="B99" s="76" t="s">
        <v>316</v>
      </c>
      <c r="C99" s="77" t="n">
        <v>2026</v>
      </c>
      <c r="D99" s="77" t="n">
        <v>4</v>
      </c>
      <c r="E99" s="78" t="n">
        <v>46053</v>
      </c>
      <c r="F99" s="76" t="s">
        <v>213</v>
      </c>
      <c r="G99" s="76" t="s">
        <v>214</v>
      </c>
      <c r="H99" s="76" t="s">
        <v>215</v>
      </c>
      <c r="I99" s="79" t="n">
        <v>33379</v>
      </c>
      <c r="J99" s="79" t="n">
        <v>6730</v>
      </c>
      <c r="K99" s="80" t="n">
        <v>3.89</v>
      </c>
      <c r="L99" s="79" t="n">
        <v>670.326409</v>
      </c>
      <c r="M99" s="79" t="n">
        <v>-2470</v>
      </c>
      <c r="N99" s="80" t="n">
        <v>0.525</v>
      </c>
      <c r="O99" s="80" t="n">
        <v>114.440002441406</v>
      </c>
      <c r="P99" s="47" t="n">
        <v>2</v>
      </c>
      <c r="Q99" s="66" t="s">
        <v>340</v>
      </c>
    </row>
    <row r="100" customFormat="false" ht="15" hidden="false" customHeight="false" outlineLevel="0" collapsed="false">
      <c r="A100" s="76" t="s">
        <v>189</v>
      </c>
      <c r="B100" s="76" t="s">
        <v>263</v>
      </c>
      <c r="C100" s="77" t="n">
        <v>2026</v>
      </c>
      <c r="D100" s="77" t="n">
        <v>3</v>
      </c>
      <c r="E100" s="78" t="n">
        <v>45961</v>
      </c>
      <c r="F100" s="76" t="s">
        <v>213</v>
      </c>
      <c r="G100" s="76" t="s">
        <v>214</v>
      </c>
      <c r="H100" s="76" t="s">
        <v>215</v>
      </c>
      <c r="I100" s="79" t="n">
        <v>27005</v>
      </c>
      <c r="J100" s="79" t="n">
        <v>5593</v>
      </c>
      <c r="K100" s="80" t="n">
        <v>2.59</v>
      </c>
      <c r="L100" s="79" t="n">
        <v>678.947368</v>
      </c>
      <c r="M100" s="79" t="n">
        <v>-2620</v>
      </c>
      <c r="N100" s="80" t="n">
        <v>0.525</v>
      </c>
      <c r="O100" s="80" t="n">
        <v>162.009994506836</v>
      </c>
      <c r="P100" s="47" t="n">
        <v>3</v>
      </c>
      <c r="Q100" s="66" t="s">
        <v>341</v>
      </c>
    </row>
    <row r="101" customFormat="false" ht="15" hidden="false" customHeight="false" outlineLevel="0" collapsed="false">
      <c r="A101" s="76" t="s">
        <v>189</v>
      </c>
      <c r="B101" s="76" t="s">
        <v>212</v>
      </c>
      <c r="C101" s="77" t="n">
        <v>2026</v>
      </c>
      <c r="D101" s="77" t="n">
        <v>2</v>
      </c>
      <c r="E101" s="78" t="n">
        <v>45869</v>
      </c>
      <c r="F101" s="76" t="s">
        <v>213</v>
      </c>
      <c r="G101" s="76" t="s">
        <v>214</v>
      </c>
      <c r="H101" s="76" t="s">
        <v>215</v>
      </c>
      <c r="I101" s="79" t="n">
        <v>29776</v>
      </c>
      <c r="J101" s="79" t="n">
        <v>5447</v>
      </c>
      <c r="K101" s="80" t="n">
        <v>2.32</v>
      </c>
      <c r="L101" s="79" t="n">
        <v>684.705882</v>
      </c>
      <c r="M101" s="79" t="n">
        <v>-2766</v>
      </c>
      <c r="N101" s="80" t="n">
        <v>0.525</v>
      </c>
      <c r="O101" s="80" t="n">
        <v>132.690002441406</v>
      </c>
      <c r="P101" s="47" t="n">
        <v>4</v>
      </c>
      <c r="Q101" s="66" t="s">
        <v>342</v>
      </c>
    </row>
    <row r="102" customFormat="false" ht="15" hidden="false" customHeight="false" outlineLevel="0" collapsed="false">
      <c r="A102" s="76" t="s">
        <v>189</v>
      </c>
      <c r="B102" s="76" t="s">
        <v>217</v>
      </c>
      <c r="C102" s="77" t="n">
        <v>2026</v>
      </c>
      <c r="D102" s="77" t="n">
        <v>1</v>
      </c>
      <c r="E102" s="78" t="n">
        <v>45777</v>
      </c>
      <c r="F102" s="76" t="s">
        <v>213</v>
      </c>
      <c r="G102" s="76" t="s">
        <v>214</v>
      </c>
      <c r="H102" s="76" t="s">
        <v>215</v>
      </c>
      <c r="I102" s="79" t="n">
        <v>23378</v>
      </c>
      <c r="J102" s="79" t="n">
        <v>4937</v>
      </c>
      <c r="K102" s="80" t="n">
        <v>1.55</v>
      </c>
      <c r="L102" s="79" t="n">
        <v>704.379562</v>
      </c>
      <c r="M102" s="79" t="n">
        <v>-3024</v>
      </c>
      <c r="N102" s="80" t="n">
        <v>0.525</v>
      </c>
      <c r="O102" s="80" t="n">
        <v>91.7600021362305</v>
      </c>
      <c r="P102" s="47" t="n">
        <v>5</v>
      </c>
      <c r="Q102" s="66" t="s">
        <v>343</v>
      </c>
    </row>
    <row r="103" customFormat="false" ht="15" hidden="false" customHeight="false" outlineLevel="0" collapsed="false">
      <c r="A103" s="76" t="s">
        <v>189</v>
      </c>
      <c r="B103" s="76" t="s">
        <v>219</v>
      </c>
      <c r="C103" s="77" t="n">
        <v>2025</v>
      </c>
      <c r="D103" s="77" t="n">
        <v>4</v>
      </c>
      <c r="E103" s="78" t="n">
        <v>45688</v>
      </c>
      <c r="F103" s="76" t="s">
        <v>213</v>
      </c>
      <c r="G103" s="76" t="s">
        <v>214</v>
      </c>
      <c r="H103" s="76" t="s">
        <v>215</v>
      </c>
      <c r="I103" s="79" t="n">
        <v>23806</v>
      </c>
      <c r="J103" s="79" t="n">
        <v>5485</v>
      </c>
      <c r="K103" s="80" t="n">
        <v>2.68</v>
      </c>
      <c r="L103" s="79"/>
      <c r="M103" s="79" t="n">
        <v>-1482</v>
      </c>
      <c r="N103" s="80" t="n">
        <v>0.445</v>
      </c>
      <c r="O103" s="80" t="n">
        <v>103.599998474121</v>
      </c>
      <c r="P103" s="47" t="n">
        <v>6</v>
      </c>
      <c r="Q103" s="66" t="s">
        <v>344</v>
      </c>
    </row>
    <row r="104" customFormat="false" ht="15" hidden="false" customHeight="false" outlineLevel="0" collapsed="false">
      <c r="A104" s="76" t="s">
        <v>189</v>
      </c>
      <c r="B104" s="76" t="s">
        <v>221</v>
      </c>
      <c r="C104" s="77" t="n">
        <v>2025</v>
      </c>
      <c r="D104" s="77" t="n">
        <v>3</v>
      </c>
      <c r="E104" s="78" t="n">
        <v>45596</v>
      </c>
      <c r="F104" s="76" t="s">
        <v>213</v>
      </c>
      <c r="G104" s="76" t="s">
        <v>214</v>
      </c>
      <c r="H104" s="76" t="s">
        <v>215</v>
      </c>
      <c r="I104" s="79" t="n">
        <v>24366</v>
      </c>
      <c r="J104" s="79" t="n">
        <v>5307</v>
      </c>
      <c r="K104" s="80" t="n">
        <v>2.15</v>
      </c>
      <c r="L104" s="79" t="n">
        <v>724</v>
      </c>
      <c r="M104" s="79" t="n">
        <v>-2285</v>
      </c>
      <c r="N104" s="80" t="n">
        <v>0.445</v>
      </c>
      <c r="O104" s="80" t="n">
        <v>123.629997253418</v>
      </c>
      <c r="P104" s="47" t="n">
        <v>7</v>
      </c>
      <c r="Q104" s="66" t="s">
        <v>345</v>
      </c>
    </row>
    <row r="105" customFormat="false" ht="15" hidden="false" customHeight="false" outlineLevel="0" collapsed="false">
      <c r="A105" s="76" t="s">
        <v>189</v>
      </c>
      <c r="B105" s="76" t="s">
        <v>223</v>
      </c>
      <c r="C105" s="77" t="n">
        <v>2025</v>
      </c>
      <c r="D105" s="77" t="n">
        <v>2</v>
      </c>
      <c r="E105" s="78" t="n">
        <v>45504</v>
      </c>
      <c r="F105" s="76" t="s">
        <v>213</v>
      </c>
      <c r="G105" s="76" t="s">
        <v>214</v>
      </c>
      <c r="H105" s="76" t="s">
        <v>215</v>
      </c>
      <c r="I105" s="79" t="n">
        <v>25026</v>
      </c>
      <c r="J105" s="79" t="n">
        <v>5311</v>
      </c>
      <c r="K105" s="80" t="n">
        <v>1.89</v>
      </c>
      <c r="L105" s="79" t="n">
        <v>730</v>
      </c>
      <c r="M105" s="79" t="n">
        <v>-2894</v>
      </c>
      <c r="N105" s="80" t="n">
        <v>0.445</v>
      </c>
      <c r="O105" s="80" t="n">
        <v>113.680000305176</v>
      </c>
      <c r="P105" s="47" t="n">
        <v>8</v>
      </c>
      <c r="Q105" s="66" t="s">
        <v>346</v>
      </c>
    </row>
    <row r="106" customFormat="false" ht="15" hidden="false" customHeight="false" outlineLevel="0" collapsed="false">
      <c r="A106" s="76" t="s">
        <v>189</v>
      </c>
      <c r="B106" s="76" t="s">
        <v>225</v>
      </c>
      <c r="C106" s="77" t="n">
        <v>2025</v>
      </c>
      <c r="D106" s="77" t="n">
        <v>1</v>
      </c>
      <c r="E106" s="78" t="n">
        <v>45412</v>
      </c>
      <c r="F106" s="76" t="s">
        <v>213</v>
      </c>
      <c r="G106" s="76" t="s">
        <v>214</v>
      </c>
      <c r="H106" s="76" t="s">
        <v>215</v>
      </c>
      <c r="I106" s="79" t="n">
        <v>22244</v>
      </c>
      <c r="J106" s="79" t="n">
        <v>4851</v>
      </c>
      <c r="K106" s="80" t="n">
        <v>1.27</v>
      </c>
      <c r="L106" s="79" t="n">
        <v>733.5</v>
      </c>
      <c r="M106" s="79" t="n">
        <v>-2822</v>
      </c>
      <c r="N106" s="80" t="n">
        <v>0.445</v>
      </c>
      <c r="O106" s="80" t="n">
        <v>124.639999389648</v>
      </c>
      <c r="P106" s="47" t="n">
        <v>9</v>
      </c>
      <c r="Q106" s="66" t="s">
        <v>347</v>
      </c>
    </row>
    <row r="107" customFormat="false" ht="15" hidden="false" customHeight="false" outlineLevel="0" collapsed="false">
      <c r="A107" s="76" t="s">
        <v>189</v>
      </c>
      <c r="B107" s="76" t="s">
        <v>227</v>
      </c>
      <c r="C107" s="77" t="n">
        <v>2024</v>
      </c>
      <c r="D107" s="77" t="n">
        <v>4</v>
      </c>
      <c r="E107" s="78" t="n">
        <v>45322</v>
      </c>
      <c r="F107" s="76" t="s">
        <v>213</v>
      </c>
      <c r="G107" s="76" t="s">
        <v>214</v>
      </c>
      <c r="H107" s="76" t="s">
        <v>215</v>
      </c>
      <c r="I107" s="79" t="n">
        <v>88425</v>
      </c>
      <c r="J107" s="79" t="n">
        <v>20869</v>
      </c>
      <c r="K107" s="80" t="n">
        <v>2.2</v>
      </c>
      <c r="L107" s="79" t="n">
        <v>736</v>
      </c>
      <c r="M107" s="79" t="n">
        <v>-2227</v>
      </c>
      <c r="N107" s="80" t="n">
        <v>0.37</v>
      </c>
      <c r="O107" s="80" t="n">
        <v>82.879997253418</v>
      </c>
      <c r="P107" s="47" t="n">
        <v>10</v>
      </c>
      <c r="Q107" s="66" t="s">
        <v>348</v>
      </c>
    </row>
    <row r="108" customFormat="false" ht="15" hidden="false" customHeight="false" outlineLevel="0" collapsed="false">
      <c r="A108" s="76" t="s">
        <v>189</v>
      </c>
      <c r="B108" s="76" t="s">
        <v>229</v>
      </c>
      <c r="C108" s="77" t="n">
        <v>2024</v>
      </c>
      <c r="D108" s="77" t="n">
        <v>3</v>
      </c>
      <c r="E108" s="78" t="n">
        <v>45230</v>
      </c>
      <c r="F108" s="76" t="s">
        <v>213</v>
      </c>
      <c r="G108" s="76" t="s">
        <v>214</v>
      </c>
      <c r="H108" s="76" t="s">
        <v>215</v>
      </c>
      <c r="I108" s="79" t="n">
        <v>22251</v>
      </c>
      <c r="J108" s="79" t="n">
        <v>5148</v>
      </c>
      <c r="K108" s="80" t="n">
        <v>1.88</v>
      </c>
      <c r="L108" s="79" t="n">
        <v>737.25</v>
      </c>
      <c r="M108" s="79" t="n">
        <v>-2664</v>
      </c>
      <c r="N108" s="80" t="n">
        <v>0.37</v>
      </c>
      <c r="O108" s="80" t="n">
        <v>66.9100036621094</v>
      </c>
      <c r="P108" s="47" t="n">
        <v>11</v>
      </c>
      <c r="Q108" s="66" t="s">
        <v>349</v>
      </c>
    </row>
    <row r="109" customFormat="false" ht="15" hidden="false" customHeight="false" outlineLevel="0" collapsed="false">
      <c r="A109" s="76" t="s">
        <v>189</v>
      </c>
      <c r="B109" s="76" t="s">
        <v>231</v>
      </c>
      <c r="C109" s="77" t="n">
        <v>2024</v>
      </c>
      <c r="D109" s="77" t="n">
        <v>2</v>
      </c>
      <c r="E109" s="78" t="n">
        <v>45138</v>
      </c>
      <c r="F109" s="76" t="s">
        <v>213</v>
      </c>
      <c r="G109" s="76" t="s">
        <v>214</v>
      </c>
      <c r="H109" s="76" t="s">
        <v>215</v>
      </c>
      <c r="I109" s="79" t="n">
        <v>22934</v>
      </c>
      <c r="J109" s="79" t="n">
        <v>5387</v>
      </c>
      <c r="K109" s="80" t="n">
        <v>1.74</v>
      </c>
      <c r="L109" s="79" t="n">
        <v>738</v>
      </c>
      <c r="M109" s="79" t="n">
        <v>-2772</v>
      </c>
      <c r="N109" s="80" t="n">
        <v>0.37</v>
      </c>
      <c r="O109" s="80" t="n">
        <v>52.9199981689453</v>
      </c>
      <c r="P109" s="47" t="n">
        <v>12</v>
      </c>
      <c r="Q109" s="66" t="s">
        <v>350</v>
      </c>
    </row>
    <row r="110" customFormat="false" ht="15" hidden="false" customHeight="false" outlineLevel="0" collapsed="false">
      <c r="A110" s="76" t="s">
        <v>189</v>
      </c>
      <c r="B110" s="76" t="s">
        <v>233</v>
      </c>
      <c r="C110" s="77" t="n">
        <v>2024</v>
      </c>
      <c r="D110" s="77" t="n">
        <v>1</v>
      </c>
      <c r="E110" s="78" t="n">
        <v>45046</v>
      </c>
      <c r="F110" s="76" t="s">
        <v>213</v>
      </c>
      <c r="G110" s="76" t="s">
        <v>214</v>
      </c>
      <c r="H110" s="76" t="s">
        <v>215</v>
      </c>
      <c r="I110" s="79" t="n">
        <v>20922</v>
      </c>
      <c r="J110" s="79" t="n">
        <v>5018</v>
      </c>
      <c r="K110" s="80" t="n">
        <v>1.31</v>
      </c>
      <c r="L110" s="79" t="n">
        <v>737</v>
      </c>
      <c r="M110" s="79" t="n">
        <v>-3023</v>
      </c>
      <c r="N110" s="80" t="n">
        <v>0.37</v>
      </c>
      <c r="O110" s="80" t="n">
        <v>43.4900016784668</v>
      </c>
      <c r="P110" s="47" t="n">
        <v>13</v>
      </c>
      <c r="Q110" s="66" t="s">
        <v>351</v>
      </c>
    </row>
    <row r="111" customFormat="false" ht="15" hidden="false" customHeight="false" outlineLevel="0" collapsed="false">
      <c r="A111" s="76" t="s">
        <v>189</v>
      </c>
      <c r="B111" s="76" t="s">
        <v>235</v>
      </c>
      <c r="C111" s="77" t="n">
        <v>2023</v>
      </c>
      <c r="D111" s="77" t="n">
        <v>4</v>
      </c>
      <c r="E111" s="78" t="n">
        <v>44957</v>
      </c>
      <c r="F111" s="76" t="s">
        <v>213</v>
      </c>
      <c r="G111" s="76" t="s">
        <v>214</v>
      </c>
      <c r="H111" s="76" t="s">
        <v>215</v>
      </c>
      <c r="I111" s="79" t="n">
        <v>25039</v>
      </c>
      <c r="J111" s="79" t="n">
        <v>5756</v>
      </c>
      <c r="K111" s="80" t="n">
        <v>1.8</v>
      </c>
      <c r="L111" s="79"/>
      <c r="M111" s="79" t="n">
        <v>-3122</v>
      </c>
      <c r="N111" s="80" t="n">
        <v>0.33</v>
      </c>
      <c r="O111" s="80" t="n">
        <v>40.6199989318848</v>
      </c>
      <c r="P111" s="47" t="n">
        <v>14</v>
      </c>
      <c r="Q111" s="66" t="s">
        <v>352</v>
      </c>
    </row>
    <row r="112" customFormat="false" ht="15" hidden="false" customHeight="false" outlineLevel="0" collapsed="false">
      <c r="A112" s="76" t="s">
        <v>189</v>
      </c>
      <c r="B112" s="76" t="s">
        <v>237</v>
      </c>
      <c r="C112" s="77" t="n">
        <v>2023</v>
      </c>
      <c r="D112" s="77" t="n">
        <v>3</v>
      </c>
      <c r="E112" s="78" t="n">
        <v>44865</v>
      </c>
      <c r="F112" s="76" t="s">
        <v>213</v>
      </c>
      <c r="G112" s="76" t="s">
        <v>214</v>
      </c>
      <c r="H112" s="76" t="s">
        <v>215</v>
      </c>
      <c r="I112" s="79" t="n">
        <v>24721</v>
      </c>
      <c r="J112" s="79" t="n">
        <v>5707</v>
      </c>
      <c r="K112" s="80" t="n">
        <v>2.3</v>
      </c>
      <c r="L112" s="79" t="n">
        <v>743</v>
      </c>
      <c r="M112" s="79" t="n">
        <v>-2772</v>
      </c>
      <c r="N112" s="80" t="n">
        <v>0.33</v>
      </c>
      <c r="O112" s="80" t="n">
        <v>38.4000015258789</v>
      </c>
      <c r="P112" s="47" t="n">
        <v>15</v>
      </c>
      <c r="Q112" s="66" t="s">
        <v>353</v>
      </c>
    </row>
    <row r="113" customFormat="false" ht="15" hidden="false" customHeight="false" outlineLevel="0" collapsed="false">
      <c r="A113" s="76" t="s">
        <v>189</v>
      </c>
      <c r="B113" s="76" t="s">
        <v>239</v>
      </c>
      <c r="C113" s="77" t="n">
        <v>2023</v>
      </c>
      <c r="D113" s="77" t="n">
        <v>2</v>
      </c>
      <c r="E113" s="78" t="n">
        <v>44773</v>
      </c>
      <c r="F113" s="76" t="s">
        <v>213</v>
      </c>
      <c r="G113" s="76" t="s">
        <v>214</v>
      </c>
      <c r="H113" s="76" t="s">
        <v>215</v>
      </c>
      <c r="I113" s="79" t="n">
        <v>26425</v>
      </c>
      <c r="J113" s="79" t="n">
        <v>5439</v>
      </c>
      <c r="K113" s="80" t="n">
        <v>1.68</v>
      </c>
      <c r="L113" s="79" t="n">
        <v>755</v>
      </c>
      <c r="M113" s="79" t="n">
        <v>-2860</v>
      </c>
      <c r="N113" s="80" t="n">
        <v>0.33</v>
      </c>
      <c r="O113" s="80" t="n">
        <v>45.060001373291</v>
      </c>
      <c r="P113" s="47" t="n">
        <v>16</v>
      </c>
      <c r="Q113" s="66" t="s">
        <v>354</v>
      </c>
    </row>
    <row r="114" customFormat="false" ht="15" hidden="false" customHeight="false" outlineLevel="0" collapsed="false">
      <c r="A114" s="76" t="s">
        <v>189</v>
      </c>
      <c r="B114" s="76" t="s">
        <v>241</v>
      </c>
      <c r="C114" s="77" t="n">
        <v>2023</v>
      </c>
      <c r="D114" s="77" t="n">
        <v>1</v>
      </c>
      <c r="E114" s="78" t="n">
        <v>44681</v>
      </c>
      <c r="F114" s="76" t="s">
        <v>213</v>
      </c>
      <c r="G114" s="76" t="s">
        <v>214</v>
      </c>
      <c r="H114" s="76" t="s">
        <v>215</v>
      </c>
      <c r="I114" s="79" t="n">
        <v>26116</v>
      </c>
      <c r="J114" s="79" t="n">
        <v>5784</v>
      </c>
      <c r="K114" s="80" t="n">
        <v>1.84</v>
      </c>
      <c r="L114" s="79" t="n">
        <v>780</v>
      </c>
      <c r="M114" s="79" t="n">
        <v>-2462</v>
      </c>
      <c r="N114" s="80" t="n">
        <v>0.33</v>
      </c>
      <c r="O114" s="80" t="n">
        <v>47.0099983215332</v>
      </c>
      <c r="P114" s="47" t="n">
        <v>17</v>
      </c>
      <c r="Q114" s="66" t="s">
        <v>355</v>
      </c>
    </row>
    <row r="115" customFormat="false" ht="15" hidden="false" customHeight="false" outlineLevel="0" collapsed="false">
      <c r="A115" s="76" t="s">
        <v>189</v>
      </c>
      <c r="B115" s="76" t="s">
        <v>243</v>
      </c>
      <c r="C115" s="77" t="n">
        <v>2022</v>
      </c>
      <c r="D115" s="77" t="n">
        <v>4</v>
      </c>
      <c r="E115" s="78" t="n">
        <v>44592</v>
      </c>
      <c r="F115" s="76" t="s">
        <v>213</v>
      </c>
      <c r="G115" s="76" t="s">
        <v>214</v>
      </c>
      <c r="H115" s="76" t="s">
        <v>215</v>
      </c>
      <c r="I115" s="79" t="n">
        <v>22194</v>
      </c>
      <c r="J115" s="79" t="n">
        <v>-1811</v>
      </c>
      <c r="K115" s="80" t="n">
        <v>1.72</v>
      </c>
      <c r="L115" s="79"/>
      <c r="M115" s="79" t="n">
        <v>-1685</v>
      </c>
      <c r="N115" s="80" t="n">
        <v>0</v>
      </c>
      <c r="O115" s="80" t="n">
        <v>56.810001373291</v>
      </c>
      <c r="P115" s="47" t="n">
        <v>18</v>
      </c>
      <c r="Q115" s="66" t="s">
        <v>356</v>
      </c>
    </row>
    <row r="116" customFormat="false" ht="15" hidden="false" customHeight="false" outlineLevel="0" collapsed="false">
      <c r="A116" s="76" t="s">
        <v>189</v>
      </c>
      <c r="B116" s="76" t="s">
        <v>245</v>
      </c>
      <c r="C116" s="77" t="n">
        <v>2022</v>
      </c>
      <c r="D116" s="77" t="n">
        <v>3</v>
      </c>
      <c r="E116" s="78" t="n">
        <v>44500</v>
      </c>
      <c r="F116" s="76" t="s">
        <v>213</v>
      </c>
      <c r="G116" s="76" t="s">
        <v>214</v>
      </c>
      <c r="H116" s="76" t="s">
        <v>215</v>
      </c>
      <c r="I116" s="79" t="n">
        <v>26424</v>
      </c>
      <c r="J116" s="79" t="n">
        <v>5534</v>
      </c>
      <c r="K116" s="80" t="n">
        <v>2.37</v>
      </c>
      <c r="L116" s="79" t="n">
        <v>788</v>
      </c>
      <c r="M116" s="79" t="n">
        <v>8954</v>
      </c>
      <c r="N116" s="80" t="n">
        <v>0</v>
      </c>
      <c r="O116" s="80" t="n">
        <v>55.7475929260254</v>
      </c>
      <c r="P116" s="47" t="n">
        <v>19</v>
      </c>
      <c r="Q116" s="66" t="s">
        <v>357</v>
      </c>
    </row>
    <row r="117" customFormat="false" ht="15" hidden="false" customHeight="false" outlineLevel="0" collapsed="false">
      <c r="A117" s="76" t="s">
        <v>189</v>
      </c>
      <c r="B117" s="76" t="s">
        <v>247</v>
      </c>
      <c r="C117" s="77" t="n">
        <v>2022</v>
      </c>
      <c r="D117" s="77" t="n">
        <v>2</v>
      </c>
      <c r="E117" s="78" t="n">
        <v>44408</v>
      </c>
      <c r="F117" s="76" t="s">
        <v>213</v>
      </c>
      <c r="G117" s="76" t="s">
        <v>214</v>
      </c>
      <c r="H117" s="76" t="s">
        <v>215</v>
      </c>
      <c r="I117" s="79" t="n">
        <v>24191</v>
      </c>
      <c r="J117" s="79" t="n">
        <v>5475</v>
      </c>
      <c r="K117" s="80" t="n">
        <v>2.24</v>
      </c>
      <c r="L117" s="79" t="n">
        <v>786</v>
      </c>
      <c r="M117" s="79" t="n">
        <v>4825</v>
      </c>
      <c r="N117" s="80" t="n">
        <v>0</v>
      </c>
      <c r="O117" s="80" t="n">
        <v>48.9711112976074</v>
      </c>
      <c r="P117" s="47" t="n">
        <v>20</v>
      </c>
      <c r="Q117" s="66" t="s">
        <v>358</v>
      </c>
    </row>
    <row r="118" customFormat="false" ht="15" hidden="false" customHeight="false" outlineLevel="0" collapsed="false">
      <c r="A118" s="76" t="s">
        <v>189</v>
      </c>
      <c r="B118" s="76" t="s">
        <v>249</v>
      </c>
      <c r="C118" s="77" t="n">
        <v>2022</v>
      </c>
      <c r="D118" s="77" t="n">
        <v>1</v>
      </c>
      <c r="E118" s="78" t="n">
        <v>44316</v>
      </c>
      <c r="F118" s="76" t="s">
        <v>213</v>
      </c>
      <c r="G118" s="76" t="s">
        <v>214</v>
      </c>
      <c r="H118" s="76" t="s">
        <v>215</v>
      </c>
      <c r="I118" s="79" t="n">
        <v>22590</v>
      </c>
      <c r="J118" s="79" t="n">
        <v>5264</v>
      </c>
      <c r="K118" s="80" t="n">
        <v>2.13</v>
      </c>
      <c r="L118" s="79" t="n">
        <v>782</v>
      </c>
      <c r="M118" s="79" t="n">
        <v>4045</v>
      </c>
      <c r="N118" s="80" t="n">
        <v>0</v>
      </c>
      <c r="O118" s="80" t="n">
        <v>49.8378105163574</v>
      </c>
      <c r="P118" s="47" t="n">
        <v>21</v>
      </c>
      <c r="Q118" s="66" t="s">
        <v>359</v>
      </c>
    </row>
    <row r="119" customFormat="false" ht="15" hidden="false" customHeight="false" outlineLevel="0" collapsed="false">
      <c r="A119" s="76" t="s">
        <v>189</v>
      </c>
      <c r="B119" s="76" t="s">
        <v>251</v>
      </c>
      <c r="C119" s="77" t="n">
        <v>2021</v>
      </c>
      <c r="D119" s="77" t="n">
        <v>4</v>
      </c>
      <c r="E119" s="78" t="n">
        <v>44227</v>
      </c>
      <c r="F119" s="76" t="s">
        <v>213</v>
      </c>
      <c r="G119" s="76" t="s">
        <v>214</v>
      </c>
      <c r="H119" s="76" t="s">
        <v>215</v>
      </c>
      <c r="I119" s="79" t="n">
        <v>26112</v>
      </c>
      <c r="J119" s="79" t="n">
        <v>8147</v>
      </c>
      <c r="K119" s="80" t="n">
        <v>2.7</v>
      </c>
      <c r="L119" s="79"/>
      <c r="M119" s="79" t="n">
        <v>2951</v>
      </c>
      <c r="N119" s="80" t="n">
        <v>0</v>
      </c>
      <c r="O119" s="80" t="n">
        <v>36.9437408447266</v>
      </c>
      <c r="P119" s="47" t="n">
        <v>22</v>
      </c>
      <c r="Q119" s="66" t="s">
        <v>360</v>
      </c>
    </row>
    <row r="120" customFormat="false" ht="15" hidden="false" customHeight="false" outlineLevel="0" collapsed="false">
      <c r="A120" s="76" t="s">
        <v>189</v>
      </c>
      <c r="B120" s="76" t="s">
        <v>253</v>
      </c>
      <c r="C120" s="77" t="n">
        <v>2021</v>
      </c>
      <c r="D120" s="77" t="n">
        <v>3</v>
      </c>
      <c r="E120" s="78" t="n">
        <v>44135</v>
      </c>
      <c r="F120" s="76" t="s">
        <v>213</v>
      </c>
      <c r="G120" s="76" t="s">
        <v>214</v>
      </c>
      <c r="H120" s="76" t="s">
        <v>215</v>
      </c>
      <c r="I120" s="79" t="n">
        <v>23482</v>
      </c>
      <c r="J120" s="79" t="n">
        <v>7261</v>
      </c>
      <c r="K120" s="80" t="n">
        <v>2.03</v>
      </c>
      <c r="L120" s="79" t="n">
        <v>771</v>
      </c>
      <c r="M120" s="79" t="n">
        <v>1410</v>
      </c>
      <c r="N120" s="80" t="n">
        <v>0</v>
      </c>
      <c r="O120" s="80" t="n">
        <v>30.5423202514648</v>
      </c>
      <c r="P120" s="47" t="n">
        <v>23</v>
      </c>
      <c r="Q120" s="66" t="s">
        <v>361</v>
      </c>
    </row>
    <row r="121" customFormat="false" ht="15" hidden="false" customHeight="false" outlineLevel="0" collapsed="false">
      <c r="A121" s="76" t="s">
        <v>189</v>
      </c>
      <c r="B121" s="76" t="s">
        <v>255</v>
      </c>
      <c r="C121" s="77" t="n">
        <v>2021</v>
      </c>
      <c r="D121" s="77" t="n">
        <v>2</v>
      </c>
      <c r="E121" s="78" t="n">
        <v>44043</v>
      </c>
      <c r="F121" s="76" t="s">
        <v>213</v>
      </c>
      <c r="G121" s="76" t="s">
        <v>214</v>
      </c>
      <c r="H121" s="76" t="s">
        <v>215</v>
      </c>
      <c r="I121" s="79" t="n">
        <v>22733</v>
      </c>
      <c r="J121" s="79" t="n">
        <v>7156</v>
      </c>
      <c r="K121" s="80" t="n">
        <v>1.92</v>
      </c>
      <c r="L121" s="79" t="n">
        <v>761</v>
      </c>
      <c r="M121" s="79" t="n">
        <v>191</v>
      </c>
      <c r="N121" s="80"/>
      <c r="O121" s="80" t="n">
        <v>30.3243789672852</v>
      </c>
      <c r="P121" s="47" t="n">
        <v>24</v>
      </c>
      <c r="Q121" s="66" t="s">
        <v>362</v>
      </c>
    </row>
    <row r="122" customFormat="false" ht="15" hidden="false" customHeight="false" outlineLevel="0" collapsed="false">
      <c r="A122" s="76" t="s">
        <v>191</v>
      </c>
      <c r="B122" s="76" t="s">
        <v>212</v>
      </c>
      <c r="C122" s="77" t="n">
        <v>2026</v>
      </c>
      <c r="D122" s="77" t="n">
        <v>2</v>
      </c>
      <c r="E122" s="78" t="n">
        <v>46203</v>
      </c>
      <c r="F122" s="76" t="s">
        <v>213</v>
      </c>
      <c r="G122" s="76" t="s">
        <v>214</v>
      </c>
      <c r="H122" s="76" t="s">
        <v>215</v>
      </c>
      <c r="I122" s="79" t="n">
        <v>445.529</v>
      </c>
      <c r="J122" s="79" t="n">
        <v>147.566</v>
      </c>
      <c r="K122" s="80" t="n">
        <v>0.7</v>
      </c>
      <c r="L122" s="79" t="n">
        <v>46.446</v>
      </c>
      <c r="M122" s="79" t="n">
        <v>1952.301</v>
      </c>
      <c r="N122" s="80"/>
      <c r="O122" s="80" t="n">
        <v>109.440002441406</v>
      </c>
      <c r="P122" s="47" t="n">
        <v>1</v>
      </c>
      <c r="Q122" s="66" t="s">
        <v>363</v>
      </c>
    </row>
    <row r="123" customFormat="false" ht="15" hidden="false" customHeight="false" outlineLevel="0" collapsed="false">
      <c r="A123" s="76" t="s">
        <v>191</v>
      </c>
      <c r="B123" s="76" t="s">
        <v>217</v>
      </c>
      <c r="C123" s="77" t="n">
        <v>2026</v>
      </c>
      <c r="D123" s="77" t="n">
        <v>1</v>
      </c>
      <c r="E123" s="78" t="n">
        <v>46112</v>
      </c>
      <c r="F123" s="76" t="s">
        <v>213</v>
      </c>
      <c r="G123" s="76" t="s">
        <v>214</v>
      </c>
      <c r="H123" s="76" t="s">
        <v>215</v>
      </c>
      <c r="I123" s="79" t="n">
        <v>405.467</v>
      </c>
      <c r="J123" s="79" t="n">
        <v>128.792</v>
      </c>
      <c r="K123" s="80" t="n">
        <v>0.43</v>
      </c>
      <c r="L123" s="79" t="n">
        <v>46.138</v>
      </c>
      <c r="M123" s="79" t="n">
        <v>1889.406</v>
      </c>
      <c r="N123" s="80"/>
      <c r="O123" s="80" t="n">
        <v>68.2600021362305</v>
      </c>
      <c r="P123" s="47" t="n">
        <v>2</v>
      </c>
      <c r="Q123" s="66" t="s">
        <v>364</v>
      </c>
    </row>
    <row r="124" customFormat="false" ht="15" hidden="false" customHeight="false" outlineLevel="0" collapsed="false">
      <c r="A124" s="76" t="s">
        <v>191</v>
      </c>
      <c r="B124" s="76" t="s">
        <v>219</v>
      </c>
      <c r="C124" s="77" t="n">
        <v>2025</v>
      </c>
      <c r="D124" s="77" t="n">
        <v>4</v>
      </c>
      <c r="E124" s="78" t="n">
        <v>46022</v>
      </c>
      <c r="F124" s="76" t="s">
        <v>213</v>
      </c>
      <c r="G124" s="76" t="s">
        <v>214</v>
      </c>
      <c r="H124" s="76" t="s">
        <v>215</v>
      </c>
      <c r="I124" s="79" t="n">
        <v>391.578</v>
      </c>
      <c r="J124" s="79" t="n">
        <v>121.93</v>
      </c>
      <c r="K124" s="80" t="n">
        <v>0.34</v>
      </c>
      <c r="L124" s="79" t="n">
        <v>46.251</v>
      </c>
      <c r="M124" s="79" t="n">
        <v>1878.124</v>
      </c>
      <c r="N124" s="80"/>
      <c r="O124" s="80" t="n">
        <v>49.3400001525879</v>
      </c>
      <c r="P124" s="47" t="n">
        <v>3</v>
      </c>
      <c r="Q124" s="66" t="s">
        <v>365</v>
      </c>
    </row>
    <row r="125" customFormat="false" ht="15" hidden="false" customHeight="false" outlineLevel="0" collapsed="false">
      <c r="A125" s="76" t="s">
        <v>191</v>
      </c>
      <c r="B125" s="76" t="s">
        <v>221</v>
      </c>
      <c r="C125" s="77" t="n">
        <v>2025</v>
      </c>
      <c r="D125" s="77" t="n">
        <v>3</v>
      </c>
      <c r="E125" s="78" t="n">
        <v>45930</v>
      </c>
      <c r="F125" s="76" t="s">
        <v>213</v>
      </c>
      <c r="G125" s="76" t="s">
        <v>214</v>
      </c>
      <c r="H125" s="76" t="s">
        <v>215</v>
      </c>
      <c r="I125" s="79" t="n">
        <v>392.17</v>
      </c>
      <c r="J125" s="79" t="n">
        <v>120.488</v>
      </c>
      <c r="K125" s="80" t="n">
        <v>0.37</v>
      </c>
      <c r="L125" s="79" t="n">
        <v>46.437</v>
      </c>
      <c r="M125" s="79" t="n">
        <v>1889.154</v>
      </c>
      <c r="N125" s="80"/>
      <c r="O125" s="80" t="n">
        <v>53.2099990844727</v>
      </c>
      <c r="P125" s="47" t="n">
        <v>4</v>
      </c>
      <c r="Q125" s="66" t="s">
        <v>366</v>
      </c>
    </row>
    <row r="126" customFormat="false" ht="15" hidden="false" customHeight="false" outlineLevel="0" collapsed="false">
      <c r="A126" s="76" t="s">
        <v>191</v>
      </c>
      <c r="B126" s="76" t="s">
        <v>223</v>
      </c>
      <c r="C126" s="77" t="n">
        <v>2025</v>
      </c>
      <c r="D126" s="77" t="n">
        <v>2</v>
      </c>
      <c r="E126" s="78" t="n">
        <v>45838</v>
      </c>
      <c r="F126" s="76" t="s">
        <v>213</v>
      </c>
      <c r="G126" s="76" t="s">
        <v>214</v>
      </c>
      <c r="H126" s="76" t="s">
        <v>215</v>
      </c>
      <c r="I126" s="79" t="n">
        <v>366.212</v>
      </c>
      <c r="J126" s="79" t="n">
        <v>115.324</v>
      </c>
      <c r="K126" s="80" t="n">
        <v>0.32</v>
      </c>
      <c r="L126" s="79" t="n">
        <v>46.462</v>
      </c>
      <c r="M126" s="79" t="n">
        <v>1877.103</v>
      </c>
      <c r="N126" s="80"/>
      <c r="O126" s="80" t="n">
        <v>52.8899993896484</v>
      </c>
      <c r="P126" s="47" t="n">
        <v>5</v>
      </c>
      <c r="Q126" s="66" t="s">
        <v>367</v>
      </c>
    </row>
    <row r="127" customFormat="false" ht="15" hidden="false" customHeight="false" outlineLevel="0" collapsed="false">
      <c r="A127" s="76" t="s">
        <v>191</v>
      </c>
      <c r="B127" s="76" t="s">
        <v>225</v>
      </c>
      <c r="C127" s="77" t="n">
        <v>2025</v>
      </c>
      <c r="D127" s="77" t="n">
        <v>1</v>
      </c>
      <c r="E127" s="78" t="n">
        <v>45747</v>
      </c>
      <c r="F127" s="76" t="s">
        <v>213</v>
      </c>
      <c r="G127" s="76" t="s">
        <v>214</v>
      </c>
      <c r="H127" s="76" t="s">
        <v>215</v>
      </c>
      <c r="I127" s="79" t="n">
        <v>332.113</v>
      </c>
      <c r="J127" s="79" t="n">
        <v>104.694</v>
      </c>
      <c r="K127" s="80" t="n">
        <v>0.19</v>
      </c>
      <c r="L127" s="79" t="n">
        <v>46.42925</v>
      </c>
      <c r="M127" s="79" t="n">
        <v>1801.218</v>
      </c>
      <c r="N127" s="80"/>
      <c r="O127" s="80" t="n">
        <v>43.1699981689453</v>
      </c>
      <c r="P127" s="47" t="n">
        <v>6</v>
      </c>
      <c r="Q127" s="66" t="s">
        <v>368</v>
      </c>
    </row>
    <row r="128" customFormat="false" ht="15" hidden="false" customHeight="false" outlineLevel="0" collapsed="false">
      <c r="A128" s="76" t="s">
        <v>191</v>
      </c>
      <c r="B128" s="76" t="s">
        <v>227</v>
      </c>
      <c r="C128" s="77" t="n">
        <v>2024</v>
      </c>
      <c r="D128" s="77" t="n">
        <v>4</v>
      </c>
      <c r="E128" s="78" t="n">
        <v>45657</v>
      </c>
      <c r="F128" s="76" t="s">
        <v>213</v>
      </c>
      <c r="G128" s="76" t="s">
        <v>214</v>
      </c>
      <c r="H128" s="76" t="s">
        <v>215</v>
      </c>
      <c r="I128" s="79" t="n">
        <v>339.298</v>
      </c>
      <c r="J128" s="79" t="n">
        <v>110.884</v>
      </c>
      <c r="K128" s="80" t="n">
        <v>0.27</v>
      </c>
      <c r="L128" s="79" t="n">
        <v>46.408</v>
      </c>
      <c r="M128" s="79" t="n">
        <v>1795.301</v>
      </c>
      <c r="N128" s="80"/>
      <c r="O128" s="80" t="n">
        <v>61.6699981689453</v>
      </c>
      <c r="P128" s="47" t="n">
        <v>7</v>
      </c>
      <c r="Q128" s="66" t="s">
        <v>369</v>
      </c>
    </row>
    <row r="129" customFormat="false" ht="15" hidden="false" customHeight="false" outlineLevel="0" collapsed="false">
      <c r="A129" s="76" t="s">
        <v>191</v>
      </c>
      <c r="B129" s="76" t="s">
        <v>229</v>
      </c>
      <c r="C129" s="77" t="n">
        <v>2024</v>
      </c>
      <c r="D129" s="77" t="n">
        <v>3</v>
      </c>
      <c r="E129" s="78" t="n">
        <v>45565</v>
      </c>
      <c r="F129" s="76" t="s">
        <v>213</v>
      </c>
      <c r="G129" s="76" t="s">
        <v>214</v>
      </c>
      <c r="H129" s="76" t="s">
        <v>215</v>
      </c>
      <c r="I129" s="79" t="n">
        <v>350.079</v>
      </c>
      <c r="J129" s="79" t="n">
        <v>118.008</v>
      </c>
      <c r="K129" s="80" t="n">
        <v>0.43</v>
      </c>
      <c r="L129" s="79" t="n">
        <v>46.3725</v>
      </c>
      <c r="M129" s="79" t="n">
        <v>1811.584</v>
      </c>
      <c r="N129" s="80"/>
      <c r="O129" s="80" t="n">
        <v>64.0899963378906</v>
      </c>
      <c r="P129" s="47" t="n">
        <v>8</v>
      </c>
      <c r="Q129" s="66" t="s">
        <v>370</v>
      </c>
    </row>
    <row r="130" customFormat="false" ht="15" hidden="false" customHeight="false" outlineLevel="0" collapsed="false">
      <c r="A130" s="76" t="s">
        <v>191</v>
      </c>
      <c r="B130" s="76" t="s">
        <v>231</v>
      </c>
      <c r="C130" s="77" t="n">
        <v>2024</v>
      </c>
      <c r="D130" s="77" t="n">
        <v>2</v>
      </c>
      <c r="E130" s="78" t="n">
        <v>45473</v>
      </c>
      <c r="F130" s="76" t="s">
        <v>213</v>
      </c>
      <c r="G130" s="76" t="s">
        <v>214</v>
      </c>
      <c r="H130" s="76" t="s">
        <v>215</v>
      </c>
      <c r="I130" s="79" t="n">
        <v>319.771</v>
      </c>
      <c r="J130" s="79" t="n">
        <v>107.386</v>
      </c>
      <c r="K130" s="80" t="n">
        <v>0.33</v>
      </c>
      <c r="L130" s="79" t="n">
        <v>46.3395</v>
      </c>
      <c r="M130" s="79" t="n">
        <v>1774.355</v>
      </c>
      <c r="N130" s="80"/>
      <c r="O130" s="80" t="n">
        <v>71.9300003051758</v>
      </c>
      <c r="P130" s="47" t="n">
        <v>9</v>
      </c>
      <c r="Q130" s="66" t="s">
        <v>371</v>
      </c>
    </row>
    <row r="131" customFormat="false" ht="15" hidden="false" customHeight="false" outlineLevel="0" collapsed="false">
      <c r="A131" s="76" t="s">
        <v>191</v>
      </c>
      <c r="B131" s="76" t="s">
        <v>233</v>
      </c>
      <c r="C131" s="77" t="n">
        <v>2024</v>
      </c>
      <c r="D131" s="77" t="n">
        <v>1</v>
      </c>
      <c r="E131" s="78" t="n">
        <v>45382</v>
      </c>
      <c r="F131" s="76" t="s">
        <v>213</v>
      </c>
      <c r="G131" s="76" t="s">
        <v>214</v>
      </c>
      <c r="H131" s="76" t="s">
        <v>215</v>
      </c>
      <c r="I131" s="79" t="n">
        <v>301.972</v>
      </c>
      <c r="J131" s="79" t="n">
        <v>99.584</v>
      </c>
      <c r="K131" s="80" t="n">
        <v>0.28</v>
      </c>
      <c r="L131" s="79" t="n">
        <v>46.342</v>
      </c>
      <c r="M131" s="79" t="n">
        <v>1748.59</v>
      </c>
      <c r="N131" s="80"/>
      <c r="O131" s="80" t="n">
        <v>70.5</v>
      </c>
      <c r="P131" s="47" t="n">
        <v>10</v>
      </c>
      <c r="Q131" s="66" t="s">
        <v>372</v>
      </c>
    </row>
    <row r="132" customFormat="false" ht="15" hidden="false" customHeight="false" outlineLevel="0" collapsed="false">
      <c r="A132" s="76" t="s">
        <v>191</v>
      </c>
      <c r="B132" s="76" t="s">
        <v>235</v>
      </c>
      <c r="C132" s="77" t="n">
        <v>2023</v>
      </c>
      <c r="D132" s="77" t="n">
        <v>4</v>
      </c>
      <c r="E132" s="78" t="n">
        <v>45291</v>
      </c>
      <c r="F132" s="76" t="s">
        <v>213</v>
      </c>
      <c r="G132" s="76" t="s">
        <v>214</v>
      </c>
      <c r="H132" s="76" t="s">
        <v>215</v>
      </c>
      <c r="I132" s="79" t="n">
        <v>322.699</v>
      </c>
      <c r="J132" s="79" t="n">
        <v>112.476</v>
      </c>
      <c r="K132" s="80" t="n">
        <v>0.51</v>
      </c>
      <c r="L132" s="79" t="n">
        <v>46.311</v>
      </c>
      <c r="M132" s="79" t="n">
        <v>1740.741</v>
      </c>
      <c r="N132" s="80"/>
      <c r="O132" s="80" t="n">
        <v>80.5199966430664</v>
      </c>
      <c r="P132" s="47" t="n">
        <v>11</v>
      </c>
      <c r="Q132" s="66" t="s">
        <v>373</v>
      </c>
    </row>
    <row r="133" customFormat="false" ht="15" hidden="false" customHeight="false" outlineLevel="0" collapsed="false">
      <c r="A133" s="76" t="s">
        <v>191</v>
      </c>
      <c r="B133" s="76" t="s">
        <v>237</v>
      </c>
      <c r="C133" s="77" t="n">
        <v>2023</v>
      </c>
      <c r="D133" s="77" t="n">
        <v>3</v>
      </c>
      <c r="E133" s="78" t="n">
        <v>45199</v>
      </c>
      <c r="F133" s="76" t="s">
        <v>213</v>
      </c>
      <c r="G133" s="76" t="s">
        <v>214</v>
      </c>
      <c r="H133" s="76" t="s">
        <v>215</v>
      </c>
      <c r="I133" s="79" t="n">
        <v>404.647</v>
      </c>
      <c r="J133" s="79" t="n">
        <v>155.876</v>
      </c>
      <c r="K133" s="80" t="n">
        <v>1.13</v>
      </c>
      <c r="L133" s="79" t="n">
        <v>46.3045</v>
      </c>
      <c r="M133" s="79" t="n">
        <v>1689.662</v>
      </c>
      <c r="N133" s="80"/>
      <c r="O133" s="80" t="n">
        <v>78.8399963378906</v>
      </c>
      <c r="P133" s="47" t="n">
        <v>12</v>
      </c>
      <c r="Q133" s="66" t="s">
        <v>374</v>
      </c>
    </row>
    <row r="134" customFormat="false" ht="15" hidden="false" customHeight="false" outlineLevel="0" collapsed="false">
      <c r="A134" s="76" t="s">
        <v>191</v>
      </c>
      <c r="B134" s="76" t="s">
        <v>239</v>
      </c>
      <c r="C134" s="77" t="n">
        <v>2023</v>
      </c>
      <c r="D134" s="77" t="n">
        <v>2</v>
      </c>
      <c r="E134" s="78" t="n">
        <v>45107</v>
      </c>
      <c r="F134" s="76" t="s">
        <v>213</v>
      </c>
      <c r="G134" s="76" t="s">
        <v>214</v>
      </c>
      <c r="H134" s="76" t="s">
        <v>215</v>
      </c>
      <c r="I134" s="79" t="n">
        <v>467.152</v>
      </c>
      <c r="J134" s="79" t="n">
        <v>195.376</v>
      </c>
      <c r="K134" s="80" t="n">
        <v>1.59</v>
      </c>
      <c r="L134" s="79" t="n">
        <v>46.243</v>
      </c>
      <c r="M134" s="79" t="n">
        <v>1662.48</v>
      </c>
      <c r="N134" s="80"/>
      <c r="O134" s="80" t="n">
        <v>92.4899978637695</v>
      </c>
      <c r="P134" s="47" t="n">
        <v>13</v>
      </c>
      <c r="Q134" s="66" t="s">
        <v>375</v>
      </c>
    </row>
    <row r="135" customFormat="false" ht="15" hidden="false" customHeight="false" outlineLevel="0" collapsed="false">
      <c r="A135" s="76" t="s">
        <v>191</v>
      </c>
      <c r="B135" s="76" t="s">
        <v>241</v>
      </c>
      <c r="C135" s="77" t="n">
        <v>2023</v>
      </c>
      <c r="D135" s="77" t="n">
        <v>1</v>
      </c>
      <c r="E135" s="78" t="n">
        <v>45016</v>
      </c>
      <c r="F135" s="76" t="s">
        <v>213</v>
      </c>
      <c r="G135" s="76" t="s">
        <v>214</v>
      </c>
      <c r="H135" s="76" t="s">
        <v>215</v>
      </c>
      <c r="I135" s="79" t="n">
        <v>467.241</v>
      </c>
      <c r="J135" s="79" t="n">
        <v>194.454</v>
      </c>
      <c r="K135" s="80" t="n">
        <v>1.59</v>
      </c>
      <c r="L135" s="79" t="n">
        <v>46.161</v>
      </c>
      <c r="M135" s="79" t="n">
        <v>1595.465</v>
      </c>
      <c r="N135" s="80"/>
      <c r="O135" s="80" t="n">
        <v>92.7600021362305</v>
      </c>
      <c r="P135" s="47" t="n">
        <v>14</v>
      </c>
      <c r="Q135" s="66" t="s">
        <v>376</v>
      </c>
    </row>
    <row r="136" customFormat="false" ht="15" hidden="false" customHeight="false" outlineLevel="0" collapsed="false">
      <c r="A136" s="76" t="s">
        <v>191</v>
      </c>
      <c r="B136" s="76" t="s">
        <v>243</v>
      </c>
      <c r="C136" s="77" t="n">
        <v>2022</v>
      </c>
      <c r="D136" s="77" t="n">
        <v>4</v>
      </c>
      <c r="E136" s="78" t="n">
        <v>44926</v>
      </c>
      <c r="F136" s="76" t="s">
        <v>213</v>
      </c>
      <c r="G136" s="76" t="s">
        <v>214</v>
      </c>
      <c r="H136" s="76" t="s">
        <v>215</v>
      </c>
      <c r="I136" s="79" t="n">
        <v>496.212</v>
      </c>
      <c r="J136" s="79" t="n">
        <v>206.196</v>
      </c>
      <c r="K136" s="80" t="n">
        <v>1.73</v>
      </c>
      <c r="L136" s="79"/>
      <c r="M136" s="79" t="n">
        <v>1513.645</v>
      </c>
      <c r="N136" s="80"/>
      <c r="O136" s="80" t="n">
        <v>76.1399993896484</v>
      </c>
      <c r="P136" s="47" t="n">
        <v>15</v>
      </c>
      <c r="Q136" s="66" t="s">
        <v>377</v>
      </c>
    </row>
    <row r="137" customFormat="false" ht="15" hidden="false" customHeight="false" outlineLevel="0" collapsed="false">
      <c r="A137" s="76" t="s">
        <v>191</v>
      </c>
      <c r="B137" s="76" t="s">
        <v>245</v>
      </c>
      <c r="C137" s="77" t="n">
        <v>2022</v>
      </c>
      <c r="D137" s="77" t="n">
        <v>3</v>
      </c>
      <c r="E137" s="78" t="n">
        <v>44834</v>
      </c>
      <c r="F137" s="76" t="s">
        <v>213</v>
      </c>
      <c r="G137" s="76" t="s">
        <v>214</v>
      </c>
      <c r="H137" s="76" t="s">
        <v>215</v>
      </c>
      <c r="I137" s="79" t="n">
        <v>521.273</v>
      </c>
      <c r="J137" s="79" t="n">
        <v>217.818</v>
      </c>
      <c r="K137" s="80" t="n">
        <v>2</v>
      </c>
      <c r="L137" s="79" t="n">
        <v>46.014</v>
      </c>
      <c r="M137" s="79" t="n">
        <v>1395.922</v>
      </c>
      <c r="N137" s="80"/>
      <c r="O137" s="80" t="n">
        <v>64.9100036621094</v>
      </c>
      <c r="P137" s="47" t="n">
        <v>16</v>
      </c>
      <c r="Q137" s="66" t="s">
        <v>378</v>
      </c>
    </row>
    <row r="138" customFormat="false" ht="15" hidden="false" customHeight="false" outlineLevel="0" collapsed="false">
      <c r="A138" s="76" t="s">
        <v>191</v>
      </c>
      <c r="B138" s="76" t="s">
        <v>247</v>
      </c>
      <c r="C138" s="77" t="n">
        <v>2022</v>
      </c>
      <c r="D138" s="77" t="n">
        <v>2</v>
      </c>
      <c r="E138" s="78" t="n">
        <v>44742</v>
      </c>
      <c r="F138" s="76" t="s">
        <v>213</v>
      </c>
      <c r="G138" s="76" t="s">
        <v>214</v>
      </c>
      <c r="H138" s="76" t="s">
        <v>215</v>
      </c>
      <c r="I138" s="79" t="n">
        <v>500.972</v>
      </c>
      <c r="J138" s="79" t="n">
        <v>206.526</v>
      </c>
      <c r="K138" s="80" t="n">
        <v>1.9</v>
      </c>
      <c r="L138" s="79" t="n">
        <v>45.841</v>
      </c>
      <c r="M138" s="79" t="n">
        <v>1353.319</v>
      </c>
      <c r="N138" s="80"/>
      <c r="O138" s="80" t="n">
        <v>64.5699996948242</v>
      </c>
      <c r="P138" s="47" t="n">
        <v>17</v>
      </c>
      <c r="Q138" s="66" t="s">
        <v>379</v>
      </c>
    </row>
    <row r="139" customFormat="false" ht="15" hidden="false" customHeight="false" outlineLevel="0" collapsed="false">
      <c r="A139" s="76" t="s">
        <v>191</v>
      </c>
      <c r="B139" s="76" t="s">
        <v>249</v>
      </c>
      <c r="C139" s="77" t="n">
        <v>2022</v>
      </c>
      <c r="D139" s="77" t="n">
        <v>1</v>
      </c>
      <c r="E139" s="78" t="n">
        <v>44651</v>
      </c>
      <c r="F139" s="76" t="s">
        <v>213</v>
      </c>
      <c r="G139" s="76" t="s">
        <v>214</v>
      </c>
      <c r="H139" s="76" t="s">
        <v>215</v>
      </c>
      <c r="I139" s="79" t="n">
        <v>482.123</v>
      </c>
      <c r="J139" s="79" t="n">
        <v>196.697</v>
      </c>
      <c r="K139" s="80" t="n">
        <v>1.75</v>
      </c>
      <c r="L139" s="79" t="n">
        <v>45.844</v>
      </c>
      <c r="M139" s="79" t="n">
        <v>1297.503</v>
      </c>
      <c r="N139" s="80"/>
      <c r="O139" s="80" t="n">
        <v>86.9899978637695</v>
      </c>
      <c r="P139" s="47" t="n">
        <v>18</v>
      </c>
      <c r="Q139" s="66" t="s">
        <v>380</v>
      </c>
    </row>
    <row r="140" customFormat="false" ht="15" hidden="false" customHeight="false" outlineLevel="0" collapsed="false">
      <c r="A140" s="76" t="s">
        <v>191</v>
      </c>
      <c r="B140" s="76" t="s">
        <v>251</v>
      </c>
      <c r="C140" s="77" t="n">
        <v>2021</v>
      </c>
      <c r="D140" s="77" t="n">
        <v>4</v>
      </c>
      <c r="E140" s="78" t="n">
        <v>44561</v>
      </c>
      <c r="F140" s="76" t="s">
        <v>213</v>
      </c>
      <c r="G140" s="76" t="s">
        <v>214</v>
      </c>
      <c r="H140" s="76" t="s">
        <v>215</v>
      </c>
      <c r="I140" s="79" t="n">
        <v>480.171</v>
      </c>
      <c r="J140" s="79" t="n">
        <v>190.691</v>
      </c>
      <c r="K140" s="80" t="n">
        <v>1.6</v>
      </c>
      <c r="L140" s="79"/>
      <c r="M140" s="79" t="n">
        <v>1237.242</v>
      </c>
      <c r="N140" s="80"/>
      <c r="O140" s="80" t="n">
        <v>109.809997558594</v>
      </c>
      <c r="P140" s="47" t="n">
        <v>19</v>
      </c>
      <c r="Q140" s="66" t="s">
        <v>381</v>
      </c>
    </row>
    <row r="141" customFormat="false" ht="15" hidden="false" customHeight="false" outlineLevel="0" collapsed="false">
      <c r="A141" s="76" t="s">
        <v>191</v>
      </c>
      <c r="B141" s="76" t="s">
        <v>253</v>
      </c>
      <c r="C141" s="77" t="n">
        <v>2021</v>
      </c>
      <c r="D141" s="77" t="n">
        <v>3</v>
      </c>
      <c r="E141" s="78" t="n">
        <v>44469</v>
      </c>
      <c r="F141" s="76" t="s">
        <v>213</v>
      </c>
      <c r="G141" s="76" t="s">
        <v>214</v>
      </c>
      <c r="H141" s="76" t="s">
        <v>215</v>
      </c>
      <c r="I141" s="79" t="n">
        <v>471.422</v>
      </c>
      <c r="J141" s="79" t="n">
        <v>181.231</v>
      </c>
      <c r="K141" s="80" t="n">
        <v>1.47</v>
      </c>
      <c r="L141" s="79" t="n">
        <v>45.642</v>
      </c>
      <c r="M141" s="79" t="n">
        <v>1156.063</v>
      </c>
      <c r="N141" s="80"/>
      <c r="O141" s="80" t="n">
        <v>90.5899963378906</v>
      </c>
      <c r="P141" s="47" t="n">
        <v>20</v>
      </c>
      <c r="Q141" s="66" t="s">
        <v>382</v>
      </c>
    </row>
    <row r="142" customFormat="false" ht="15" hidden="false" customHeight="false" outlineLevel="0" collapsed="false">
      <c r="A142" s="76" t="s">
        <v>191</v>
      </c>
      <c r="B142" s="76" t="s">
        <v>255</v>
      </c>
      <c r="C142" s="77" t="n">
        <v>2021</v>
      </c>
      <c r="D142" s="77" t="n">
        <v>2</v>
      </c>
      <c r="E142" s="78" t="n">
        <v>44377</v>
      </c>
      <c r="F142" s="76" t="s">
        <v>213</v>
      </c>
      <c r="G142" s="76" t="s">
        <v>214</v>
      </c>
      <c r="H142" s="76" t="s">
        <v>215</v>
      </c>
      <c r="I142" s="79" t="n">
        <v>440.448</v>
      </c>
      <c r="J142" s="79" t="n">
        <v>159.802</v>
      </c>
      <c r="K142" s="80" t="n">
        <v>1.2</v>
      </c>
      <c r="L142" s="79" t="n">
        <v>45.38</v>
      </c>
      <c r="M142" s="79" t="n">
        <v>1082.584</v>
      </c>
      <c r="N142" s="80"/>
      <c r="O142" s="80" t="n">
        <v>79.7699966430664</v>
      </c>
      <c r="P142" s="47" t="n">
        <v>21</v>
      </c>
      <c r="Q142" s="66" t="s">
        <v>383</v>
      </c>
    </row>
    <row r="143" customFormat="false" ht="15" hidden="false" customHeight="false" outlineLevel="0" collapsed="false">
      <c r="A143" s="76" t="s">
        <v>191</v>
      </c>
      <c r="B143" s="76" t="s">
        <v>257</v>
      </c>
      <c r="C143" s="77" t="n">
        <v>2021</v>
      </c>
      <c r="D143" s="77" t="n">
        <v>1</v>
      </c>
      <c r="E143" s="78" t="n">
        <v>44286</v>
      </c>
      <c r="F143" s="76" t="s">
        <v>213</v>
      </c>
      <c r="G143" s="76" t="s">
        <v>214</v>
      </c>
      <c r="H143" s="76" t="s">
        <v>215</v>
      </c>
      <c r="I143" s="79" t="n">
        <v>413.121</v>
      </c>
      <c r="J143" s="79" t="n">
        <v>138.636</v>
      </c>
      <c r="K143" s="80" t="n">
        <v>0.93</v>
      </c>
      <c r="L143" s="79" t="n">
        <v>45.243</v>
      </c>
      <c r="M143" s="79" t="n">
        <v>1002.569</v>
      </c>
      <c r="N143" s="80"/>
      <c r="O143" s="80" t="n">
        <v>79.8399963378906</v>
      </c>
      <c r="P143" s="47" t="n">
        <v>22</v>
      </c>
      <c r="Q143" s="66" t="s">
        <v>384</v>
      </c>
    </row>
    <row r="144" customFormat="false" ht="15" hidden="false" customHeight="false" outlineLevel="0" collapsed="false">
      <c r="A144" s="76" t="s">
        <v>191</v>
      </c>
      <c r="B144" s="76" t="s">
        <v>259</v>
      </c>
      <c r="C144" s="77" t="n">
        <v>2020</v>
      </c>
      <c r="D144" s="77" t="n">
        <v>4</v>
      </c>
      <c r="E144" s="78" t="n">
        <v>44196</v>
      </c>
      <c r="F144" s="76" t="s">
        <v>213</v>
      </c>
      <c r="G144" s="76" t="s">
        <v>214</v>
      </c>
      <c r="H144" s="76" t="s">
        <v>215</v>
      </c>
      <c r="I144" s="79" t="n">
        <v>350.37</v>
      </c>
      <c r="J144" s="79" t="n">
        <v>122.697</v>
      </c>
      <c r="K144" s="80" t="n">
        <v>0.74</v>
      </c>
      <c r="L144" s="79"/>
      <c r="M144" s="79" t="n">
        <v>963.82</v>
      </c>
      <c r="N144" s="80"/>
      <c r="O144" s="80" t="n">
        <v>70.5</v>
      </c>
      <c r="P144" s="47" t="n">
        <v>23</v>
      </c>
      <c r="Q144" s="66" t="s">
        <v>385</v>
      </c>
    </row>
    <row r="145" customFormat="false" ht="15" hidden="false" customHeight="false" outlineLevel="0" collapsed="false">
      <c r="A145" s="76" t="s">
        <v>191</v>
      </c>
      <c r="B145" s="76" t="s">
        <v>261</v>
      </c>
      <c r="C145" s="77" t="n">
        <v>2020</v>
      </c>
      <c r="D145" s="77" t="n">
        <v>3</v>
      </c>
      <c r="E145" s="78" t="n">
        <v>44104</v>
      </c>
      <c r="F145" s="76" t="s">
        <v>213</v>
      </c>
      <c r="G145" s="76" t="s">
        <v>214</v>
      </c>
      <c r="H145" s="76" t="s">
        <v>215</v>
      </c>
      <c r="I145" s="79" t="n">
        <v>309.459</v>
      </c>
      <c r="J145" s="79" t="n">
        <v>111.09</v>
      </c>
      <c r="K145" s="80" t="n">
        <v>0.62</v>
      </c>
      <c r="L145" s="79" t="n">
        <v>52.729</v>
      </c>
      <c r="M145" s="79" t="n">
        <v>1198.573</v>
      </c>
      <c r="N145" s="80"/>
      <c r="O145" s="80" t="n">
        <v>56.4500007629395</v>
      </c>
      <c r="P145" s="47" t="n">
        <v>24</v>
      </c>
      <c r="Q145" s="66" t="s">
        <v>386</v>
      </c>
    </row>
    <row r="146" customFormat="false" ht="15" hidden="false" customHeight="false" outlineLevel="0" collapsed="false">
      <c r="A146" s="76" t="s">
        <v>181</v>
      </c>
      <c r="B146" s="76" t="s">
        <v>312</v>
      </c>
      <c r="C146" s="77" t="n">
        <v>2027</v>
      </c>
      <c r="D146" s="77" t="n">
        <v>2</v>
      </c>
      <c r="E146" s="78" t="n">
        <v>46234</v>
      </c>
      <c r="F146" s="76" t="s">
        <v>213</v>
      </c>
      <c r="G146" s="76" t="s">
        <v>214</v>
      </c>
      <c r="H146" s="76" t="s">
        <v>215</v>
      </c>
      <c r="I146" s="79" t="n">
        <v>2739.3</v>
      </c>
      <c r="J146" s="79" t="n">
        <v>1455.6</v>
      </c>
      <c r="K146" s="80" t="n">
        <v>0.94</v>
      </c>
      <c r="L146" s="79" t="n">
        <v>921.2</v>
      </c>
      <c r="M146" s="79" t="n">
        <v>18531.6</v>
      </c>
      <c r="N146" s="80" t="n">
        <v>0.06</v>
      </c>
      <c r="O146" s="80" t="n">
        <v>187.559997558594</v>
      </c>
      <c r="P146" s="47" t="n">
        <v>1</v>
      </c>
      <c r="Q146" s="66" t="s">
        <v>387</v>
      </c>
    </row>
    <row r="147" customFormat="false" ht="15" hidden="false" customHeight="false" outlineLevel="0" collapsed="false">
      <c r="A147" s="76" t="s">
        <v>181</v>
      </c>
      <c r="B147" s="76" t="s">
        <v>314</v>
      </c>
      <c r="C147" s="77" t="n">
        <v>2027</v>
      </c>
      <c r="D147" s="77" t="n">
        <v>1</v>
      </c>
      <c r="E147" s="78" t="n">
        <v>46142</v>
      </c>
      <c r="F147" s="76" t="s">
        <v>213</v>
      </c>
      <c r="G147" s="76" t="s">
        <v>214</v>
      </c>
      <c r="H147" s="76" t="s">
        <v>215</v>
      </c>
      <c r="I147" s="79" t="n">
        <v>2417.8</v>
      </c>
      <c r="J147" s="79" t="n">
        <v>1260.8</v>
      </c>
      <c r="K147" s="80" t="n">
        <v>0.8</v>
      </c>
      <c r="L147" s="79" t="n">
        <v>893.3</v>
      </c>
      <c r="M147" s="79" t="n">
        <v>18215.8</v>
      </c>
      <c r="N147" s="80" t="n">
        <v>0.06</v>
      </c>
      <c r="O147" s="80" t="n">
        <v>165.149993896484</v>
      </c>
      <c r="P147" s="47" t="n">
        <v>2</v>
      </c>
      <c r="Q147" s="66" t="s">
        <v>388</v>
      </c>
    </row>
    <row r="148" customFormat="false" ht="15" hidden="false" customHeight="false" outlineLevel="0" collapsed="false">
      <c r="A148" s="76" t="s">
        <v>181</v>
      </c>
      <c r="B148" s="76" t="s">
        <v>316</v>
      </c>
      <c r="C148" s="77" t="n">
        <v>2026</v>
      </c>
      <c r="D148" s="77" t="n">
        <v>4</v>
      </c>
      <c r="E148" s="78" t="n">
        <v>46053</v>
      </c>
      <c r="F148" s="76" t="s">
        <v>213</v>
      </c>
      <c r="G148" s="76" t="s">
        <v>214</v>
      </c>
      <c r="H148" s="76" t="s">
        <v>215</v>
      </c>
      <c r="I148" s="79" t="n">
        <v>2218.7</v>
      </c>
      <c r="J148" s="79" t="n">
        <v>1147.9</v>
      </c>
      <c r="K148" s="80" t="n">
        <v>0.8</v>
      </c>
      <c r="L148" s="79" t="n">
        <v>856.2</v>
      </c>
      <c r="M148" s="79" t="n">
        <v>14308.4</v>
      </c>
      <c r="N148" s="80" t="n">
        <v>0.06</v>
      </c>
      <c r="O148" s="80" t="n">
        <v>78.9199981689453</v>
      </c>
      <c r="P148" s="47" t="n">
        <v>3</v>
      </c>
      <c r="Q148" s="66" t="s">
        <v>389</v>
      </c>
    </row>
    <row r="149" customFormat="false" ht="15" hidden="false" customHeight="false" outlineLevel="0" collapsed="false">
      <c r="A149" s="76" t="s">
        <v>181</v>
      </c>
      <c r="B149" s="76" t="s">
        <v>263</v>
      </c>
      <c r="C149" s="77" t="n">
        <v>2026</v>
      </c>
      <c r="D149" s="77" t="n">
        <v>3</v>
      </c>
      <c r="E149" s="78" t="n">
        <v>45961</v>
      </c>
      <c r="F149" s="76" t="s">
        <v>213</v>
      </c>
      <c r="G149" s="76" t="s">
        <v>214</v>
      </c>
      <c r="H149" s="76" t="s">
        <v>215</v>
      </c>
      <c r="I149" s="79" t="n">
        <v>2074.5</v>
      </c>
      <c r="J149" s="79" t="n">
        <v>1069.8</v>
      </c>
      <c r="K149" s="80" t="n">
        <v>0.76</v>
      </c>
      <c r="L149" s="79" t="n">
        <v>863.7</v>
      </c>
      <c r="M149" s="79" t="n">
        <v>14056.6</v>
      </c>
      <c r="N149" s="80" t="n">
        <v>0.06</v>
      </c>
      <c r="O149" s="80" t="n">
        <v>93.7399978637695</v>
      </c>
      <c r="P149" s="47" t="n">
        <v>4</v>
      </c>
      <c r="Q149" s="66" t="s">
        <v>390</v>
      </c>
    </row>
    <row r="150" customFormat="false" ht="15" hidden="false" customHeight="false" outlineLevel="0" collapsed="false">
      <c r="A150" s="76" t="s">
        <v>181</v>
      </c>
      <c r="B150" s="76" t="s">
        <v>212</v>
      </c>
      <c r="C150" s="77" t="n">
        <v>2026</v>
      </c>
      <c r="D150" s="77" t="n">
        <v>2</v>
      </c>
      <c r="E150" s="78" t="n">
        <v>45869</v>
      </c>
      <c r="F150" s="76" t="s">
        <v>213</v>
      </c>
      <c r="G150" s="76" t="s">
        <v>214</v>
      </c>
      <c r="H150" s="76" t="s">
        <v>215</v>
      </c>
      <c r="I150" s="79" t="n">
        <v>2006.1</v>
      </c>
      <c r="J150" s="79" t="n">
        <v>1010.6</v>
      </c>
      <c r="K150" s="80" t="n">
        <v>0.67</v>
      </c>
      <c r="L150" s="79" t="n">
        <v>870.4</v>
      </c>
      <c r="M150" s="79" t="n">
        <v>13421.7</v>
      </c>
      <c r="N150" s="80" t="n">
        <v>0.06</v>
      </c>
      <c r="O150" s="80" t="n">
        <v>80.370002746582</v>
      </c>
      <c r="P150" s="47" t="n">
        <v>5</v>
      </c>
      <c r="Q150" s="66" t="s">
        <v>391</v>
      </c>
    </row>
    <row r="151" customFormat="false" ht="15" hidden="false" customHeight="false" outlineLevel="0" collapsed="false">
      <c r="A151" s="76" t="s">
        <v>181</v>
      </c>
      <c r="B151" s="76" t="s">
        <v>217</v>
      </c>
      <c r="C151" s="77" t="n">
        <v>2026</v>
      </c>
      <c r="D151" s="77" t="n">
        <v>1</v>
      </c>
      <c r="E151" s="78" t="n">
        <v>45777</v>
      </c>
      <c r="F151" s="76" t="s">
        <v>213</v>
      </c>
      <c r="G151" s="76" t="s">
        <v>214</v>
      </c>
      <c r="H151" s="76" t="s">
        <v>215</v>
      </c>
      <c r="I151" s="79" t="n">
        <v>1895.3</v>
      </c>
      <c r="J151" s="79" t="n">
        <v>952.4</v>
      </c>
      <c r="K151" s="80" t="n">
        <v>0.62</v>
      </c>
      <c r="L151" s="79" t="n">
        <v>875.6</v>
      </c>
      <c r="M151" s="79" t="n">
        <v>13312.7</v>
      </c>
      <c r="N151" s="80" t="n">
        <v>0.06</v>
      </c>
      <c r="O151" s="80" t="n">
        <v>58.3699989318848</v>
      </c>
      <c r="P151" s="47" t="n">
        <v>6</v>
      </c>
      <c r="Q151" s="66" t="s">
        <v>392</v>
      </c>
    </row>
    <row r="152" customFormat="false" ht="15" hidden="false" customHeight="false" outlineLevel="0" collapsed="false">
      <c r="A152" s="76" t="s">
        <v>181</v>
      </c>
      <c r="B152" s="76" t="s">
        <v>219</v>
      </c>
      <c r="C152" s="77" t="n">
        <v>2025</v>
      </c>
      <c r="D152" s="77" t="n">
        <v>4</v>
      </c>
      <c r="E152" s="78" t="n">
        <v>45688</v>
      </c>
      <c r="F152" s="76" t="s">
        <v>213</v>
      </c>
      <c r="G152" s="76" t="s">
        <v>214</v>
      </c>
      <c r="H152" s="76" t="s">
        <v>215</v>
      </c>
      <c r="I152" s="79" t="n">
        <v>1817.4</v>
      </c>
      <c r="J152" s="79" t="n">
        <v>917.4</v>
      </c>
      <c r="K152" s="80" t="n">
        <v>0.6</v>
      </c>
      <c r="L152" s="79"/>
      <c r="M152" s="79" t="n">
        <v>13427</v>
      </c>
      <c r="N152" s="80" t="n">
        <v>0.06</v>
      </c>
      <c r="O152" s="80" t="n">
        <v>112.860000610352</v>
      </c>
      <c r="P152" s="47" t="n">
        <v>7</v>
      </c>
      <c r="Q152" s="66" t="s">
        <v>393</v>
      </c>
    </row>
    <row r="153" customFormat="false" ht="15" hidden="false" customHeight="false" outlineLevel="0" collapsed="false">
      <c r="A153" s="76" t="s">
        <v>181</v>
      </c>
      <c r="B153" s="76" t="s">
        <v>221</v>
      </c>
      <c r="C153" s="77" t="n">
        <v>2025</v>
      </c>
      <c r="D153" s="77" t="n">
        <v>3</v>
      </c>
      <c r="E153" s="78" t="n">
        <v>45596</v>
      </c>
      <c r="F153" s="76" t="s">
        <v>213</v>
      </c>
      <c r="G153" s="76" t="s">
        <v>214</v>
      </c>
      <c r="H153" s="76" t="s">
        <v>215</v>
      </c>
      <c r="I153" s="79" t="n">
        <v>1516.1</v>
      </c>
      <c r="J153" s="79" t="n">
        <v>349.4</v>
      </c>
      <c r="K153" s="80" t="n">
        <v>0.43</v>
      </c>
      <c r="L153" s="79" t="n">
        <v>865.7</v>
      </c>
      <c r="M153" s="79" t="n">
        <v>13372.9</v>
      </c>
      <c r="N153" s="80" t="n">
        <v>0.06</v>
      </c>
      <c r="O153" s="80" t="n">
        <v>80.1100006103516</v>
      </c>
      <c r="P153" s="47" t="n">
        <v>8</v>
      </c>
      <c r="Q153" s="66" t="s">
        <v>394</v>
      </c>
    </row>
    <row r="154" customFormat="false" ht="15" hidden="false" customHeight="false" outlineLevel="0" collapsed="false">
      <c r="A154" s="76" t="s">
        <v>181</v>
      </c>
      <c r="B154" s="76" t="s">
        <v>223</v>
      </c>
      <c r="C154" s="77" t="n">
        <v>2025</v>
      </c>
      <c r="D154" s="77" t="n">
        <v>2</v>
      </c>
      <c r="E154" s="78" t="n">
        <v>45507</v>
      </c>
      <c r="F154" s="76" t="s">
        <v>213</v>
      </c>
      <c r="G154" s="76" t="s">
        <v>214</v>
      </c>
      <c r="H154" s="76" t="s">
        <v>215</v>
      </c>
      <c r="I154" s="79" t="n">
        <v>1272.9</v>
      </c>
      <c r="J154" s="79" t="n">
        <v>587.6</v>
      </c>
      <c r="K154" s="80"/>
      <c r="L154" s="79" t="n">
        <v>865.7</v>
      </c>
      <c r="M154" s="79" t="n">
        <v>14204.9</v>
      </c>
      <c r="N154" s="80" t="n">
        <v>0.06</v>
      </c>
      <c r="O154" s="80" t="n">
        <v>59.25</v>
      </c>
      <c r="P154" s="47" t="n">
        <v>9</v>
      </c>
      <c r="Q154" s="66" t="s">
        <v>395</v>
      </c>
    </row>
    <row r="155" customFormat="false" ht="15" hidden="false" customHeight="false" outlineLevel="0" collapsed="false">
      <c r="A155" s="76" t="s">
        <v>181</v>
      </c>
      <c r="B155" s="76" t="s">
        <v>225</v>
      </c>
      <c r="C155" s="77" t="n">
        <v>2025</v>
      </c>
      <c r="D155" s="77" t="n">
        <v>1</v>
      </c>
      <c r="E155" s="78" t="n">
        <v>45416</v>
      </c>
      <c r="F155" s="76" t="s">
        <v>213</v>
      </c>
      <c r="G155" s="76" t="s">
        <v>214</v>
      </c>
      <c r="H155" s="76" t="s">
        <v>215</v>
      </c>
      <c r="I155" s="79" t="n">
        <v>1160.9</v>
      </c>
      <c r="J155" s="79" t="n">
        <v>527.8</v>
      </c>
      <c r="K155" s="80"/>
      <c r="L155" s="79" t="n">
        <v>865</v>
      </c>
      <c r="M155" s="79" t="n">
        <v>14478.7</v>
      </c>
      <c r="N155" s="80"/>
      <c r="O155" s="80" t="n">
        <v>68.5100021362305</v>
      </c>
      <c r="P155" s="47" t="n">
        <v>10</v>
      </c>
      <c r="Q155" s="66" t="s">
        <v>396</v>
      </c>
    </row>
    <row r="156" customFormat="false" ht="15" hidden="false" customHeight="false" outlineLevel="0" collapsed="false">
      <c r="A156" s="76" t="s">
        <v>181</v>
      </c>
      <c r="B156" s="76" t="s">
        <v>227</v>
      </c>
      <c r="C156" s="77" t="n">
        <v>2024</v>
      </c>
      <c r="D156" s="77" t="n">
        <v>4</v>
      </c>
      <c r="E156" s="78" t="n">
        <v>45322</v>
      </c>
      <c r="F156" s="76" t="s">
        <v>213</v>
      </c>
      <c r="G156" s="76" t="s">
        <v>214</v>
      </c>
      <c r="H156" s="76" t="s">
        <v>215</v>
      </c>
      <c r="I156" s="79" t="n">
        <v>1426.5</v>
      </c>
      <c r="J156" s="79" t="n">
        <v>664.1</v>
      </c>
      <c r="K156" s="80" t="n">
        <v>0.46</v>
      </c>
      <c r="L156" s="79" t="n">
        <v>861.3</v>
      </c>
      <c r="M156" s="79" t="n">
        <v>14831.4</v>
      </c>
      <c r="N156" s="80" t="n">
        <v>0.06</v>
      </c>
      <c r="O156" s="80" t="n">
        <v>67.6999969482422</v>
      </c>
      <c r="P156" s="47" t="n">
        <v>11</v>
      </c>
      <c r="Q156" s="66" t="s">
        <v>397</v>
      </c>
    </row>
    <row r="157" customFormat="false" ht="15" hidden="false" customHeight="false" outlineLevel="0" collapsed="false">
      <c r="A157" s="76" t="s">
        <v>181</v>
      </c>
      <c r="B157" s="76" t="s">
        <v>229</v>
      </c>
      <c r="C157" s="77" t="n">
        <v>2024</v>
      </c>
      <c r="D157" s="77" t="n">
        <v>3</v>
      </c>
      <c r="E157" s="78" t="n">
        <v>45230</v>
      </c>
      <c r="F157" s="76" t="s">
        <v>213</v>
      </c>
      <c r="G157" s="76" t="s">
        <v>214</v>
      </c>
      <c r="H157" s="76" t="s">
        <v>215</v>
      </c>
      <c r="I157" s="79" t="n">
        <v>1418.6</v>
      </c>
      <c r="J157" s="79" t="n">
        <v>551.2</v>
      </c>
      <c r="K157" s="80" t="n">
        <v>0.41</v>
      </c>
      <c r="L157" s="79" t="n">
        <v>858.6</v>
      </c>
      <c r="M157" s="79" t="n">
        <v>15233.4</v>
      </c>
      <c r="N157" s="80" t="n">
        <v>0.06</v>
      </c>
      <c r="O157" s="80" t="n">
        <v>47.2200012207031</v>
      </c>
      <c r="P157" s="47" t="n">
        <v>12</v>
      </c>
      <c r="Q157" s="66" t="s">
        <v>398</v>
      </c>
    </row>
    <row r="158" customFormat="false" ht="15" hidden="false" customHeight="false" outlineLevel="0" collapsed="false">
      <c r="A158" s="76" t="s">
        <v>181</v>
      </c>
      <c r="B158" s="76" t="s">
        <v>231</v>
      </c>
      <c r="C158" s="77" t="n">
        <v>2024</v>
      </c>
      <c r="D158" s="77" t="n">
        <v>2</v>
      </c>
      <c r="E158" s="78" t="n">
        <v>45138</v>
      </c>
      <c r="F158" s="76" t="s">
        <v>213</v>
      </c>
      <c r="G158" s="76" t="s">
        <v>214</v>
      </c>
      <c r="H158" s="76" t="s">
        <v>215</v>
      </c>
      <c r="I158" s="79" t="n">
        <v>1340.9</v>
      </c>
      <c r="J158" s="79" t="n">
        <v>521.1</v>
      </c>
      <c r="K158" s="80" t="n">
        <v>0.33</v>
      </c>
      <c r="L158" s="79" t="n">
        <v>860.9</v>
      </c>
      <c r="M158" s="79" t="n">
        <v>15389.5</v>
      </c>
      <c r="N158" s="80" t="n">
        <v>0.06</v>
      </c>
      <c r="O158" s="80" t="n">
        <v>65.129997253418</v>
      </c>
      <c r="P158" s="47" t="n">
        <v>13</v>
      </c>
      <c r="Q158" s="66" t="s">
        <v>399</v>
      </c>
    </row>
    <row r="159" customFormat="false" ht="15" hidden="false" customHeight="false" outlineLevel="0" collapsed="false">
      <c r="A159" s="76" t="s">
        <v>181</v>
      </c>
      <c r="B159" s="76" t="s">
        <v>233</v>
      </c>
      <c r="C159" s="77" t="n">
        <v>2024</v>
      </c>
      <c r="D159" s="77" t="n">
        <v>1</v>
      </c>
      <c r="E159" s="78" t="n">
        <v>45046</v>
      </c>
      <c r="F159" s="76" t="s">
        <v>213</v>
      </c>
      <c r="G159" s="76" t="s">
        <v>214</v>
      </c>
      <c r="H159" s="76" t="s">
        <v>215</v>
      </c>
      <c r="I159" s="79" t="n">
        <v>1321.7</v>
      </c>
      <c r="J159" s="79" t="n">
        <v>557.2</v>
      </c>
      <c r="K159" s="80" t="n">
        <v>0.31</v>
      </c>
      <c r="L159" s="79" t="n">
        <v>856.7</v>
      </c>
      <c r="M159" s="79" t="n">
        <v>15493.9</v>
      </c>
      <c r="N159" s="80" t="n">
        <v>0.06</v>
      </c>
      <c r="O159" s="80" t="n">
        <v>39.4799995422363</v>
      </c>
      <c r="P159" s="47" t="n">
        <v>14</v>
      </c>
      <c r="Q159" s="66" t="s">
        <v>400</v>
      </c>
    </row>
    <row r="160" customFormat="false" ht="15" hidden="false" customHeight="false" outlineLevel="0" collapsed="false">
      <c r="A160" s="76" t="s">
        <v>181</v>
      </c>
      <c r="B160" s="76" t="s">
        <v>235</v>
      </c>
      <c r="C160" s="77" t="n">
        <v>2023</v>
      </c>
      <c r="D160" s="77" t="n">
        <v>4</v>
      </c>
      <c r="E160" s="78" t="n">
        <v>44957</v>
      </c>
      <c r="F160" s="76" t="s">
        <v>213</v>
      </c>
      <c r="G160" s="76" t="s">
        <v>214</v>
      </c>
      <c r="H160" s="76" t="s">
        <v>215</v>
      </c>
      <c r="I160" s="79" t="n">
        <v>1418.5</v>
      </c>
      <c r="J160" s="79" t="n">
        <v>673.3</v>
      </c>
      <c r="K160" s="80" t="n">
        <v>0.46</v>
      </c>
      <c r="L160" s="79"/>
      <c r="M160" s="79" t="n">
        <v>15637.2</v>
      </c>
      <c r="N160" s="80" t="n">
        <v>0.06</v>
      </c>
      <c r="O160" s="80" t="n">
        <v>43.1500015258789</v>
      </c>
      <c r="P160" s="47" t="n">
        <v>15</v>
      </c>
      <c r="Q160" s="66" t="s">
        <v>401</v>
      </c>
    </row>
    <row r="161" customFormat="false" ht="15" hidden="false" customHeight="false" outlineLevel="0" collapsed="false">
      <c r="A161" s="76" t="s">
        <v>181</v>
      </c>
      <c r="B161" s="76" t="s">
        <v>237</v>
      </c>
      <c r="C161" s="77" t="n">
        <v>2023</v>
      </c>
      <c r="D161" s="77" t="n">
        <v>3</v>
      </c>
      <c r="E161" s="78" t="n">
        <v>44865</v>
      </c>
      <c r="F161" s="76" t="s">
        <v>213</v>
      </c>
      <c r="G161" s="76" t="s">
        <v>214</v>
      </c>
      <c r="H161" s="76" t="s">
        <v>215</v>
      </c>
      <c r="I161" s="79" t="n">
        <v>1537.3</v>
      </c>
      <c r="J161" s="79" t="n">
        <v>777.3</v>
      </c>
      <c r="K161" s="80" t="n">
        <v>0.57</v>
      </c>
      <c r="L161" s="79" t="n">
        <v>858.4</v>
      </c>
      <c r="M161" s="79" t="n">
        <v>15559</v>
      </c>
      <c r="N161" s="80" t="n">
        <v>0.06</v>
      </c>
      <c r="O161" s="80" t="n">
        <v>39.6800003051758</v>
      </c>
      <c r="P161" s="47" t="n">
        <v>16</v>
      </c>
      <c r="Q161" s="66" t="s">
        <v>402</v>
      </c>
    </row>
    <row r="162" customFormat="false" ht="15" hidden="false" customHeight="false" outlineLevel="0" collapsed="false">
      <c r="A162" s="76" t="s">
        <v>181</v>
      </c>
      <c r="B162" s="76" t="s">
        <v>239</v>
      </c>
      <c r="C162" s="77" t="n">
        <v>2023</v>
      </c>
      <c r="D162" s="77" t="n">
        <v>2</v>
      </c>
      <c r="E162" s="78" t="n">
        <v>44773</v>
      </c>
      <c r="F162" s="76" t="s">
        <v>213</v>
      </c>
      <c r="G162" s="76" t="s">
        <v>214</v>
      </c>
      <c r="H162" s="76" t="s">
        <v>215</v>
      </c>
      <c r="I162" s="79" t="n">
        <v>1516.9</v>
      </c>
      <c r="J162" s="79" t="n">
        <v>786</v>
      </c>
      <c r="K162" s="80" t="n">
        <v>0.57</v>
      </c>
      <c r="L162" s="79" t="n">
        <v>857.9</v>
      </c>
      <c r="M162" s="79" t="n">
        <v>15530.2</v>
      </c>
      <c r="N162" s="80" t="n">
        <v>0.06</v>
      </c>
      <c r="O162" s="80" t="n">
        <v>55.6800003051758</v>
      </c>
      <c r="P162" s="47" t="n">
        <v>17</v>
      </c>
      <c r="Q162" s="66" t="s">
        <v>403</v>
      </c>
    </row>
    <row r="163" customFormat="false" ht="15" hidden="false" customHeight="false" outlineLevel="0" collapsed="false">
      <c r="A163" s="76" t="s">
        <v>181</v>
      </c>
      <c r="B163" s="76" t="s">
        <v>241</v>
      </c>
      <c r="C163" s="77" t="n">
        <v>2023</v>
      </c>
      <c r="D163" s="77" t="n">
        <v>1</v>
      </c>
      <c r="E163" s="78" t="n">
        <v>44681</v>
      </c>
      <c r="F163" s="76" t="s">
        <v>213</v>
      </c>
      <c r="G163" s="76" t="s">
        <v>214</v>
      </c>
      <c r="H163" s="76" t="s">
        <v>215</v>
      </c>
      <c r="I163" s="79" t="n">
        <v>1446.9</v>
      </c>
      <c r="J163" s="79" t="n">
        <v>750.9</v>
      </c>
      <c r="K163" s="80" t="n">
        <v>0.52</v>
      </c>
      <c r="L163" s="79" t="n">
        <v>848</v>
      </c>
      <c r="M163" s="79" t="n">
        <v>15465</v>
      </c>
      <c r="N163" s="80" t="n">
        <v>0.06</v>
      </c>
      <c r="O163" s="80" t="n">
        <v>58.0800018310547</v>
      </c>
      <c r="P163" s="47" t="n">
        <v>18</v>
      </c>
      <c r="Q163" s="66" t="s">
        <v>404</v>
      </c>
    </row>
    <row r="164" customFormat="false" ht="15" hidden="false" customHeight="false" outlineLevel="0" collapsed="false">
      <c r="A164" s="76" t="s">
        <v>181</v>
      </c>
      <c r="B164" s="76" t="s">
        <v>243</v>
      </c>
      <c r="C164" s="77" t="n">
        <v>2022</v>
      </c>
      <c r="D164" s="77" t="n">
        <v>4</v>
      </c>
      <c r="E164" s="78" t="n">
        <v>44592</v>
      </c>
      <c r="F164" s="76" t="s">
        <v>213</v>
      </c>
      <c r="G164" s="76" t="s">
        <v>214</v>
      </c>
      <c r="H164" s="76" t="s">
        <v>215</v>
      </c>
      <c r="I164" s="79" t="n">
        <v>1342.978</v>
      </c>
      <c r="J164" s="79" t="n">
        <v>686.434</v>
      </c>
      <c r="K164" s="80" t="n">
        <v>0.5</v>
      </c>
      <c r="L164" s="79"/>
      <c r="M164" s="79" t="n">
        <v>15702.1</v>
      </c>
      <c r="N164" s="80" t="n">
        <v>0.06</v>
      </c>
      <c r="O164" s="80" t="n">
        <v>71.4000015258789</v>
      </c>
      <c r="P164" s="47" t="n">
        <v>19</v>
      </c>
      <c r="Q164" s="66" t="s">
        <v>405</v>
      </c>
    </row>
    <row r="165" customFormat="false" ht="15" hidden="false" customHeight="false" outlineLevel="0" collapsed="false">
      <c r="A165" s="76" t="s">
        <v>181</v>
      </c>
      <c r="B165" s="76" t="s">
        <v>245</v>
      </c>
      <c r="C165" s="77" t="n">
        <v>2022</v>
      </c>
      <c r="D165" s="77" t="n">
        <v>3</v>
      </c>
      <c r="E165" s="78" t="n">
        <v>44500</v>
      </c>
      <c r="F165" s="76" t="s">
        <v>213</v>
      </c>
      <c r="G165" s="76" t="s">
        <v>214</v>
      </c>
      <c r="H165" s="76" t="s">
        <v>215</v>
      </c>
      <c r="I165" s="79" t="n">
        <v>1211.2</v>
      </c>
      <c r="J165" s="79" t="n">
        <v>587.8</v>
      </c>
      <c r="K165" s="80" t="n">
        <v>0.43</v>
      </c>
      <c r="L165" s="79" t="n">
        <v>828.6</v>
      </c>
      <c r="M165" s="79" t="n">
        <v>15686.344</v>
      </c>
      <c r="N165" s="80" t="n">
        <v>0.06</v>
      </c>
      <c r="O165" s="80" t="n">
        <v>68.5</v>
      </c>
      <c r="P165" s="47" t="n">
        <v>20</v>
      </c>
      <c r="Q165" s="66" t="s">
        <v>406</v>
      </c>
    </row>
    <row r="166" customFormat="false" ht="15" hidden="false" customHeight="false" outlineLevel="0" collapsed="false">
      <c r="A166" s="76" t="s">
        <v>181</v>
      </c>
      <c r="B166" s="76" t="s">
        <v>247</v>
      </c>
      <c r="C166" s="77" t="n">
        <v>2022</v>
      </c>
      <c r="D166" s="77" t="n">
        <v>2</v>
      </c>
      <c r="E166" s="78" t="n">
        <v>44408</v>
      </c>
      <c r="F166" s="76" t="s">
        <v>213</v>
      </c>
      <c r="G166" s="76" t="s">
        <v>214</v>
      </c>
      <c r="H166" s="76" t="s">
        <v>215</v>
      </c>
      <c r="I166" s="79" t="n">
        <v>1075.9</v>
      </c>
      <c r="J166" s="79" t="n">
        <v>371.8</v>
      </c>
      <c r="K166" s="80" t="n">
        <v>0.34</v>
      </c>
      <c r="L166" s="79" t="n">
        <v>821.1</v>
      </c>
      <c r="M166" s="79" t="n">
        <v>14741.197</v>
      </c>
      <c r="N166" s="80" t="n">
        <v>0.06</v>
      </c>
      <c r="O166" s="80" t="n">
        <v>60.5099983215332</v>
      </c>
      <c r="P166" s="47" t="n">
        <v>21</v>
      </c>
      <c r="Q166" s="66" t="s">
        <v>407</v>
      </c>
    </row>
    <row r="167" customFormat="false" ht="15" hidden="false" customHeight="false" outlineLevel="0" collapsed="false">
      <c r="A167" s="76" t="s">
        <v>181</v>
      </c>
      <c r="B167" s="76" t="s">
        <v>249</v>
      </c>
      <c r="C167" s="77" t="n">
        <v>2022</v>
      </c>
      <c r="D167" s="77" t="n">
        <v>1</v>
      </c>
      <c r="E167" s="78" t="n">
        <v>44316</v>
      </c>
      <c r="F167" s="76" t="s">
        <v>213</v>
      </c>
      <c r="G167" s="76" t="s">
        <v>214</v>
      </c>
      <c r="H167" s="76" t="s">
        <v>215</v>
      </c>
      <c r="I167" s="79" t="n">
        <v>832.3</v>
      </c>
      <c r="J167" s="79" t="n">
        <v>418.2</v>
      </c>
      <c r="K167" s="80" t="n">
        <v>0.29</v>
      </c>
      <c r="L167" s="79" t="n">
        <v>693.4</v>
      </c>
      <c r="M167" s="79" t="n">
        <v>14855.37</v>
      </c>
      <c r="N167" s="80" t="n">
        <v>0.06</v>
      </c>
      <c r="O167" s="80" t="n">
        <v>45.2099990844727</v>
      </c>
      <c r="P167" s="47" t="n">
        <v>22</v>
      </c>
      <c r="Q167" s="66" t="s">
        <v>408</v>
      </c>
    </row>
    <row r="168" customFormat="false" ht="15" hidden="false" customHeight="false" outlineLevel="0" collapsed="false">
      <c r="A168" s="76" t="s">
        <v>181</v>
      </c>
      <c r="B168" s="76" t="s">
        <v>251</v>
      </c>
      <c r="C168" s="77" t="n">
        <v>2021</v>
      </c>
      <c r="D168" s="77" t="n">
        <v>4</v>
      </c>
      <c r="E168" s="78" t="n">
        <v>44227</v>
      </c>
      <c r="F168" s="76" t="s">
        <v>213</v>
      </c>
      <c r="G168" s="76" t="s">
        <v>214</v>
      </c>
      <c r="H168" s="76" t="s">
        <v>215</v>
      </c>
      <c r="I168" s="79" t="n">
        <v>797.819</v>
      </c>
      <c r="J168" s="79" t="n">
        <v>421.132</v>
      </c>
      <c r="K168" s="80" t="n">
        <v>0.29</v>
      </c>
      <c r="L168" s="79"/>
      <c r="M168" s="79" t="n">
        <v>8435.804</v>
      </c>
      <c r="N168" s="80" t="n">
        <v>0.06</v>
      </c>
      <c r="O168" s="80" t="n">
        <v>51.4599990844727</v>
      </c>
      <c r="P168" s="47" t="n">
        <v>23</v>
      </c>
      <c r="Q168" s="66" t="s">
        <v>409</v>
      </c>
    </row>
    <row r="169" customFormat="false" ht="15" hidden="false" customHeight="false" outlineLevel="0" collapsed="false">
      <c r="A169" s="76" t="s">
        <v>181</v>
      </c>
      <c r="B169" s="76" t="s">
        <v>253</v>
      </c>
      <c r="C169" s="77" t="n">
        <v>2021</v>
      </c>
      <c r="D169" s="77" t="n">
        <v>3</v>
      </c>
      <c r="E169" s="78" t="n">
        <v>44135</v>
      </c>
      <c r="F169" s="76" t="s">
        <v>213</v>
      </c>
      <c r="G169" s="76" t="s">
        <v>214</v>
      </c>
      <c r="H169" s="76" t="s">
        <v>215</v>
      </c>
      <c r="I169" s="79" t="n">
        <v>750.143</v>
      </c>
      <c r="J169" s="79" t="n">
        <v>381.06</v>
      </c>
      <c r="K169" s="80" t="n">
        <v>0.25</v>
      </c>
      <c r="L169" s="79" t="n">
        <v>670.487</v>
      </c>
      <c r="M169" s="79" t="n">
        <v>8389.617</v>
      </c>
      <c r="N169" s="80"/>
      <c r="O169" s="80" t="n">
        <v>37.5099983215332</v>
      </c>
      <c r="P169" s="47" t="n">
        <v>24</v>
      </c>
      <c r="Q169" s="66" t="s">
        <v>410</v>
      </c>
    </row>
    <row r="170" customFormat="false" ht="15" hidden="false" customHeight="false" outlineLevel="0" collapsed="false">
      <c r="A170" s="76" t="s">
        <v>169</v>
      </c>
      <c r="B170" s="76" t="s">
        <v>316</v>
      </c>
      <c r="C170" s="77" t="n">
        <v>2026</v>
      </c>
      <c r="D170" s="77" t="n">
        <v>4</v>
      </c>
      <c r="E170" s="78" t="n">
        <v>46203</v>
      </c>
      <c r="F170" s="76" t="s">
        <v>213</v>
      </c>
      <c r="G170" s="76" t="s">
        <v>214</v>
      </c>
      <c r="H170" s="76" t="s">
        <v>215</v>
      </c>
      <c r="I170" s="79" t="n">
        <v>90007</v>
      </c>
      <c r="J170" s="79" t="n">
        <v>60482</v>
      </c>
      <c r="K170" s="80" t="n">
        <v>4.74</v>
      </c>
      <c r="L170" s="79" t="n">
        <v>7443</v>
      </c>
      <c r="M170" s="79" t="n">
        <v>442387</v>
      </c>
      <c r="N170" s="80" t="n">
        <v>0.91</v>
      </c>
      <c r="O170" s="80" t="n">
        <v>373.019989013672</v>
      </c>
      <c r="P170" s="47" t="n">
        <v>1</v>
      </c>
      <c r="Q170" s="66" t="s">
        <v>411</v>
      </c>
    </row>
    <row r="171" customFormat="false" ht="15" hidden="false" customHeight="false" outlineLevel="0" collapsed="false">
      <c r="A171" s="76" t="s">
        <v>169</v>
      </c>
      <c r="B171" s="76" t="s">
        <v>263</v>
      </c>
      <c r="C171" s="77" t="n">
        <v>2026</v>
      </c>
      <c r="D171" s="77" t="n">
        <v>3</v>
      </c>
      <c r="E171" s="78" t="n">
        <v>46112</v>
      </c>
      <c r="F171" s="76" t="s">
        <v>213</v>
      </c>
      <c r="G171" s="76" t="s">
        <v>214</v>
      </c>
      <c r="H171" s="76" t="s">
        <v>215</v>
      </c>
      <c r="I171" s="79" t="n">
        <v>82886</v>
      </c>
      <c r="J171" s="79" t="n">
        <v>56058</v>
      </c>
      <c r="K171" s="80" t="n">
        <v>4.27</v>
      </c>
      <c r="L171" s="79" t="n">
        <v>7445</v>
      </c>
      <c r="M171" s="79" t="n">
        <v>414367</v>
      </c>
      <c r="N171" s="80" t="n">
        <v>0.91</v>
      </c>
      <c r="O171" s="80" t="n">
        <v>370.170013427734</v>
      </c>
      <c r="P171" s="47" t="n">
        <v>2</v>
      </c>
      <c r="Q171" s="66" t="s">
        <v>412</v>
      </c>
    </row>
    <row r="172" customFormat="false" ht="15" hidden="false" customHeight="false" outlineLevel="0" collapsed="false">
      <c r="A172" s="76" t="s">
        <v>169</v>
      </c>
      <c r="B172" s="76" t="s">
        <v>212</v>
      </c>
      <c r="C172" s="77" t="n">
        <v>2026</v>
      </c>
      <c r="D172" s="77" t="n">
        <v>2</v>
      </c>
      <c r="E172" s="78" t="n">
        <v>46022</v>
      </c>
      <c r="F172" s="76" t="s">
        <v>213</v>
      </c>
      <c r="G172" s="76" t="s">
        <v>214</v>
      </c>
      <c r="H172" s="76" t="s">
        <v>215</v>
      </c>
      <c r="I172" s="79" t="n">
        <v>81273</v>
      </c>
      <c r="J172" s="79" t="n">
        <v>55295</v>
      </c>
      <c r="K172" s="80" t="n">
        <v>4.14</v>
      </c>
      <c r="L172" s="79" t="n">
        <v>7460</v>
      </c>
      <c r="M172" s="79" t="n">
        <v>390875</v>
      </c>
      <c r="N172" s="80" t="n">
        <v>0.91</v>
      </c>
      <c r="O172" s="80" t="n">
        <v>483.619995117188</v>
      </c>
      <c r="P172" s="47" t="n">
        <v>3</v>
      </c>
      <c r="Q172" s="66" t="s">
        <v>413</v>
      </c>
    </row>
    <row r="173" customFormat="false" ht="15" hidden="false" customHeight="false" outlineLevel="0" collapsed="false">
      <c r="A173" s="76" t="s">
        <v>169</v>
      </c>
      <c r="B173" s="76" t="s">
        <v>217</v>
      </c>
      <c r="C173" s="77" t="n">
        <v>2026</v>
      </c>
      <c r="D173" s="77" t="n">
        <v>1</v>
      </c>
      <c r="E173" s="78" t="n">
        <v>45930</v>
      </c>
      <c r="F173" s="76" t="s">
        <v>213</v>
      </c>
      <c r="G173" s="76" t="s">
        <v>214</v>
      </c>
      <c r="H173" s="76" t="s">
        <v>215</v>
      </c>
      <c r="I173" s="79" t="n">
        <v>77673</v>
      </c>
      <c r="J173" s="79" t="n">
        <v>53630</v>
      </c>
      <c r="K173" s="80" t="n">
        <v>4.13</v>
      </c>
      <c r="L173" s="79" t="n">
        <v>7466</v>
      </c>
      <c r="M173" s="79" t="n">
        <v>363076</v>
      </c>
      <c r="N173" s="80" t="n">
        <v>0.83</v>
      </c>
      <c r="O173" s="80" t="n">
        <v>517.950012207031</v>
      </c>
      <c r="P173" s="47" t="n">
        <v>4</v>
      </c>
      <c r="Q173" s="66" t="s">
        <v>414</v>
      </c>
    </row>
    <row r="174" customFormat="false" ht="15" hidden="false" customHeight="false" outlineLevel="0" collapsed="false">
      <c r="A174" s="76" t="s">
        <v>169</v>
      </c>
      <c r="B174" s="76" t="s">
        <v>219</v>
      </c>
      <c r="C174" s="77" t="n">
        <v>2025</v>
      </c>
      <c r="D174" s="77" t="n">
        <v>4</v>
      </c>
      <c r="E174" s="78" t="n">
        <v>45838</v>
      </c>
      <c r="F174" s="76" t="s">
        <v>213</v>
      </c>
      <c r="G174" s="76" t="s">
        <v>214</v>
      </c>
      <c r="H174" s="76" t="s">
        <v>215</v>
      </c>
      <c r="I174" s="79" t="n">
        <v>76441</v>
      </c>
      <c r="J174" s="79" t="n">
        <v>52427</v>
      </c>
      <c r="K174" s="80" t="n">
        <v>3.65</v>
      </c>
      <c r="L174" s="79" t="n">
        <v>7461</v>
      </c>
      <c r="M174" s="79" t="n">
        <v>343479</v>
      </c>
      <c r="N174" s="80" t="n">
        <v>0.83</v>
      </c>
      <c r="O174" s="80" t="n">
        <v>497.410003662109</v>
      </c>
      <c r="P174" s="47" t="n">
        <v>5</v>
      </c>
      <c r="Q174" s="66" t="s">
        <v>415</v>
      </c>
    </row>
    <row r="175" customFormat="false" ht="15" hidden="false" customHeight="false" outlineLevel="0" collapsed="false">
      <c r="A175" s="76" t="s">
        <v>169</v>
      </c>
      <c r="B175" s="76" t="s">
        <v>221</v>
      </c>
      <c r="C175" s="77" t="n">
        <v>2025</v>
      </c>
      <c r="D175" s="77" t="n">
        <v>3</v>
      </c>
      <c r="E175" s="78" t="n">
        <v>45747</v>
      </c>
      <c r="F175" s="76" t="s">
        <v>213</v>
      </c>
      <c r="G175" s="76" t="s">
        <v>214</v>
      </c>
      <c r="H175" s="76" t="s">
        <v>215</v>
      </c>
      <c r="I175" s="79" t="n">
        <v>70066</v>
      </c>
      <c r="J175" s="79" t="n">
        <v>48147</v>
      </c>
      <c r="K175" s="80" t="n">
        <v>3.46</v>
      </c>
      <c r="L175" s="79" t="n">
        <v>7468.25</v>
      </c>
      <c r="M175" s="79" t="n">
        <v>321891</v>
      </c>
      <c r="N175" s="80" t="n">
        <v>0.83</v>
      </c>
      <c r="O175" s="80" t="n">
        <v>375.390014648438</v>
      </c>
      <c r="P175" s="47" t="n">
        <v>6</v>
      </c>
      <c r="Q175" s="66" t="s">
        <v>416</v>
      </c>
    </row>
    <row r="176" customFormat="false" ht="15" hidden="false" customHeight="false" outlineLevel="0" collapsed="false">
      <c r="A176" s="76" t="s">
        <v>169</v>
      </c>
      <c r="B176" s="76" t="s">
        <v>223</v>
      </c>
      <c r="C176" s="77" t="n">
        <v>2025</v>
      </c>
      <c r="D176" s="77" t="n">
        <v>2</v>
      </c>
      <c r="E176" s="78" t="n">
        <v>45657</v>
      </c>
      <c r="F176" s="76" t="s">
        <v>213</v>
      </c>
      <c r="G176" s="76" t="s">
        <v>214</v>
      </c>
      <c r="H176" s="76" t="s">
        <v>215</v>
      </c>
      <c r="I176" s="79" t="n">
        <v>69632</v>
      </c>
      <c r="J176" s="79" t="n">
        <v>47833</v>
      </c>
      <c r="K176" s="80" t="n">
        <v>3.23</v>
      </c>
      <c r="L176" s="79" t="n">
        <v>7471</v>
      </c>
      <c r="M176" s="79" t="n">
        <v>302695</v>
      </c>
      <c r="N176" s="80" t="n">
        <v>0.83</v>
      </c>
      <c r="O176" s="80" t="n">
        <v>421.5</v>
      </c>
      <c r="P176" s="47" t="n">
        <v>7</v>
      </c>
      <c r="Q176" s="66" t="s">
        <v>417</v>
      </c>
    </row>
    <row r="177" customFormat="false" ht="15" hidden="false" customHeight="false" outlineLevel="0" collapsed="false">
      <c r="A177" s="76" t="s">
        <v>169</v>
      </c>
      <c r="B177" s="76" t="s">
        <v>225</v>
      </c>
      <c r="C177" s="77" t="n">
        <v>2025</v>
      </c>
      <c r="D177" s="77" t="n">
        <v>1</v>
      </c>
      <c r="E177" s="78" t="n">
        <v>45565</v>
      </c>
      <c r="F177" s="76" t="s">
        <v>213</v>
      </c>
      <c r="G177" s="76" t="s">
        <v>214</v>
      </c>
      <c r="H177" s="76" t="s">
        <v>215</v>
      </c>
      <c r="I177" s="79" t="n">
        <v>65585</v>
      </c>
      <c r="J177" s="79" t="n">
        <v>45486</v>
      </c>
      <c r="K177" s="80" t="n">
        <v>3.3</v>
      </c>
      <c r="L177" s="79" t="n">
        <v>7471</v>
      </c>
      <c r="M177" s="79" t="n">
        <v>287723</v>
      </c>
      <c r="N177" s="80" t="n">
        <v>0.75</v>
      </c>
      <c r="O177" s="80" t="n">
        <v>430.299987792969</v>
      </c>
      <c r="P177" s="47" t="n">
        <v>8</v>
      </c>
      <c r="Q177" s="66" t="s">
        <v>418</v>
      </c>
    </row>
    <row r="178" customFormat="false" ht="15" hidden="false" customHeight="false" outlineLevel="0" collapsed="false">
      <c r="A178" s="76" t="s">
        <v>169</v>
      </c>
      <c r="B178" s="76" t="s">
        <v>227</v>
      </c>
      <c r="C178" s="77" t="n">
        <v>2024</v>
      </c>
      <c r="D178" s="77" t="n">
        <v>4</v>
      </c>
      <c r="E178" s="78" t="n">
        <v>45473</v>
      </c>
      <c r="F178" s="76" t="s">
        <v>213</v>
      </c>
      <c r="G178" s="76" t="s">
        <v>214</v>
      </c>
      <c r="H178" s="76" t="s">
        <v>215</v>
      </c>
      <c r="I178" s="79" t="n">
        <v>64727</v>
      </c>
      <c r="J178" s="79" t="n">
        <v>45043</v>
      </c>
      <c r="K178" s="80" t="n">
        <v>2.95</v>
      </c>
      <c r="L178" s="79"/>
      <c r="M178" s="79" t="n">
        <v>268477</v>
      </c>
      <c r="N178" s="80" t="n">
        <v>0.75</v>
      </c>
      <c r="O178" s="80" t="n">
        <v>446.950012207031</v>
      </c>
      <c r="P178" s="47" t="n">
        <v>9</v>
      </c>
      <c r="Q178" s="66" t="s">
        <v>419</v>
      </c>
    </row>
    <row r="179" customFormat="false" ht="15" hidden="false" customHeight="false" outlineLevel="0" collapsed="false">
      <c r="A179" s="76" t="s">
        <v>169</v>
      </c>
      <c r="B179" s="76" t="s">
        <v>229</v>
      </c>
      <c r="C179" s="77" t="n">
        <v>2024</v>
      </c>
      <c r="D179" s="77" t="n">
        <v>3</v>
      </c>
      <c r="E179" s="78" t="n">
        <v>45382</v>
      </c>
      <c r="F179" s="76" t="s">
        <v>213</v>
      </c>
      <c r="G179" s="76" t="s">
        <v>214</v>
      </c>
      <c r="H179" s="76" t="s">
        <v>215</v>
      </c>
      <c r="I179" s="79" t="n">
        <v>61858</v>
      </c>
      <c r="J179" s="79" t="n">
        <v>43353</v>
      </c>
      <c r="K179" s="80" t="n">
        <v>2.94</v>
      </c>
      <c r="L179" s="79" t="n">
        <v>7466.75</v>
      </c>
      <c r="M179" s="79" t="n">
        <v>253152</v>
      </c>
      <c r="N179" s="80" t="n">
        <v>0.75</v>
      </c>
      <c r="O179" s="80" t="n">
        <v>420.720001220703</v>
      </c>
      <c r="P179" s="47" t="n">
        <v>10</v>
      </c>
      <c r="Q179" s="66" t="s">
        <v>420</v>
      </c>
    </row>
    <row r="180" customFormat="false" ht="15" hidden="false" customHeight="false" outlineLevel="0" collapsed="false">
      <c r="A180" s="76" t="s">
        <v>169</v>
      </c>
      <c r="B180" s="76" t="s">
        <v>231</v>
      </c>
      <c r="C180" s="77" t="n">
        <v>2024</v>
      </c>
      <c r="D180" s="77" t="n">
        <v>2</v>
      </c>
      <c r="E180" s="78" t="n">
        <v>45291</v>
      </c>
      <c r="F180" s="76" t="s">
        <v>213</v>
      </c>
      <c r="G180" s="76" t="s">
        <v>214</v>
      </c>
      <c r="H180" s="76" t="s">
        <v>215</v>
      </c>
      <c r="I180" s="79" t="n">
        <v>62020</v>
      </c>
      <c r="J180" s="79" t="n">
        <v>42397</v>
      </c>
      <c r="K180" s="80" t="n">
        <v>2.93</v>
      </c>
      <c r="L180" s="79" t="n">
        <v>7465</v>
      </c>
      <c r="M180" s="79" t="n">
        <v>238268</v>
      </c>
      <c r="N180" s="80" t="n">
        <v>0.75</v>
      </c>
      <c r="O180" s="80" t="n">
        <v>376.040008544922</v>
      </c>
      <c r="P180" s="47" t="n">
        <v>11</v>
      </c>
      <c r="Q180" s="66" t="s">
        <v>421</v>
      </c>
    </row>
    <row r="181" customFormat="false" ht="15" hidden="false" customHeight="false" outlineLevel="0" collapsed="false">
      <c r="A181" s="76" t="s">
        <v>169</v>
      </c>
      <c r="B181" s="76" t="s">
        <v>233</v>
      </c>
      <c r="C181" s="77" t="n">
        <v>2024</v>
      </c>
      <c r="D181" s="77" t="n">
        <v>1</v>
      </c>
      <c r="E181" s="78" t="n">
        <v>45199</v>
      </c>
      <c r="F181" s="76" t="s">
        <v>213</v>
      </c>
      <c r="G181" s="76" t="s">
        <v>214</v>
      </c>
      <c r="H181" s="76" t="s">
        <v>215</v>
      </c>
      <c r="I181" s="79" t="n">
        <v>56517</v>
      </c>
      <c r="J181" s="79" t="n">
        <v>40215</v>
      </c>
      <c r="K181" s="80" t="n">
        <v>2.99</v>
      </c>
      <c r="L181" s="79" t="n">
        <v>7466.25</v>
      </c>
      <c r="M181" s="79" t="n">
        <v>220714</v>
      </c>
      <c r="N181" s="80" t="n">
        <v>0.68</v>
      </c>
      <c r="O181" s="80" t="n">
        <v>315.75</v>
      </c>
      <c r="P181" s="47" t="n">
        <v>12</v>
      </c>
      <c r="Q181" s="66" t="s">
        <v>422</v>
      </c>
    </row>
    <row r="182" customFormat="false" ht="15" hidden="false" customHeight="false" outlineLevel="0" collapsed="false">
      <c r="A182" s="76" t="s">
        <v>169</v>
      </c>
      <c r="B182" s="76" t="s">
        <v>235</v>
      </c>
      <c r="C182" s="77" t="n">
        <v>2023</v>
      </c>
      <c r="D182" s="77" t="n">
        <v>4</v>
      </c>
      <c r="E182" s="78" t="n">
        <v>45107</v>
      </c>
      <c r="F182" s="76" t="s">
        <v>213</v>
      </c>
      <c r="G182" s="76" t="s">
        <v>214</v>
      </c>
      <c r="H182" s="76" t="s">
        <v>215</v>
      </c>
      <c r="I182" s="79" t="n">
        <v>56189</v>
      </c>
      <c r="J182" s="79" t="n">
        <v>39394</v>
      </c>
      <c r="K182" s="80" t="n">
        <v>2.69</v>
      </c>
      <c r="L182" s="79"/>
      <c r="M182" s="79" t="n">
        <v>206223</v>
      </c>
      <c r="N182" s="80" t="n">
        <v>0.68</v>
      </c>
      <c r="O182" s="80" t="n">
        <v>340.540008544922</v>
      </c>
      <c r="P182" s="47" t="n">
        <v>13</v>
      </c>
      <c r="Q182" s="66" t="s">
        <v>423</v>
      </c>
    </row>
    <row r="183" customFormat="false" ht="15" hidden="false" customHeight="false" outlineLevel="0" collapsed="false">
      <c r="A183" s="76" t="s">
        <v>169</v>
      </c>
      <c r="B183" s="76" t="s">
        <v>237</v>
      </c>
      <c r="C183" s="77" t="n">
        <v>2023</v>
      </c>
      <c r="D183" s="77" t="n">
        <v>3</v>
      </c>
      <c r="E183" s="78" t="n">
        <v>45016</v>
      </c>
      <c r="F183" s="76" t="s">
        <v>213</v>
      </c>
      <c r="G183" s="76" t="s">
        <v>214</v>
      </c>
      <c r="H183" s="76" t="s">
        <v>215</v>
      </c>
      <c r="I183" s="79" t="n">
        <v>52857</v>
      </c>
      <c r="J183" s="79" t="n">
        <v>36729</v>
      </c>
      <c r="K183" s="80" t="n">
        <v>2.45</v>
      </c>
      <c r="L183" s="79" t="n">
        <v>7464</v>
      </c>
      <c r="M183" s="79" t="n">
        <v>194683</v>
      </c>
      <c r="N183" s="80" t="n">
        <v>0.68</v>
      </c>
      <c r="O183" s="80" t="n">
        <v>288.299987792969</v>
      </c>
      <c r="P183" s="47" t="n">
        <v>14</v>
      </c>
      <c r="Q183" s="66" t="s">
        <v>424</v>
      </c>
    </row>
    <row r="184" customFormat="false" ht="15" hidden="false" customHeight="false" outlineLevel="0" collapsed="false">
      <c r="A184" s="76" t="s">
        <v>169</v>
      </c>
      <c r="B184" s="76" t="s">
        <v>239</v>
      </c>
      <c r="C184" s="77" t="n">
        <v>2023</v>
      </c>
      <c r="D184" s="77" t="n">
        <v>2</v>
      </c>
      <c r="E184" s="78" t="n">
        <v>44926</v>
      </c>
      <c r="F184" s="76" t="s">
        <v>213</v>
      </c>
      <c r="G184" s="76" t="s">
        <v>214</v>
      </c>
      <c r="H184" s="76" t="s">
        <v>215</v>
      </c>
      <c r="I184" s="79" t="n">
        <v>52747</v>
      </c>
      <c r="J184" s="79" t="n">
        <v>35259</v>
      </c>
      <c r="K184" s="80" t="n">
        <v>2.32</v>
      </c>
      <c r="L184" s="79" t="n">
        <v>7473</v>
      </c>
      <c r="M184" s="79" t="n">
        <v>183136</v>
      </c>
      <c r="N184" s="80" t="n">
        <v>0.68</v>
      </c>
      <c r="O184" s="80" t="n">
        <v>239.820007324219</v>
      </c>
      <c r="P184" s="47" t="n">
        <v>15</v>
      </c>
      <c r="Q184" s="66" t="s">
        <v>425</v>
      </c>
    </row>
    <row r="185" customFormat="false" ht="15" hidden="false" customHeight="false" outlineLevel="0" collapsed="false">
      <c r="A185" s="76" t="s">
        <v>169</v>
      </c>
      <c r="B185" s="76" t="s">
        <v>241</v>
      </c>
      <c r="C185" s="77" t="n">
        <v>2023</v>
      </c>
      <c r="D185" s="77" t="n">
        <v>1</v>
      </c>
      <c r="E185" s="78" t="n">
        <v>44834</v>
      </c>
      <c r="F185" s="76" t="s">
        <v>213</v>
      </c>
      <c r="G185" s="76" t="s">
        <v>214</v>
      </c>
      <c r="H185" s="76" t="s">
        <v>215</v>
      </c>
      <c r="I185" s="79" t="n">
        <v>50122</v>
      </c>
      <c r="J185" s="79" t="n">
        <v>34670</v>
      </c>
      <c r="K185" s="80" t="n">
        <v>2.35</v>
      </c>
      <c r="L185" s="79" t="n">
        <v>7485</v>
      </c>
      <c r="M185" s="79" t="n">
        <v>173566</v>
      </c>
      <c r="N185" s="80" t="n">
        <v>0.62</v>
      </c>
      <c r="O185" s="80" t="n">
        <v>232.899993896484</v>
      </c>
      <c r="P185" s="47" t="n">
        <v>16</v>
      </c>
      <c r="Q185" s="66" t="s">
        <v>426</v>
      </c>
    </row>
    <row r="186" customFormat="false" ht="15" hidden="false" customHeight="false" outlineLevel="0" collapsed="false">
      <c r="A186" s="76" t="s">
        <v>169</v>
      </c>
      <c r="B186" s="76" t="s">
        <v>243</v>
      </c>
      <c r="C186" s="77" t="n">
        <v>2022</v>
      </c>
      <c r="D186" s="77" t="n">
        <v>4</v>
      </c>
      <c r="E186" s="78" t="n">
        <v>44742</v>
      </c>
      <c r="F186" s="76" t="s">
        <v>213</v>
      </c>
      <c r="G186" s="76" t="s">
        <v>214</v>
      </c>
      <c r="H186" s="76" t="s">
        <v>215</v>
      </c>
      <c r="I186" s="79" t="n">
        <v>51865</v>
      </c>
      <c r="J186" s="79" t="n">
        <v>35436</v>
      </c>
      <c r="K186" s="80" t="n">
        <v>2.23</v>
      </c>
      <c r="L186" s="79"/>
      <c r="M186" s="79" t="n">
        <v>166542</v>
      </c>
      <c r="N186" s="80" t="n">
        <v>0.62</v>
      </c>
      <c r="O186" s="80" t="n">
        <v>256.829986572266</v>
      </c>
      <c r="P186" s="47" t="n">
        <v>17</v>
      </c>
      <c r="Q186" s="66" t="s">
        <v>427</v>
      </c>
    </row>
    <row r="187" customFormat="false" ht="15" hidden="false" customHeight="false" outlineLevel="0" collapsed="false">
      <c r="A187" s="76" t="s">
        <v>169</v>
      </c>
      <c r="B187" s="76" t="s">
        <v>245</v>
      </c>
      <c r="C187" s="77" t="n">
        <v>2022</v>
      </c>
      <c r="D187" s="77" t="n">
        <v>3</v>
      </c>
      <c r="E187" s="78" t="n">
        <v>44651</v>
      </c>
      <c r="F187" s="76" t="s">
        <v>213</v>
      </c>
      <c r="G187" s="76" t="s">
        <v>214</v>
      </c>
      <c r="H187" s="76" t="s">
        <v>215</v>
      </c>
      <c r="I187" s="79" t="n">
        <v>49360</v>
      </c>
      <c r="J187" s="79" t="n">
        <v>33745</v>
      </c>
      <c r="K187" s="80" t="n">
        <v>2.22</v>
      </c>
      <c r="L187" s="79" t="n">
        <v>7534</v>
      </c>
      <c r="M187" s="79" t="n">
        <v>162924</v>
      </c>
      <c r="N187" s="80" t="n">
        <v>0.62</v>
      </c>
      <c r="O187" s="80" t="n">
        <v>308.309997558594</v>
      </c>
      <c r="P187" s="47" t="n">
        <v>18</v>
      </c>
      <c r="Q187" s="66" t="s">
        <v>428</v>
      </c>
    </row>
    <row r="188" customFormat="false" ht="15" hidden="false" customHeight="false" outlineLevel="0" collapsed="false">
      <c r="A188" s="76" t="s">
        <v>169</v>
      </c>
      <c r="B188" s="76" t="s">
        <v>247</v>
      </c>
      <c r="C188" s="77" t="n">
        <v>2022</v>
      </c>
      <c r="D188" s="77" t="n">
        <v>2</v>
      </c>
      <c r="E188" s="78" t="n">
        <v>44561</v>
      </c>
      <c r="F188" s="76" t="s">
        <v>213</v>
      </c>
      <c r="G188" s="76" t="s">
        <v>214</v>
      </c>
      <c r="H188" s="76" t="s">
        <v>215</v>
      </c>
      <c r="I188" s="79" t="n">
        <v>51728</v>
      </c>
      <c r="J188" s="79" t="n">
        <v>34768</v>
      </c>
      <c r="K188" s="80" t="n">
        <v>2.48</v>
      </c>
      <c r="L188" s="79" t="n">
        <v>7555</v>
      </c>
      <c r="M188" s="79" t="n">
        <v>160010</v>
      </c>
      <c r="N188" s="80" t="n">
        <v>0.62</v>
      </c>
      <c r="O188" s="80" t="n">
        <v>336.320007324219</v>
      </c>
      <c r="P188" s="47" t="n">
        <v>19</v>
      </c>
      <c r="Q188" s="66" t="s">
        <v>429</v>
      </c>
    </row>
    <row r="189" customFormat="false" ht="15" hidden="false" customHeight="false" outlineLevel="0" collapsed="false">
      <c r="A189" s="76" t="s">
        <v>169</v>
      </c>
      <c r="B189" s="76" t="s">
        <v>249</v>
      </c>
      <c r="C189" s="77" t="n">
        <v>2022</v>
      </c>
      <c r="D189" s="77" t="n">
        <v>1</v>
      </c>
      <c r="E189" s="78" t="n">
        <v>44469</v>
      </c>
      <c r="F189" s="76" t="s">
        <v>213</v>
      </c>
      <c r="G189" s="76" t="s">
        <v>214</v>
      </c>
      <c r="H189" s="76" t="s">
        <v>215</v>
      </c>
      <c r="I189" s="79" t="n">
        <v>45317</v>
      </c>
      <c r="J189" s="79" t="n">
        <v>31671</v>
      </c>
      <c r="K189" s="80" t="n">
        <v>2.27</v>
      </c>
      <c r="L189" s="79" t="n">
        <v>7567</v>
      </c>
      <c r="M189" s="79" t="n">
        <v>151978</v>
      </c>
      <c r="N189" s="80" t="n">
        <v>0.56</v>
      </c>
      <c r="O189" s="80" t="n">
        <v>281.920013427734</v>
      </c>
      <c r="P189" s="47" t="n">
        <v>20</v>
      </c>
      <c r="Q189" s="66" t="s">
        <v>430</v>
      </c>
    </row>
    <row r="190" customFormat="false" ht="15" hidden="false" customHeight="false" outlineLevel="0" collapsed="false">
      <c r="A190" s="76" t="s">
        <v>169</v>
      </c>
      <c r="B190" s="76" t="s">
        <v>251</v>
      </c>
      <c r="C190" s="77" t="n">
        <v>2021</v>
      </c>
      <c r="D190" s="77" t="n">
        <v>4</v>
      </c>
      <c r="E190" s="78" t="n">
        <v>44377</v>
      </c>
      <c r="F190" s="76" t="s">
        <v>213</v>
      </c>
      <c r="G190" s="76" t="s">
        <v>214</v>
      </c>
      <c r="H190" s="76" t="s">
        <v>215</v>
      </c>
      <c r="I190" s="79" t="n">
        <v>46152</v>
      </c>
      <c r="J190" s="79" t="n">
        <v>32161</v>
      </c>
      <c r="K190" s="80" t="n">
        <v>2.17</v>
      </c>
      <c r="L190" s="79"/>
      <c r="M190" s="79" t="n">
        <v>141988</v>
      </c>
      <c r="N190" s="80" t="n">
        <v>0.56</v>
      </c>
      <c r="O190" s="80" t="n">
        <v>270.899993896484</v>
      </c>
      <c r="P190" s="47" t="n">
        <v>21</v>
      </c>
      <c r="Q190" s="66" t="s">
        <v>431</v>
      </c>
    </row>
    <row r="191" customFormat="false" ht="15" hidden="false" customHeight="false" outlineLevel="0" collapsed="false">
      <c r="A191" s="76" t="s">
        <v>169</v>
      </c>
      <c r="B191" s="76" t="s">
        <v>253</v>
      </c>
      <c r="C191" s="77" t="n">
        <v>2021</v>
      </c>
      <c r="D191" s="77" t="n">
        <v>3</v>
      </c>
      <c r="E191" s="78" t="n">
        <v>44286</v>
      </c>
      <c r="F191" s="76" t="s">
        <v>213</v>
      </c>
      <c r="G191" s="76" t="s">
        <v>214</v>
      </c>
      <c r="H191" s="76" t="s">
        <v>215</v>
      </c>
      <c r="I191" s="79" t="n">
        <v>41706</v>
      </c>
      <c r="J191" s="79" t="n">
        <v>28661</v>
      </c>
      <c r="K191" s="80" t="n">
        <v>1.95</v>
      </c>
      <c r="L191" s="79" t="n">
        <v>7597</v>
      </c>
      <c r="M191" s="79" t="n">
        <v>134505</v>
      </c>
      <c r="N191" s="80" t="n">
        <v>0.56</v>
      </c>
      <c r="O191" s="80" t="n">
        <v>235.770004272461</v>
      </c>
      <c r="P191" s="47" t="n">
        <v>22</v>
      </c>
      <c r="Q191" s="66" t="s">
        <v>432</v>
      </c>
    </row>
    <row r="192" customFormat="false" ht="15" hidden="false" customHeight="false" outlineLevel="0" collapsed="false">
      <c r="A192" s="76" t="s">
        <v>169</v>
      </c>
      <c r="B192" s="76" t="s">
        <v>255</v>
      </c>
      <c r="C192" s="77" t="n">
        <v>2021</v>
      </c>
      <c r="D192" s="77" t="n">
        <v>2</v>
      </c>
      <c r="E192" s="78" t="n">
        <v>44196</v>
      </c>
      <c r="F192" s="76" t="s">
        <v>213</v>
      </c>
      <c r="G192" s="76" t="s">
        <v>214</v>
      </c>
      <c r="H192" s="76" t="s">
        <v>215</v>
      </c>
      <c r="I192" s="79" t="n">
        <v>43076</v>
      </c>
      <c r="J192" s="79" t="n">
        <v>28882</v>
      </c>
      <c r="K192" s="80" t="n">
        <v>2.03</v>
      </c>
      <c r="L192" s="79" t="n">
        <v>7616</v>
      </c>
      <c r="M192" s="79" t="n">
        <v>130236</v>
      </c>
      <c r="N192" s="80" t="n">
        <v>0.56</v>
      </c>
      <c r="O192" s="80" t="n">
        <v>222.419998168945</v>
      </c>
      <c r="P192" s="47" t="n">
        <v>23</v>
      </c>
      <c r="Q192" s="66" t="s">
        <v>433</v>
      </c>
    </row>
    <row r="193" customFormat="false" ht="15" hidden="false" customHeight="false" outlineLevel="0" collapsed="false">
      <c r="A193" s="76" t="s">
        <v>169</v>
      </c>
      <c r="B193" s="76" t="s">
        <v>257</v>
      </c>
      <c r="C193" s="77" t="n">
        <v>2021</v>
      </c>
      <c r="D193" s="77" t="n">
        <v>1</v>
      </c>
      <c r="E193" s="78" t="n">
        <v>44104</v>
      </c>
      <c r="F193" s="76" t="s">
        <v>213</v>
      </c>
      <c r="G193" s="76" t="s">
        <v>214</v>
      </c>
      <c r="H193" s="76" t="s">
        <v>215</v>
      </c>
      <c r="I193" s="79" t="n">
        <v>37154</v>
      </c>
      <c r="J193" s="79" t="n">
        <v>26152</v>
      </c>
      <c r="K193" s="80" t="n">
        <v>1.82</v>
      </c>
      <c r="L193" s="79" t="n">
        <v>7637</v>
      </c>
      <c r="M193" s="79" t="n">
        <v>123392</v>
      </c>
      <c r="N193" s="80"/>
      <c r="O193" s="80" t="n">
        <v>210.330001831055</v>
      </c>
      <c r="P193" s="47" t="n">
        <v>24</v>
      </c>
      <c r="Q193" s="66" t="s">
        <v>434</v>
      </c>
    </row>
    <row r="194" customFormat="false" ht="15" hidden="false" customHeight="false" outlineLevel="0" collapsed="false">
      <c r="A194" s="76" t="s">
        <v>184</v>
      </c>
      <c r="B194" s="76" t="s">
        <v>263</v>
      </c>
      <c r="C194" s="77" t="n">
        <v>2026</v>
      </c>
      <c r="D194" s="77" t="n">
        <v>3</v>
      </c>
      <c r="E194" s="78" t="n">
        <v>46173</v>
      </c>
      <c r="F194" s="76" t="s">
        <v>213</v>
      </c>
      <c r="G194" s="76" t="s">
        <v>214</v>
      </c>
      <c r="H194" s="76" t="s">
        <v>215</v>
      </c>
      <c r="I194" s="79" t="n">
        <v>41456</v>
      </c>
      <c r="J194" s="79" t="n">
        <v>35056</v>
      </c>
      <c r="K194" s="80" t="n">
        <v>25.11</v>
      </c>
      <c r="L194" s="79" t="n">
        <v>1145</v>
      </c>
      <c r="M194" s="79" t="n">
        <v>100724</v>
      </c>
      <c r="N194" s="80" t="n">
        <v>0.15</v>
      </c>
      <c r="O194" s="80" t="n">
        <v>971</v>
      </c>
      <c r="P194" s="47" t="n">
        <v>1</v>
      </c>
      <c r="Q194" s="66" t="s">
        <v>435</v>
      </c>
    </row>
    <row r="195" customFormat="false" ht="15" hidden="false" customHeight="false" outlineLevel="0" collapsed="false">
      <c r="A195" s="76" t="s">
        <v>184</v>
      </c>
      <c r="B195" s="76" t="s">
        <v>212</v>
      </c>
      <c r="C195" s="77" t="n">
        <v>2026</v>
      </c>
      <c r="D195" s="77" t="n">
        <v>2</v>
      </c>
      <c r="E195" s="78" t="n">
        <v>46081</v>
      </c>
      <c r="F195" s="76" t="s">
        <v>213</v>
      </c>
      <c r="G195" s="76" t="s">
        <v>214</v>
      </c>
      <c r="H195" s="76" t="s">
        <v>215</v>
      </c>
      <c r="I195" s="79" t="n">
        <v>23860</v>
      </c>
      <c r="J195" s="79" t="n">
        <v>17755</v>
      </c>
      <c r="K195" s="80" t="n">
        <v>12.2</v>
      </c>
      <c r="L195" s="79" t="n">
        <v>1142</v>
      </c>
      <c r="M195" s="79" t="n">
        <v>72459</v>
      </c>
      <c r="N195" s="80" t="n">
        <v>0.115</v>
      </c>
      <c r="O195" s="80" t="n">
        <v>412.369995117188</v>
      </c>
      <c r="P195" s="47" t="n">
        <v>2</v>
      </c>
      <c r="Q195" s="66" t="s">
        <v>436</v>
      </c>
    </row>
    <row r="196" customFormat="false" ht="15" hidden="false" customHeight="false" outlineLevel="0" collapsed="false">
      <c r="A196" s="76" t="s">
        <v>184</v>
      </c>
      <c r="B196" s="76" t="s">
        <v>217</v>
      </c>
      <c r="C196" s="77" t="n">
        <v>2026</v>
      </c>
      <c r="D196" s="77" t="n">
        <v>1</v>
      </c>
      <c r="E196" s="78" t="n">
        <v>45991</v>
      </c>
      <c r="F196" s="76" t="s">
        <v>213</v>
      </c>
      <c r="G196" s="76" t="s">
        <v>214</v>
      </c>
      <c r="H196" s="76" t="s">
        <v>215</v>
      </c>
      <c r="I196" s="79" t="n">
        <v>13643</v>
      </c>
      <c r="J196" s="79" t="n">
        <v>7646</v>
      </c>
      <c r="K196" s="80" t="n">
        <v>4.78</v>
      </c>
      <c r="L196" s="79" t="n">
        <v>1138</v>
      </c>
      <c r="M196" s="79" t="n">
        <v>58806</v>
      </c>
      <c r="N196" s="80" t="n">
        <v>0.115</v>
      </c>
      <c r="O196" s="80" t="n">
        <v>236.479995727539</v>
      </c>
      <c r="P196" s="47" t="n">
        <v>3</v>
      </c>
      <c r="Q196" s="66" t="s">
        <v>437</v>
      </c>
    </row>
    <row r="197" customFormat="false" ht="15" hidden="false" customHeight="false" outlineLevel="0" collapsed="false">
      <c r="A197" s="76" t="s">
        <v>184</v>
      </c>
      <c r="B197" s="76" t="s">
        <v>219</v>
      </c>
      <c r="C197" s="77" t="n">
        <v>2025</v>
      </c>
      <c r="D197" s="77" t="n">
        <v>4</v>
      </c>
      <c r="E197" s="78" t="n">
        <v>45900</v>
      </c>
      <c r="F197" s="76" t="s">
        <v>213</v>
      </c>
      <c r="G197" s="76" t="s">
        <v>214</v>
      </c>
      <c r="H197" s="76" t="s">
        <v>215</v>
      </c>
      <c r="I197" s="79" t="n">
        <v>11315</v>
      </c>
      <c r="J197" s="79" t="n">
        <v>5054</v>
      </c>
      <c r="K197" s="80" t="n">
        <v>3.03</v>
      </c>
      <c r="L197" s="79" t="n">
        <v>1131</v>
      </c>
      <c r="M197" s="79" t="n">
        <v>54165</v>
      </c>
      <c r="N197" s="80" t="n">
        <v>0.115</v>
      </c>
      <c r="O197" s="80" t="n">
        <v>119.010002136231</v>
      </c>
      <c r="P197" s="47" t="n">
        <v>4</v>
      </c>
      <c r="Q197" s="66" t="s">
        <v>438</v>
      </c>
    </row>
    <row r="198" customFormat="false" ht="15" hidden="false" customHeight="false" outlineLevel="0" collapsed="false">
      <c r="A198" s="76" t="s">
        <v>184</v>
      </c>
      <c r="B198" s="76" t="s">
        <v>221</v>
      </c>
      <c r="C198" s="77" t="n">
        <v>2025</v>
      </c>
      <c r="D198" s="77" t="n">
        <v>3</v>
      </c>
      <c r="E198" s="78" t="n">
        <v>45808</v>
      </c>
      <c r="F198" s="76" t="s">
        <v>213</v>
      </c>
      <c r="G198" s="76" t="s">
        <v>214</v>
      </c>
      <c r="H198" s="76" t="s">
        <v>215</v>
      </c>
      <c r="I198" s="79" t="n">
        <v>9301</v>
      </c>
      <c r="J198" s="79" t="n">
        <v>3508</v>
      </c>
      <c r="K198" s="80" t="n">
        <v>1.91</v>
      </c>
      <c r="L198" s="79" t="n">
        <v>1125</v>
      </c>
      <c r="M198" s="79" t="n">
        <v>50748</v>
      </c>
      <c r="N198" s="80" t="n">
        <v>0.115</v>
      </c>
      <c r="O198" s="80" t="n">
        <v>94.4599990844727</v>
      </c>
      <c r="P198" s="47" t="n">
        <v>5</v>
      </c>
      <c r="Q198" s="66" t="s">
        <v>439</v>
      </c>
    </row>
    <row r="199" customFormat="false" ht="15" hidden="false" customHeight="false" outlineLevel="0" collapsed="false">
      <c r="A199" s="76" t="s">
        <v>184</v>
      </c>
      <c r="B199" s="76" t="s">
        <v>223</v>
      </c>
      <c r="C199" s="77" t="n">
        <v>2025</v>
      </c>
      <c r="D199" s="77" t="n">
        <v>2</v>
      </c>
      <c r="E199" s="78" t="n">
        <v>45716</v>
      </c>
      <c r="F199" s="76" t="s">
        <v>213</v>
      </c>
      <c r="G199" s="76" t="s">
        <v>214</v>
      </c>
      <c r="H199" s="76" t="s">
        <v>215</v>
      </c>
      <c r="I199" s="79" t="n">
        <v>8053</v>
      </c>
      <c r="J199" s="79" t="n">
        <v>2963</v>
      </c>
      <c r="K199" s="80" t="n">
        <v>1.56</v>
      </c>
      <c r="L199" s="79" t="n">
        <v>1128.5</v>
      </c>
      <c r="M199" s="79" t="n">
        <v>48633</v>
      </c>
      <c r="N199" s="80" t="n">
        <v>0.115</v>
      </c>
      <c r="O199" s="80" t="n">
        <v>93.629997253418</v>
      </c>
      <c r="P199" s="47" t="n">
        <v>6</v>
      </c>
      <c r="Q199" s="66" t="s">
        <v>440</v>
      </c>
    </row>
    <row r="200" customFormat="false" ht="15" hidden="false" customHeight="false" outlineLevel="0" collapsed="false">
      <c r="A200" s="76" t="s">
        <v>184</v>
      </c>
      <c r="B200" s="76" t="s">
        <v>225</v>
      </c>
      <c r="C200" s="77" t="n">
        <v>2025</v>
      </c>
      <c r="D200" s="77" t="n">
        <v>1</v>
      </c>
      <c r="E200" s="78" t="n">
        <v>45626</v>
      </c>
      <c r="F200" s="76" t="s">
        <v>213</v>
      </c>
      <c r="G200" s="76" t="s">
        <v>214</v>
      </c>
      <c r="H200" s="76" t="s">
        <v>215</v>
      </c>
      <c r="I200" s="79" t="n">
        <v>8709</v>
      </c>
      <c r="J200" s="79" t="n">
        <v>3348</v>
      </c>
      <c r="K200" s="80" t="n">
        <v>1.79</v>
      </c>
      <c r="L200" s="79" t="n">
        <v>1123.5</v>
      </c>
      <c r="M200" s="79" t="n">
        <v>46797</v>
      </c>
      <c r="N200" s="80" t="n">
        <v>0.115</v>
      </c>
      <c r="O200" s="80" t="n">
        <v>97.9499969482422</v>
      </c>
      <c r="P200" s="47" t="n">
        <v>7</v>
      </c>
      <c r="Q200" s="66" t="s">
        <v>441</v>
      </c>
    </row>
    <row r="201" customFormat="false" ht="15" hidden="false" customHeight="false" outlineLevel="0" collapsed="false">
      <c r="A201" s="76" t="s">
        <v>184</v>
      </c>
      <c r="B201" s="76" t="s">
        <v>227</v>
      </c>
      <c r="C201" s="77" t="n">
        <v>2024</v>
      </c>
      <c r="D201" s="77" t="n">
        <v>4</v>
      </c>
      <c r="E201" s="78" t="n">
        <v>45535</v>
      </c>
      <c r="F201" s="76" t="s">
        <v>213</v>
      </c>
      <c r="G201" s="76" t="s">
        <v>214</v>
      </c>
      <c r="H201" s="76" t="s">
        <v>215</v>
      </c>
      <c r="I201" s="79" t="n">
        <v>7750</v>
      </c>
      <c r="J201" s="79" t="n">
        <v>2737</v>
      </c>
      <c r="K201" s="80" t="n">
        <v>1.18</v>
      </c>
      <c r="L201" s="79"/>
      <c r="M201" s="79" t="n">
        <v>45131</v>
      </c>
      <c r="N201" s="80" t="n">
        <v>0.115</v>
      </c>
      <c r="O201" s="80" t="n">
        <v>96.2399978637695</v>
      </c>
      <c r="P201" s="47" t="n">
        <v>8</v>
      </c>
      <c r="Q201" s="66" t="s">
        <v>442</v>
      </c>
    </row>
    <row r="202" customFormat="false" ht="15" hidden="false" customHeight="false" outlineLevel="0" collapsed="false">
      <c r="A202" s="76" t="s">
        <v>184</v>
      </c>
      <c r="B202" s="76" t="s">
        <v>229</v>
      </c>
      <c r="C202" s="77" t="n">
        <v>2024</v>
      </c>
      <c r="D202" s="77" t="n">
        <v>3</v>
      </c>
      <c r="E202" s="78" t="n">
        <v>45443</v>
      </c>
      <c r="F202" s="76" t="s">
        <v>213</v>
      </c>
      <c r="G202" s="76" t="s">
        <v>214</v>
      </c>
      <c r="H202" s="76" t="s">
        <v>215</v>
      </c>
      <c r="I202" s="79" t="n">
        <v>6811</v>
      </c>
      <c r="J202" s="79" t="n">
        <v>1832</v>
      </c>
      <c r="K202" s="80" t="n">
        <v>0.62</v>
      </c>
      <c r="L202" s="79" t="n">
        <v>1102</v>
      </c>
      <c r="M202" s="79" t="n">
        <v>44225</v>
      </c>
      <c r="N202" s="80" t="n">
        <v>0.115</v>
      </c>
      <c r="O202" s="80" t="n">
        <v>125</v>
      </c>
      <c r="P202" s="47" t="n">
        <v>9</v>
      </c>
      <c r="Q202" s="66" t="s">
        <v>443</v>
      </c>
    </row>
    <row r="203" customFormat="false" ht="15" hidden="false" customHeight="false" outlineLevel="0" collapsed="false">
      <c r="A203" s="76" t="s">
        <v>184</v>
      </c>
      <c r="B203" s="76" t="s">
        <v>231</v>
      </c>
      <c r="C203" s="77" t="n">
        <v>2024</v>
      </c>
      <c r="D203" s="77" t="n">
        <v>2</v>
      </c>
      <c r="E203" s="78" t="n">
        <v>45351</v>
      </c>
      <c r="F203" s="76" t="s">
        <v>213</v>
      </c>
      <c r="G203" s="76" t="s">
        <v>214</v>
      </c>
      <c r="H203" s="76" t="s">
        <v>215</v>
      </c>
      <c r="I203" s="79" t="n">
        <v>5824</v>
      </c>
      <c r="J203" s="79" t="n">
        <v>1079</v>
      </c>
      <c r="K203" s="80" t="n">
        <v>0.42</v>
      </c>
      <c r="L203" s="79" t="n">
        <v>1098.5</v>
      </c>
      <c r="M203" s="79" t="n">
        <v>43870</v>
      </c>
      <c r="N203" s="80" t="n">
        <v>0.115</v>
      </c>
      <c r="O203" s="80" t="n">
        <v>90.6100006103516</v>
      </c>
      <c r="P203" s="47" t="n">
        <v>10</v>
      </c>
      <c r="Q203" s="66" t="s">
        <v>444</v>
      </c>
    </row>
    <row r="204" customFormat="false" ht="15" hidden="false" customHeight="false" outlineLevel="0" collapsed="false">
      <c r="A204" s="76" t="s">
        <v>184</v>
      </c>
      <c r="B204" s="76" t="s">
        <v>233</v>
      </c>
      <c r="C204" s="77" t="n">
        <v>2024</v>
      </c>
      <c r="D204" s="77" t="n">
        <v>1</v>
      </c>
      <c r="E204" s="78" t="n">
        <v>45260</v>
      </c>
      <c r="F204" s="76" t="s">
        <v>213</v>
      </c>
      <c r="G204" s="76" t="s">
        <v>214</v>
      </c>
      <c r="H204" s="76" t="s">
        <v>215</v>
      </c>
      <c r="I204" s="79" t="n">
        <v>4726</v>
      </c>
      <c r="J204" s="79" t="n">
        <v>-35</v>
      </c>
      <c r="K204" s="80" t="n">
        <v>-0.95</v>
      </c>
      <c r="L204" s="79" t="n">
        <v>1095.5</v>
      </c>
      <c r="M204" s="79" t="n">
        <v>42885</v>
      </c>
      <c r="N204" s="80" t="n">
        <v>0.115</v>
      </c>
      <c r="O204" s="80" t="n">
        <v>76.120002746582</v>
      </c>
      <c r="P204" s="47" t="n">
        <v>11</v>
      </c>
      <c r="Q204" s="66" t="s">
        <v>445</v>
      </c>
    </row>
    <row r="205" customFormat="false" ht="15" hidden="false" customHeight="false" outlineLevel="0" collapsed="false">
      <c r="A205" s="76" t="s">
        <v>184</v>
      </c>
      <c r="B205" s="76" t="s">
        <v>235</v>
      </c>
      <c r="C205" s="77" t="n">
        <v>2023</v>
      </c>
      <c r="D205" s="77" t="n">
        <v>4</v>
      </c>
      <c r="E205" s="78" t="n">
        <v>45169</v>
      </c>
      <c r="F205" s="76" t="s">
        <v>213</v>
      </c>
      <c r="G205" s="76" t="s">
        <v>214</v>
      </c>
      <c r="H205" s="76" t="s">
        <v>215</v>
      </c>
      <c r="I205" s="79" t="n">
        <v>4010</v>
      </c>
      <c r="J205" s="79" t="n">
        <v>-435</v>
      </c>
      <c r="K205" s="80" t="n">
        <v>-1.07</v>
      </c>
      <c r="L205" s="79"/>
      <c r="M205" s="79" t="n">
        <v>44120</v>
      </c>
      <c r="N205" s="80" t="n">
        <v>0.115</v>
      </c>
      <c r="O205" s="80" t="n">
        <v>69.9400024414063</v>
      </c>
      <c r="P205" s="47" t="n">
        <v>12</v>
      </c>
      <c r="Q205" s="66" t="s">
        <v>446</v>
      </c>
    </row>
    <row r="206" customFormat="false" ht="15" hidden="false" customHeight="false" outlineLevel="0" collapsed="false">
      <c r="A206" s="76" t="s">
        <v>184</v>
      </c>
      <c r="B206" s="76" t="s">
        <v>237</v>
      </c>
      <c r="C206" s="77" t="n">
        <v>2023</v>
      </c>
      <c r="D206" s="77" t="n">
        <v>3</v>
      </c>
      <c r="E206" s="78" t="n">
        <v>45077</v>
      </c>
      <c r="F206" s="76" t="s">
        <v>213</v>
      </c>
      <c r="G206" s="76" t="s">
        <v>214</v>
      </c>
      <c r="H206" s="76" t="s">
        <v>215</v>
      </c>
      <c r="I206" s="79" t="n">
        <v>3752</v>
      </c>
      <c r="J206" s="79" t="n">
        <v>-668</v>
      </c>
      <c r="K206" s="80" t="n">
        <v>-1.43</v>
      </c>
      <c r="L206" s="79" t="n">
        <v>1094</v>
      </c>
      <c r="M206" s="79" t="n">
        <v>45405</v>
      </c>
      <c r="N206" s="80" t="n">
        <v>0.115</v>
      </c>
      <c r="O206" s="80" t="n">
        <v>68.1999969482422</v>
      </c>
      <c r="P206" s="47" t="n">
        <v>13</v>
      </c>
      <c r="Q206" s="66" t="s">
        <v>447</v>
      </c>
    </row>
    <row r="207" customFormat="false" ht="15" hidden="false" customHeight="false" outlineLevel="0" collapsed="false">
      <c r="A207" s="76" t="s">
        <v>184</v>
      </c>
      <c r="B207" s="76" t="s">
        <v>239</v>
      </c>
      <c r="C207" s="77" t="n">
        <v>2023</v>
      </c>
      <c r="D207" s="77" t="n">
        <v>2</v>
      </c>
      <c r="E207" s="78" t="n">
        <v>44985</v>
      </c>
      <c r="F207" s="76" t="s">
        <v>213</v>
      </c>
      <c r="G207" s="76" t="s">
        <v>214</v>
      </c>
      <c r="H207" s="76" t="s">
        <v>215</v>
      </c>
      <c r="I207" s="79" t="n">
        <v>3693</v>
      </c>
      <c r="J207" s="79" t="n">
        <v>-1206</v>
      </c>
      <c r="K207" s="80" t="n">
        <v>-1.91</v>
      </c>
      <c r="L207" s="79" t="n">
        <v>1091</v>
      </c>
      <c r="M207" s="79" t="n">
        <v>47257</v>
      </c>
      <c r="N207" s="80" t="n">
        <v>0.115</v>
      </c>
      <c r="O207" s="80" t="n">
        <v>57.8199996948242</v>
      </c>
      <c r="P207" s="47" t="n">
        <v>14</v>
      </c>
      <c r="Q207" s="66" t="s">
        <v>448</v>
      </c>
    </row>
    <row r="208" customFormat="false" ht="15" hidden="false" customHeight="false" outlineLevel="0" collapsed="false">
      <c r="A208" s="76" t="s">
        <v>184</v>
      </c>
      <c r="B208" s="76" t="s">
        <v>241</v>
      </c>
      <c r="C208" s="77" t="n">
        <v>2023</v>
      </c>
      <c r="D208" s="77" t="n">
        <v>1</v>
      </c>
      <c r="E208" s="78" t="n">
        <v>44895</v>
      </c>
      <c r="F208" s="76" t="s">
        <v>213</v>
      </c>
      <c r="G208" s="76" t="s">
        <v>214</v>
      </c>
      <c r="H208" s="76" t="s">
        <v>215</v>
      </c>
      <c r="I208" s="79" t="n">
        <v>4085</v>
      </c>
      <c r="J208" s="79" t="n">
        <v>893</v>
      </c>
      <c r="K208" s="80" t="n">
        <v>-0.04</v>
      </c>
      <c r="L208" s="79" t="n">
        <v>1090</v>
      </c>
      <c r="M208" s="79" t="n">
        <v>49306</v>
      </c>
      <c r="N208" s="80" t="n">
        <v>0.115</v>
      </c>
      <c r="O208" s="80" t="n">
        <v>57.6500015258789</v>
      </c>
      <c r="P208" s="47" t="n">
        <v>15</v>
      </c>
      <c r="Q208" s="66" t="s">
        <v>449</v>
      </c>
    </row>
    <row r="209" customFormat="false" ht="15" hidden="false" customHeight="false" outlineLevel="0" collapsed="false">
      <c r="A209" s="76" t="s">
        <v>184</v>
      </c>
      <c r="B209" s="76" t="s">
        <v>243</v>
      </c>
      <c r="C209" s="77" t="n">
        <v>2022</v>
      </c>
      <c r="D209" s="77" t="n">
        <v>4</v>
      </c>
      <c r="E209" s="78" t="n">
        <v>44804</v>
      </c>
      <c r="F209" s="76" t="s">
        <v>213</v>
      </c>
      <c r="G209" s="76" t="s">
        <v>214</v>
      </c>
      <c r="H209" s="76" t="s">
        <v>215</v>
      </c>
      <c r="I209" s="79" t="n">
        <v>6643</v>
      </c>
      <c r="J209" s="79" t="n">
        <v>2622</v>
      </c>
      <c r="K209" s="80" t="n">
        <v>1.45</v>
      </c>
      <c r="L209" s="79"/>
      <c r="M209" s="79" t="n">
        <v>49907</v>
      </c>
      <c r="N209" s="80" t="n">
        <v>0.115</v>
      </c>
      <c r="O209" s="80" t="n">
        <v>56.5299987792969</v>
      </c>
      <c r="P209" s="47" t="n">
        <v>16</v>
      </c>
      <c r="Q209" s="66" t="s">
        <v>450</v>
      </c>
    </row>
    <row r="210" customFormat="false" ht="15" hidden="false" customHeight="false" outlineLevel="0" collapsed="false">
      <c r="A210" s="76" t="s">
        <v>184</v>
      </c>
      <c r="B210" s="76" t="s">
        <v>245</v>
      </c>
      <c r="C210" s="77" t="n">
        <v>2022</v>
      </c>
      <c r="D210" s="77" t="n">
        <v>3</v>
      </c>
      <c r="E210" s="78" t="n">
        <v>44712</v>
      </c>
      <c r="F210" s="76" t="s">
        <v>213</v>
      </c>
      <c r="G210" s="76" t="s">
        <v>214</v>
      </c>
      <c r="H210" s="76" t="s">
        <v>215</v>
      </c>
      <c r="I210" s="79" t="n">
        <v>8642</v>
      </c>
      <c r="J210" s="79" t="n">
        <v>4035</v>
      </c>
      <c r="K210" s="80" t="n">
        <v>2.59</v>
      </c>
      <c r="L210" s="79" t="n">
        <v>1121</v>
      </c>
      <c r="M210" s="79" t="n">
        <v>49281</v>
      </c>
      <c r="N210" s="80" t="n">
        <v>0.1</v>
      </c>
      <c r="O210" s="80" t="n">
        <v>73.8399963378906</v>
      </c>
      <c r="P210" s="47" t="n">
        <v>17</v>
      </c>
      <c r="Q210" s="66" t="s">
        <v>451</v>
      </c>
    </row>
    <row r="211" customFormat="false" ht="15" hidden="false" customHeight="false" outlineLevel="0" collapsed="false">
      <c r="A211" s="76" t="s">
        <v>184</v>
      </c>
      <c r="B211" s="76" t="s">
        <v>247</v>
      </c>
      <c r="C211" s="77" t="n">
        <v>2022</v>
      </c>
      <c r="D211" s="77" t="n">
        <v>2</v>
      </c>
      <c r="E211" s="78" t="n">
        <v>44620</v>
      </c>
      <c r="F211" s="76" t="s">
        <v>213</v>
      </c>
      <c r="G211" s="76" t="s">
        <v>214</v>
      </c>
      <c r="H211" s="76" t="s">
        <v>215</v>
      </c>
      <c r="I211" s="79" t="n">
        <v>7786</v>
      </c>
      <c r="J211" s="79" t="n">
        <v>3676</v>
      </c>
      <c r="K211" s="80" t="n">
        <v>2.14</v>
      </c>
      <c r="L211" s="79" t="n">
        <v>1130</v>
      </c>
      <c r="M211" s="79" t="n">
        <v>47845</v>
      </c>
      <c r="N211" s="80" t="n">
        <v>0.1</v>
      </c>
      <c r="O211" s="80" t="n">
        <v>88.8600006103516</v>
      </c>
      <c r="P211" s="47" t="n">
        <v>18</v>
      </c>
      <c r="Q211" s="66" t="s">
        <v>452</v>
      </c>
    </row>
    <row r="212" customFormat="false" ht="15" hidden="false" customHeight="false" outlineLevel="0" collapsed="false">
      <c r="A212" s="76" t="s">
        <v>184</v>
      </c>
      <c r="B212" s="76" t="s">
        <v>249</v>
      </c>
      <c r="C212" s="77" t="n">
        <v>2022</v>
      </c>
      <c r="D212" s="77" t="n">
        <v>1</v>
      </c>
      <c r="E212" s="78" t="n">
        <v>44530</v>
      </c>
      <c r="F212" s="76" t="s">
        <v>213</v>
      </c>
      <c r="G212" s="76" t="s">
        <v>214</v>
      </c>
      <c r="H212" s="76" t="s">
        <v>215</v>
      </c>
      <c r="I212" s="79" t="n">
        <v>7687</v>
      </c>
      <c r="J212" s="79" t="n">
        <v>3565</v>
      </c>
      <c r="K212" s="80" t="n">
        <v>2.16</v>
      </c>
      <c r="L212" s="79" t="n">
        <v>1130</v>
      </c>
      <c r="M212" s="79" t="n">
        <v>45908</v>
      </c>
      <c r="N212" s="80" t="n">
        <v>0.1</v>
      </c>
      <c r="O212" s="80" t="n">
        <v>84</v>
      </c>
      <c r="P212" s="47" t="n">
        <v>19</v>
      </c>
      <c r="Q212" s="66" t="s">
        <v>453</v>
      </c>
    </row>
    <row r="213" customFormat="false" ht="15" hidden="false" customHeight="false" outlineLevel="0" collapsed="false">
      <c r="A213" s="76" t="s">
        <v>184</v>
      </c>
      <c r="B213" s="76" t="s">
        <v>251</v>
      </c>
      <c r="C213" s="77" t="n">
        <v>2021</v>
      </c>
      <c r="D213" s="77" t="n">
        <v>4</v>
      </c>
      <c r="E213" s="78" t="n">
        <v>44439</v>
      </c>
      <c r="F213" s="76" t="s">
        <v>213</v>
      </c>
      <c r="G213" s="76" t="s">
        <v>214</v>
      </c>
      <c r="H213" s="76" t="s">
        <v>215</v>
      </c>
      <c r="I213" s="79" t="n">
        <v>8274</v>
      </c>
      <c r="J213" s="79" t="n">
        <v>3912</v>
      </c>
      <c r="K213" s="80" t="n">
        <v>2.42</v>
      </c>
      <c r="L213" s="79"/>
      <c r="M213" s="79" t="n">
        <v>43933</v>
      </c>
      <c r="N213" s="80" t="n">
        <v>0</v>
      </c>
      <c r="O213" s="80" t="n">
        <v>73.6999969482422</v>
      </c>
      <c r="P213" s="47" t="n">
        <v>20</v>
      </c>
      <c r="Q213" s="66" t="s">
        <v>454</v>
      </c>
    </row>
    <row r="214" customFormat="false" ht="15" hidden="false" customHeight="false" outlineLevel="0" collapsed="false">
      <c r="A214" s="76" t="s">
        <v>184</v>
      </c>
      <c r="B214" s="76" t="s">
        <v>253</v>
      </c>
      <c r="C214" s="77" t="n">
        <v>2021</v>
      </c>
      <c r="D214" s="77" t="n">
        <v>3</v>
      </c>
      <c r="E214" s="78" t="n">
        <v>44347</v>
      </c>
      <c r="F214" s="76" t="s">
        <v>213</v>
      </c>
      <c r="G214" s="76" t="s">
        <v>214</v>
      </c>
      <c r="H214" s="76" t="s">
        <v>215</v>
      </c>
      <c r="I214" s="79" t="n">
        <v>7422</v>
      </c>
      <c r="J214" s="79" t="n">
        <v>3126</v>
      </c>
      <c r="K214" s="80" t="n">
        <v>1.88</v>
      </c>
      <c r="L214" s="79" t="n">
        <v>1145</v>
      </c>
      <c r="M214" s="79" t="n">
        <v>42259</v>
      </c>
      <c r="N214" s="80" t="n">
        <v>0</v>
      </c>
      <c r="O214" s="80" t="n">
        <v>84.1399993896484</v>
      </c>
      <c r="P214" s="47" t="n">
        <v>21</v>
      </c>
      <c r="Q214" s="66" t="s">
        <v>455</v>
      </c>
    </row>
    <row r="215" customFormat="false" ht="15" hidden="false" customHeight="false" outlineLevel="0" collapsed="false">
      <c r="A215" s="76" t="s">
        <v>184</v>
      </c>
      <c r="B215" s="76" t="s">
        <v>255</v>
      </c>
      <c r="C215" s="77" t="n">
        <v>2021</v>
      </c>
      <c r="D215" s="77" t="n">
        <v>2</v>
      </c>
      <c r="E215" s="78" t="n">
        <v>44255</v>
      </c>
      <c r="F215" s="76" t="s">
        <v>213</v>
      </c>
      <c r="G215" s="76" t="s">
        <v>214</v>
      </c>
      <c r="H215" s="76" t="s">
        <v>215</v>
      </c>
      <c r="I215" s="79" t="n">
        <v>6236</v>
      </c>
      <c r="J215" s="79" t="n">
        <v>1649</v>
      </c>
      <c r="K215" s="80" t="n">
        <v>0.98</v>
      </c>
      <c r="L215" s="79" t="n">
        <v>1144</v>
      </c>
      <c r="M215" s="79" t="n">
        <v>40663</v>
      </c>
      <c r="N215" s="80" t="n">
        <v>0</v>
      </c>
      <c r="O215" s="80" t="n">
        <v>91.5299987792969</v>
      </c>
      <c r="P215" s="47" t="n">
        <v>22</v>
      </c>
      <c r="Q215" s="66" t="s">
        <v>456</v>
      </c>
    </row>
    <row r="216" customFormat="false" ht="15" hidden="false" customHeight="false" outlineLevel="0" collapsed="false">
      <c r="A216" s="76" t="s">
        <v>184</v>
      </c>
      <c r="B216" s="76" t="s">
        <v>257</v>
      </c>
      <c r="C216" s="77" t="n">
        <v>2021</v>
      </c>
      <c r="D216" s="77" t="n">
        <v>1</v>
      </c>
      <c r="E216" s="78" t="n">
        <v>44165</v>
      </c>
      <c r="F216" s="76" t="s">
        <v>213</v>
      </c>
      <c r="G216" s="76" t="s">
        <v>214</v>
      </c>
      <c r="H216" s="76" t="s">
        <v>215</v>
      </c>
      <c r="I216" s="79" t="n">
        <v>5773</v>
      </c>
      <c r="J216" s="79" t="n">
        <v>1736</v>
      </c>
      <c r="K216" s="80" t="n">
        <v>0.78</v>
      </c>
      <c r="L216" s="79" t="n">
        <v>1135</v>
      </c>
      <c r="M216" s="79" t="n">
        <v>39907</v>
      </c>
      <c r="N216" s="80" t="n">
        <v>0</v>
      </c>
      <c r="O216" s="80" t="n">
        <v>64.0899963378906</v>
      </c>
      <c r="P216" s="47" t="n">
        <v>23</v>
      </c>
      <c r="Q216" s="66" t="s">
        <v>457</v>
      </c>
    </row>
    <row r="217" customFormat="false" ht="15" hidden="false" customHeight="false" outlineLevel="0" collapsed="false">
      <c r="A217" s="76" t="s">
        <v>184</v>
      </c>
      <c r="B217" s="76" t="s">
        <v>259</v>
      </c>
      <c r="C217" s="77" t="n">
        <v>2020</v>
      </c>
      <c r="D217" s="77" t="n">
        <v>4</v>
      </c>
      <c r="E217" s="78" t="n">
        <v>44074</v>
      </c>
      <c r="F217" s="76" t="s">
        <v>213</v>
      </c>
      <c r="G217" s="76" t="s">
        <v>214</v>
      </c>
      <c r="H217" s="76" t="s">
        <v>215</v>
      </c>
      <c r="I217" s="79" t="n">
        <v>6056</v>
      </c>
      <c r="J217" s="79" t="n">
        <v>2068</v>
      </c>
      <c r="K217" s="80" t="n">
        <v>1.08</v>
      </c>
      <c r="L217" s="79"/>
      <c r="M217" s="79" t="n">
        <v>38996</v>
      </c>
      <c r="N217" s="80"/>
      <c r="O217" s="80" t="n">
        <v>45.5099983215332</v>
      </c>
      <c r="P217" s="47" t="n">
        <v>24</v>
      </c>
      <c r="Q217" s="66" t="s">
        <v>458</v>
      </c>
    </row>
    <row r="218" customFormat="false" ht="15" hidden="false" customHeight="false" outlineLevel="0" collapsed="false">
      <c r="A218" s="76" t="s">
        <v>172</v>
      </c>
      <c r="B218" s="76" t="s">
        <v>312</v>
      </c>
      <c r="C218" s="77" t="n">
        <v>2027</v>
      </c>
      <c r="D218" s="77" t="n">
        <v>2</v>
      </c>
      <c r="E218" s="78" t="n">
        <v>46234</v>
      </c>
      <c r="F218" s="76" t="s">
        <v>213</v>
      </c>
      <c r="G218" s="76" t="s">
        <v>214</v>
      </c>
      <c r="H218" s="76" t="s">
        <v>215</v>
      </c>
      <c r="I218" s="79" t="n">
        <v>302970</v>
      </c>
      <c r="J218" s="79" t="n">
        <v>226241</v>
      </c>
      <c r="K218" s="80" t="n">
        <v>2.22</v>
      </c>
      <c r="L218" s="79" t="n">
        <v>24397.5</v>
      </c>
      <c r="M218" s="79" t="n">
        <v>228984</v>
      </c>
      <c r="N218" s="80" t="n">
        <v>0.25</v>
      </c>
      <c r="O218" s="80" t="n">
        <v>200.75</v>
      </c>
      <c r="P218" s="47" t="n">
        <v>1</v>
      </c>
      <c r="Q218" s="66" t="s">
        <v>459</v>
      </c>
    </row>
    <row r="219" customFormat="false" ht="15" hidden="false" customHeight="false" outlineLevel="0" collapsed="false">
      <c r="A219" s="76" t="s">
        <v>172</v>
      </c>
      <c r="B219" s="76" t="s">
        <v>314</v>
      </c>
      <c r="C219" s="77" t="n">
        <v>2027</v>
      </c>
      <c r="D219" s="77" t="n">
        <v>1</v>
      </c>
      <c r="E219" s="78" t="n">
        <v>46142</v>
      </c>
      <c r="F219" s="76" t="s">
        <v>213</v>
      </c>
      <c r="G219" s="76" t="s">
        <v>214</v>
      </c>
      <c r="H219" s="76" t="s">
        <v>215</v>
      </c>
      <c r="I219" s="79" t="n">
        <v>81615</v>
      </c>
      <c r="J219" s="79" t="n">
        <v>61157</v>
      </c>
      <c r="K219" s="80" t="n">
        <v>1.87</v>
      </c>
      <c r="L219" s="79" t="n">
        <v>24391</v>
      </c>
      <c r="M219" s="79" t="n">
        <v>195474</v>
      </c>
      <c r="N219" s="80" t="n">
        <v>0.01</v>
      </c>
      <c r="O219" s="80" t="n">
        <v>199.570007324219</v>
      </c>
      <c r="P219" s="47" t="n">
        <v>2</v>
      </c>
      <c r="Q219" s="66" t="s">
        <v>460</v>
      </c>
    </row>
    <row r="220" customFormat="false" ht="15" hidden="false" customHeight="false" outlineLevel="0" collapsed="false">
      <c r="A220" s="76" t="s">
        <v>172</v>
      </c>
      <c r="B220" s="76" t="s">
        <v>316</v>
      </c>
      <c r="C220" s="77" t="n">
        <v>2026</v>
      </c>
      <c r="D220" s="77" t="n">
        <v>4</v>
      </c>
      <c r="E220" s="78" t="n">
        <v>46053</v>
      </c>
      <c r="F220" s="76" t="s">
        <v>213</v>
      </c>
      <c r="G220" s="76" t="s">
        <v>214</v>
      </c>
      <c r="H220" s="76" t="s">
        <v>215</v>
      </c>
      <c r="I220" s="79" t="n">
        <v>68127</v>
      </c>
      <c r="J220" s="79" t="n">
        <v>51093</v>
      </c>
      <c r="K220" s="80" t="n">
        <v>1.62</v>
      </c>
      <c r="L220" s="79" t="n">
        <v>24432</v>
      </c>
      <c r="M220" s="79" t="n">
        <v>157293</v>
      </c>
      <c r="N220" s="80" t="n">
        <v>0.01</v>
      </c>
      <c r="O220" s="80" t="n">
        <v>191.130004882813</v>
      </c>
      <c r="P220" s="47" t="n">
        <v>3</v>
      </c>
      <c r="Q220" s="66" t="s">
        <v>461</v>
      </c>
    </row>
    <row r="221" customFormat="false" ht="15" hidden="false" customHeight="false" outlineLevel="0" collapsed="false">
      <c r="A221" s="76" t="s">
        <v>172</v>
      </c>
      <c r="B221" s="76" t="s">
        <v>263</v>
      </c>
      <c r="C221" s="77" t="n">
        <v>2026</v>
      </c>
      <c r="D221" s="77" t="n">
        <v>3</v>
      </c>
      <c r="E221" s="78" t="n">
        <v>45961</v>
      </c>
      <c r="F221" s="76" t="s">
        <v>213</v>
      </c>
      <c r="G221" s="76" t="s">
        <v>214</v>
      </c>
      <c r="H221" s="76" t="s">
        <v>215</v>
      </c>
      <c r="I221" s="79" t="n">
        <v>57006</v>
      </c>
      <c r="J221" s="79" t="n">
        <v>41849</v>
      </c>
      <c r="K221" s="80" t="n">
        <v>1.3</v>
      </c>
      <c r="L221" s="79" t="n">
        <v>24483</v>
      </c>
      <c r="M221" s="79" t="n">
        <v>118897</v>
      </c>
      <c r="N221" s="80" t="n">
        <v>0.01</v>
      </c>
      <c r="O221" s="80" t="n">
        <v>202.490005493164</v>
      </c>
      <c r="P221" s="47" t="n">
        <v>4</v>
      </c>
      <c r="Q221" s="66" t="s">
        <v>462</v>
      </c>
    </row>
    <row r="222" customFormat="false" ht="15" hidden="false" customHeight="false" outlineLevel="0" collapsed="false">
      <c r="A222" s="76" t="s">
        <v>172</v>
      </c>
      <c r="B222" s="76" t="s">
        <v>212</v>
      </c>
      <c r="C222" s="77" t="n">
        <v>2026</v>
      </c>
      <c r="D222" s="77" t="n">
        <v>2</v>
      </c>
      <c r="E222" s="78" t="n">
        <v>45869</v>
      </c>
      <c r="F222" s="76" t="s">
        <v>213</v>
      </c>
      <c r="G222" s="76" t="s">
        <v>214</v>
      </c>
      <c r="H222" s="76" t="s">
        <v>215</v>
      </c>
      <c r="I222" s="79" t="n">
        <v>46743</v>
      </c>
      <c r="J222" s="79" t="n">
        <v>33853</v>
      </c>
      <c r="K222" s="80" t="n">
        <v>1.05</v>
      </c>
      <c r="L222" s="79" t="n">
        <v>24532</v>
      </c>
      <c r="M222" s="79" t="n">
        <v>100131</v>
      </c>
      <c r="N222" s="80" t="n">
        <v>0.01</v>
      </c>
      <c r="O222" s="80" t="n">
        <v>177.869995117188</v>
      </c>
      <c r="P222" s="47" t="n">
        <v>5</v>
      </c>
      <c r="Q222" s="66" t="s">
        <v>463</v>
      </c>
    </row>
    <row r="223" customFormat="false" ht="15" hidden="false" customHeight="false" outlineLevel="0" collapsed="false">
      <c r="A223" s="76" t="s">
        <v>172</v>
      </c>
      <c r="B223" s="76" t="s">
        <v>217</v>
      </c>
      <c r="C223" s="77" t="n">
        <v>2026</v>
      </c>
      <c r="D223" s="77" t="n">
        <v>1</v>
      </c>
      <c r="E223" s="78" t="n">
        <v>45777</v>
      </c>
      <c r="F223" s="76" t="s">
        <v>213</v>
      </c>
      <c r="G223" s="76" t="s">
        <v>214</v>
      </c>
      <c r="H223" s="76" t="s">
        <v>215</v>
      </c>
      <c r="I223" s="79" t="n">
        <v>44062</v>
      </c>
      <c r="J223" s="79" t="n">
        <v>26668</v>
      </c>
      <c r="K223" s="80" t="n">
        <v>0.81</v>
      </c>
      <c r="L223" s="79" t="n">
        <v>24611</v>
      </c>
      <c r="M223" s="79" t="n">
        <v>83843</v>
      </c>
      <c r="N223" s="80" t="n">
        <v>0.01</v>
      </c>
      <c r="O223" s="80" t="n">
        <v>108.919998168945</v>
      </c>
      <c r="P223" s="47" t="n">
        <v>6</v>
      </c>
      <c r="Q223" s="66" t="s">
        <v>464</v>
      </c>
    </row>
    <row r="224" customFormat="false" ht="15" hidden="false" customHeight="false" outlineLevel="0" collapsed="false">
      <c r="A224" s="76" t="s">
        <v>172</v>
      </c>
      <c r="B224" s="76" t="s">
        <v>219</v>
      </c>
      <c r="C224" s="77" t="n">
        <v>2025</v>
      </c>
      <c r="D224" s="77" t="n">
        <v>4</v>
      </c>
      <c r="E224" s="78" t="n">
        <v>45688</v>
      </c>
      <c r="F224" s="76" t="s">
        <v>213</v>
      </c>
      <c r="G224" s="76" t="s">
        <v>214</v>
      </c>
      <c r="H224" s="76" t="s">
        <v>215</v>
      </c>
      <c r="I224" s="79" t="n">
        <v>39331</v>
      </c>
      <c r="J224" s="79" t="n">
        <v>28723</v>
      </c>
      <c r="K224" s="80" t="n">
        <v>0.89</v>
      </c>
      <c r="L224" s="79"/>
      <c r="M224" s="79" t="n">
        <v>79327</v>
      </c>
      <c r="N224" s="80" t="n">
        <v>0.01</v>
      </c>
      <c r="O224" s="80" t="n">
        <v>120.069999694824</v>
      </c>
      <c r="P224" s="47" t="n">
        <v>7</v>
      </c>
      <c r="Q224" s="66" t="s">
        <v>465</v>
      </c>
    </row>
    <row r="225" customFormat="false" ht="15" hidden="false" customHeight="false" outlineLevel="0" collapsed="false">
      <c r="A225" s="76" t="s">
        <v>172</v>
      </c>
      <c r="B225" s="76" t="s">
        <v>221</v>
      </c>
      <c r="C225" s="77" t="n">
        <v>2025</v>
      </c>
      <c r="D225" s="77" t="n">
        <v>3</v>
      </c>
      <c r="E225" s="78" t="n">
        <v>45596</v>
      </c>
      <c r="F225" s="76" t="s">
        <v>213</v>
      </c>
      <c r="G225" s="76" t="s">
        <v>214</v>
      </c>
      <c r="H225" s="76" t="s">
        <v>215</v>
      </c>
      <c r="I225" s="79" t="n">
        <v>35082</v>
      </c>
      <c r="J225" s="79" t="n">
        <v>26156</v>
      </c>
      <c r="K225" s="80" t="n">
        <v>0.81</v>
      </c>
      <c r="L225" s="79" t="n">
        <v>24774</v>
      </c>
      <c r="M225" s="79" t="n">
        <v>65899</v>
      </c>
      <c r="N225" s="80" t="n">
        <v>0.01</v>
      </c>
      <c r="O225" s="80" t="n">
        <v>132.759994506836</v>
      </c>
      <c r="P225" s="47" t="n">
        <v>8</v>
      </c>
      <c r="Q225" s="66" t="s">
        <v>466</v>
      </c>
    </row>
    <row r="226" customFormat="false" ht="15" hidden="false" customHeight="false" outlineLevel="0" collapsed="false">
      <c r="A226" s="76" t="s">
        <v>172</v>
      </c>
      <c r="B226" s="76" t="s">
        <v>223</v>
      </c>
      <c r="C226" s="77" t="n">
        <v>2025</v>
      </c>
      <c r="D226" s="77" t="n">
        <v>2</v>
      </c>
      <c r="E226" s="78" t="n">
        <v>45501</v>
      </c>
      <c r="F226" s="76" t="s">
        <v>213</v>
      </c>
      <c r="G226" s="76" t="s">
        <v>214</v>
      </c>
      <c r="H226" s="76" t="s">
        <v>215</v>
      </c>
      <c r="I226" s="79" t="n">
        <v>30040</v>
      </c>
      <c r="J226" s="79" t="n">
        <v>22574</v>
      </c>
      <c r="K226" s="80"/>
      <c r="L226" s="79" t="n">
        <v>24848</v>
      </c>
      <c r="M226" s="79" t="n">
        <v>58157</v>
      </c>
      <c r="N226" s="80" t="n">
        <v>0.01</v>
      </c>
      <c r="O226" s="80" t="n">
        <v>113.059997558594</v>
      </c>
      <c r="P226" s="47" t="n">
        <v>9</v>
      </c>
      <c r="Q226" s="66" t="s">
        <v>467</v>
      </c>
    </row>
    <row r="227" customFormat="false" ht="15" hidden="false" customHeight="false" outlineLevel="0" collapsed="false">
      <c r="A227" s="76" t="s">
        <v>172</v>
      </c>
      <c r="B227" s="76" t="s">
        <v>225</v>
      </c>
      <c r="C227" s="77" t="n">
        <v>2025</v>
      </c>
      <c r="D227" s="77" t="n">
        <v>1</v>
      </c>
      <c r="E227" s="78" t="n">
        <v>45410</v>
      </c>
      <c r="F227" s="76" t="s">
        <v>213</v>
      </c>
      <c r="G227" s="76" t="s">
        <v>214</v>
      </c>
      <c r="H227" s="76" t="s">
        <v>215</v>
      </c>
      <c r="I227" s="79" t="n">
        <v>26044</v>
      </c>
      <c r="J227" s="79" t="n">
        <v>20406</v>
      </c>
      <c r="K227" s="80"/>
      <c r="L227" s="79" t="n">
        <v>24890</v>
      </c>
      <c r="M227" s="79" t="n">
        <v>49142</v>
      </c>
      <c r="N227" s="80"/>
      <c r="O227" s="80" t="n">
        <v>87.7350006103516</v>
      </c>
      <c r="P227" s="47" t="n">
        <v>10</v>
      </c>
      <c r="Q227" s="66" t="s">
        <v>468</v>
      </c>
    </row>
    <row r="228" customFormat="false" ht="15" hidden="false" customHeight="false" outlineLevel="0" collapsed="false">
      <c r="A228" s="76" t="s">
        <v>172</v>
      </c>
      <c r="B228" s="76" t="s">
        <v>227</v>
      </c>
      <c r="C228" s="77" t="n">
        <v>2024</v>
      </c>
      <c r="D228" s="77" t="n">
        <v>4</v>
      </c>
      <c r="E228" s="78" t="n">
        <v>45322</v>
      </c>
      <c r="F228" s="76" t="s">
        <v>213</v>
      </c>
      <c r="G228" s="76" t="s">
        <v>214</v>
      </c>
      <c r="H228" s="76" t="s">
        <v>215</v>
      </c>
      <c r="I228" s="79" t="n">
        <v>22103</v>
      </c>
      <c r="J228" s="79" t="n">
        <v>16791</v>
      </c>
      <c r="K228" s="80" t="n">
        <v>0.52</v>
      </c>
      <c r="L228" s="79" t="n">
        <v>24940</v>
      </c>
      <c r="M228" s="79" t="n">
        <v>42978</v>
      </c>
      <c r="N228" s="80" t="n">
        <v>0.004</v>
      </c>
      <c r="O228" s="80" t="n">
        <v>61.5270004272461</v>
      </c>
      <c r="P228" s="47" t="n">
        <v>11</v>
      </c>
      <c r="Q228" s="66" t="s">
        <v>469</v>
      </c>
    </row>
    <row r="229" customFormat="false" ht="15" hidden="false" customHeight="false" outlineLevel="0" collapsed="false">
      <c r="A229" s="76" t="s">
        <v>172</v>
      </c>
      <c r="B229" s="76" t="s">
        <v>229</v>
      </c>
      <c r="C229" s="77" t="n">
        <v>2024</v>
      </c>
      <c r="D229" s="77" t="n">
        <v>3</v>
      </c>
      <c r="E229" s="78" t="n">
        <v>45230</v>
      </c>
      <c r="F229" s="76" t="s">
        <v>213</v>
      </c>
      <c r="G229" s="76" t="s">
        <v>214</v>
      </c>
      <c r="H229" s="76" t="s">
        <v>215</v>
      </c>
      <c r="I229" s="79" t="n">
        <v>18120</v>
      </c>
      <c r="J229" s="79" t="n">
        <v>13400</v>
      </c>
      <c r="K229" s="80" t="n">
        <v>0.4</v>
      </c>
      <c r="L229" s="79" t="n">
        <v>24897.5</v>
      </c>
      <c r="M229" s="79" t="n">
        <v>33265</v>
      </c>
      <c r="N229" s="80" t="n">
        <v>0.004</v>
      </c>
      <c r="O229" s="80" t="n">
        <v>40.7799987792969</v>
      </c>
      <c r="P229" s="47" t="n">
        <v>12</v>
      </c>
      <c r="Q229" s="66" t="s">
        <v>470</v>
      </c>
    </row>
    <row r="230" customFormat="false" ht="15" hidden="false" customHeight="false" outlineLevel="0" collapsed="false">
      <c r="A230" s="76" t="s">
        <v>172</v>
      </c>
      <c r="B230" s="76" t="s">
        <v>231</v>
      </c>
      <c r="C230" s="77" t="n">
        <v>2024</v>
      </c>
      <c r="D230" s="77" t="n">
        <v>2</v>
      </c>
      <c r="E230" s="78" t="n">
        <v>45138</v>
      </c>
      <c r="F230" s="76" t="s">
        <v>213</v>
      </c>
      <c r="G230" s="76" t="s">
        <v>214</v>
      </c>
      <c r="H230" s="76" t="s">
        <v>215</v>
      </c>
      <c r="I230" s="79" t="n">
        <v>13507</v>
      </c>
      <c r="J230" s="79" t="n">
        <v>9462</v>
      </c>
      <c r="K230" s="80" t="n">
        <v>0.27</v>
      </c>
      <c r="L230" s="79" t="n">
        <v>24994</v>
      </c>
      <c r="M230" s="79" t="n">
        <v>27501</v>
      </c>
      <c r="N230" s="80" t="n">
        <v>0.004</v>
      </c>
      <c r="O230" s="80" t="n">
        <v>46.7290000915527</v>
      </c>
      <c r="P230" s="47" t="n">
        <v>13</v>
      </c>
      <c r="Q230" s="66" t="s">
        <v>471</v>
      </c>
    </row>
    <row r="231" customFormat="false" ht="15" hidden="false" customHeight="false" outlineLevel="0" collapsed="false">
      <c r="A231" s="76" t="s">
        <v>172</v>
      </c>
      <c r="B231" s="76" t="s">
        <v>233</v>
      </c>
      <c r="C231" s="77" t="n">
        <v>2024</v>
      </c>
      <c r="D231" s="77" t="n">
        <v>1</v>
      </c>
      <c r="E231" s="78" t="n">
        <v>45046</v>
      </c>
      <c r="F231" s="76" t="s">
        <v>213</v>
      </c>
      <c r="G231" s="76" t="s">
        <v>214</v>
      </c>
      <c r="H231" s="76" t="s">
        <v>215</v>
      </c>
      <c r="I231" s="79" t="n">
        <v>7192</v>
      </c>
      <c r="J231" s="79" t="n">
        <v>4648</v>
      </c>
      <c r="K231" s="80" t="n">
        <v>0.11</v>
      </c>
      <c r="L231" s="79" t="n">
        <v>24900</v>
      </c>
      <c r="M231" s="79" t="n">
        <v>24520</v>
      </c>
      <c r="N231" s="80" t="n">
        <v>0.004</v>
      </c>
      <c r="O231" s="80" t="n">
        <v>27.7490005493164</v>
      </c>
      <c r="P231" s="47" t="n">
        <v>14</v>
      </c>
      <c r="Q231" s="66" t="s">
        <v>472</v>
      </c>
    </row>
    <row r="232" customFormat="false" ht="15" hidden="false" customHeight="false" outlineLevel="0" collapsed="false">
      <c r="A232" s="76" t="s">
        <v>172</v>
      </c>
      <c r="B232" s="76" t="s">
        <v>235</v>
      </c>
      <c r="C232" s="77" t="n">
        <v>2023</v>
      </c>
      <c r="D232" s="77" t="n">
        <v>4</v>
      </c>
      <c r="E232" s="78" t="n">
        <v>44957</v>
      </c>
      <c r="F232" s="76" t="s">
        <v>213</v>
      </c>
      <c r="G232" s="76" t="s">
        <v>214</v>
      </c>
      <c r="H232" s="76" t="s">
        <v>215</v>
      </c>
      <c r="I232" s="79" t="n">
        <v>6051</v>
      </c>
      <c r="J232" s="79" t="n">
        <v>3833</v>
      </c>
      <c r="K232" s="80" t="n">
        <v>0.09</v>
      </c>
      <c r="L232" s="79"/>
      <c r="M232" s="79" t="n">
        <v>22101</v>
      </c>
      <c r="N232" s="80" t="n">
        <v>0.004</v>
      </c>
      <c r="O232" s="80" t="n">
        <v>19.5370006561279</v>
      </c>
      <c r="P232" s="47" t="n">
        <v>15</v>
      </c>
      <c r="Q232" s="66" t="s">
        <v>473</v>
      </c>
    </row>
    <row r="233" customFormat="false" ht="15" hidden="false" customHeight="false" outlineLevel="0" collapsed="false">
      <c r="A233" s="76" t="s">
        <v>172</v>
      </c>
      <c r="B233" s="76" t="s">
        <v>237</v>
      </c>
      <c r="C233" s="77" t="n">
        <v>2023</v>
      </c>
      <c r="D233" s="77" t="n">
        <v>3</v>
      </c>
      <c r="E233" s="78" t="n">
        <v>44865</v>
      </c>
      <c r="F233" s="76" t="s">
        <v>213</v>
      </c>
      <c r="G233" s="76" t="s">
        <v>214</v>
      </c>
      <c r="H233" s="76" t="s">
        <v>215</v>
      </c>
      <c r="I233" s="79" t="n">
        <v>5931</v>
      </c>
      <c r="J233" s="79" t="n">
        <v>3177</v>
      </c>
      <c r="K233" s="80" t="n">
        <v>0.06</v>
      </c>
      <c r="L233" s="79" t="n">
        <v>24990</v>
      </c>
      <c r="M233" s="79" t="n">
        <v>21349</v>
      </c>
      <c r="N233" s="80" t="n">
        <v>0.004</v>
      </c>
      <c r="O233" s="80" t="n">
        <v>13.4969997406006</v>
      </c>
      <c r="P233" s="47" t="n">
        <v>16</v>
      </c>
      <c r="Q233" s="66" t="s">
        <v>474</v>
      </c>
    </row>
    <row r="234" customFormat="false" ht="15" hidden="false" customHeight="false" outlineLevel="0" collapsed="false">
      <c r="A234" s="76" t="s">
        <v>172</v>
      </c>
      <c r="B234" s="76" t="s">
        <v>239</v>
      </c>
      <c r="C234" s="77" t="n">
        <v>2023</v>
      </c>
      <c r="D234" s="77" t="n">
        <v>2</v>
      </c>
      <c r="E234" s="78" t="n">
        <v>44773</v>
      </c>
      <c r="F234" s="76" t="s">
        <v>213</v>
      </c>
      <c r="G234" s="76" t="s">
        <v>214</v>
      </c>
      <c r="H234" s="76" t="s">
        <v>215</v>
      </c>
      <c r="I234" s="79" t="n">
        <v>6704</v>
      </c>
      <c r="J234" s="79" t="n">
        <v>2915</v>
      </c>
      <c r="K234" s="80" t="n">
        <v>0.05</v>
      </c>
      <c r="L234" s="79" t="n">
        <v>25160</v>
      </c>
      <c r="M234" s="79" t="n">
        <v>23851</v>
      </c>
      <c r="N234" s="80" t="n">
        <v>0.004</v>
      </c>
      <c r="O234" s="80" t="n">
        <v>18.1630001068115</v>
      </c>
      <c r="P234" s="47" t="n">
        <v>17</v>
      </c>
      <c r="Q234" s="66" t="s">
        <v>475</v>
      </c>
    </row>
    <row r="235" customFormat="false" ht="15" hidden="false" customHeight="false" outlineLevel="0" collapsed="false">
      <c r="A235" s="76" t="s">
        <v>172</v>
      </c>
      <c r="B235" s="76" t="s">
        <v>241</v>
      </c>
      <c r="C235" s="77" t="n">
        <v>2023</v>
      </c>
      <c r="D235" s="77" t="n">
        <v>1</v>
      </c>
      <c r="E235" s="78" t="n">
        <v>44681</v>
      </c>
      <c r="F235" s="76" t="s">
        <v>213</v>
      </c>
      <c r="G235" s="76" t="s">
        <v>214</v>
      </c>
      <c r="H235" s="76" t="s">
        <v>215</v>
      </c>
      <c r="I235" s="79" t="n">
        <v>8288</v>
      </c>
      <c r="J235" s="79" t="n">
        <v>5431</v>
      </c>
      <c r="K235" s="80" t="n">
        <v>0.14</v>
      </c>
      <c r="L235" s="79" t="n">
        <v>25370</v>
      </c>
      <c r="M235" s="79" t="n">
        <v>26320</v>
      </c>
      <c r="N235" s="80" t="n">
        <v>0.004</v>
      </c>
      <c r="O235" s="80" t="n">
        <v>18.5470008850098</v>
      </c>
      <c r="P235" s="47" t="n">
        <v>18</v>
      </c>
      <c r="Q235" s="66" t="s">
        <v>476</v>
      </c>
    </row>
    <row r="236" customFormat="false" ht="15" hidden="false" customHeight="false" outlineLevel="0" collapsed="false">
      <c r="A236" s="76" t="s">
        <v>172</v>
      </c>
      <c r="B236" s="76" t="s">
        <v>243</v>
      </c>
      <c r="C236" s="77" t="n">
        <v>2022</v>
      </c>
      <c r="D236" s="77" t="n">
        <v>4</v>
      </c>
      <c r="E236" s="78" t="n">
        <v>44592</v>
      </c>
      <c r="F236" s="76" t="s">
        <v>213</v>
      </c>
      <c r="G236" s="76" t="s">
        <v>214</v>
      </c>
      <c r="H236" s="76" t="s">
        <v>215</v>
      </c>
      <c r="I236" s="79" t="n">
        <v>7643</v>
      </c>
      <c r="J236" s="79" t="n">
        <v>4999</v>
      </c>
      <c r="K236" s="80" t="n">
        <v>0.13</v>
      </c>
      <c r="L236" s="79"/>
      <c r="M236" s="79" t="n">
        <v>26612</v>
      </c>
      <c r="N236" s="80" t="n">
        <v>0.004</v>
      </c>
      <c r="O236" s="80" t="n">
        <v>24.4860000610352</v>
      </c>
      <c r="P236" s="47" t="n">
        <v>19</v>
      </c>
      <c r="Q236" s="66" t="s">
        <v>477</v>
      </c>
    </row>
    <row r="237" customFormat="false" ht="15" hidden="false" customHeight="false" outlineLevel="0" collapsed="false">
      <c r="A237" s="76" t="s">
        <v>172</v>
      </c>
      <c r="B237" s="76" t="s">
        <v>245</v>
      </c>
      <c r="C237" s="77" t="n">
        <v>2022</v>
      </c>
      <c r="D237" s="77" t="n">
        <v>3</v>
      </c>
      <c r="E237" s="78" t="n">
        <v>44500</v>
      </c>
      <c r="F237" s="76" t="s">
        <v>213</v>
      </c>
      <c r="G237" s="76" t="s">
        <v>214</v>
      </c>
      <c r="H237" s="76" t="s">
        <v>215</v>
      </c>
      <c r="I237" s="79" t="n">
        <v>7103</v>
      </c>
      <c r="J237" s="79" t="n">
        <v>4631</v>
      </c>
      <c r="K237" s="80" t="n">
        <v>0.12</v>
      </c>
      <c r="L237" s="79" t="n">
        <v>25380</v>
      </c>
      <c r="M237" s="79" t="n">
        <v>23798</v>
      </c>
      <c r="N237" s="80" t="n">
        <v>0.004</v>
      </c>
      <c r="O237" s="80" t="n">
        <v>25.5669994354248</v>
      </c>
      <c r="P237" s="47" t="n">
        <v>20</v>
      </c>
      <c r="Q237" s="66" t="s">
        <v>478</v>
      </c>
    </row>
    <row r="238" customFormat="false" ht="15" hidden="false" customHeight="false" outlineLevel="0" collapsed="false">
      <c r="A238" s="76" t="s">
        <v>172</v>
      </c>
      <c r="B238" s="76" t="s">
        <v>247</v>
      </c>
      <c r="C238" s="77" t="n">
        <v>2022</v>
      </c>
      <c r="D238" s="77" t="n">
        <v>2</v>
      </c>
      <c r="E238" s="78" t="n">
        <v>44408</v>
      </c>
      <c r="F238" s="76" t="s">
        <v>213</v>
      </c>
      <c r="G238" s="76" t="s">
        <v>214</v>
      </c>
      <c r="H238" s="76" t="s">
        <v>215</v>
      </c>
      <c r="I238" s="79" t="n">
        <v>6507</v>
      </c>
      <c r="J238" s="79" t="n">
        <v>4215</v>
      </c>
      <c r="K238" s="80" t="n">
        <v>0.1</v>
      </c>
      <c r="L238" s="79" t="n">
        <v>25320</v>
      </c>
      <c r="M238" s="79" t="n">
        <v>21147</v>
      </c>
      <c r="N238" s="80" t="n">
        <v>0.004</v>
      </c>
      <c r="O238" s="80" t="n">
        <v>19.4990005493164</v>
      </c>
      <c r="P238" s="47" t="n">
        <v>21</v>
      </c>
      <c r="Q238" s="66" t="s">
        <v>479</v>
      </c>
    </row>
    <row r="239" customFormat="false" ht="15" hidden="false" customHeight="false" outlineLevel="0" collapsed="false">
      <c r="A239" s="76" t="s">
        <v>172</v>
      </c>
      <c r="B239" s="76" t="s">
        <v>249</v>
      </c>
      <c r="C239" s="77" t="n">
        <v>2022</v>
      </c>
      <c r="D239" s="77" t="n">
        <v>1</v>
      </c>
      <c r="E239" s="78" t="n">
        <v>44316</v>
      </c>
      <c r="F239" s="76" t="s">
        <v>213</v>
      </c>
      <c r="G239" s="76" t="s">
        <v>214</v>
      </c>
      <c r="H239" s="76" t="s">
        <v>215</v>
      </c>
      <c r="I239" s="79" t="n">
        <v>5661</v>
      </c>
      <c r="J239" s="79" t="n">
        <v>3629</v>
      </c>
      <c r="K239" s="80" t="n">
        <v>0.09</v>
      </c>
      <c r="L239" s="79" t="n">
        <v>25280</v>
      </c>
      <c r="M239" s="79" t="n">
        <v>18774</v>
      </c>
      <c r="N239" s="80" t="n">
        <v>0.004</v>
      </c>
      <c r="O239" s="80" t="n">
        <v>15.0094995498657</v>
      </c>
      <c r="P239" s="47" t="n">
        <v>22</v>
      </c>
      <c r="Q239" s="66" t="s">
        <v>480</v>
      </c>
    </row>
    <row r="240" customFormat="false" ht="15" hidden="false" customHeight="false" outlineLevel="0" collapsed="false">
      <c r="A240" s="76" t="s">
        <v>172</v>
      </c>
      <c r="B240" s="76" t="s">
        <v>251</v>
      </c>
      <c r="C240" s="77" t="n">
        <v>2021</v>
      </c>
      <c r="D240" s="77" t="n">
        <v>4</v>
      </c>
      <c r="E240" s="78" t="n">
        <v>44227</v>
      </c>
      <c r="F240" s="76" t="s">
        <v>213</v>
      </c>
      <c r="G240" s="76" t="s">
        <v>214</v>
      </c>
      <c r="H240" s="76" t="s">
        <v>215</v>
      </c>
      <c r="I240" s="79" t="n">
        <v>5003</v>
      </c>
      <c r="J240" s="79" t="n">
        <v>3156</v>
      </c>
      <c r="K240" s="80" t="n">
        <v>0.08</v>
      </c>
      <c r="L240" s="79"/>
      <c r="M240" s="79" t="n">
        <v>16893</v>
      </c>
      <c r="N240" s="80" t="n">
        <v>0.004</v>
      </c>
      <c r="O240" s="80" t="n">
        <v>12.9897499084473</v>
      </c>
      <c r="P240" s="47" t="n">
        <v>23</v>
      </c>
      <c r="Q240" s="66" t="s">
        <v>481</v>
      </c>
    </row>
    <row r="241" customFormat="false" ht="15" hidden="false" customHeight="false" outlineLevel="0" collapsed="false">
      <c r="A241" s="76" t="s">
        <v>172</v>
      </c>
      <c r="B241" s="76" t="s">
        <v>253</v>
      </c>
      <c r="C241" s="77" t="n">
        <v>2021</v>
      </c>
      <c r="D241" s="77" t="n">
        <v>3</v>
      </c>
      <c r="E241" s="78" t="n">
        <v>44135</v>
      </c>
      <c r="F241" s="76" t="s">
        <v>213</v>
      </c>
      <c r="G241" s="76" t="s">
        <v>214</v>
      </c>
      <c r="H241" s="76" t="s">
        <v>215</v>
      </c>
      <c r="I241" s="79" t="n">
        <v>4726</v>
      </c>
      <c r="J241" s="79" t="n">
        <v>2960</v>
      </c>
      <c r="K241" s="80" t="n">
        <v>0.07</v>
      </c>
      <c r="L241" s="79" t="n">
        <v>25200</v>
      </c>
      <c r="M241" s="79" t="n">
        <v>15334</v>
      </c>
      <c r="N241" s="80" t="n">
        <v>0.004</v>
      </c>
      <c r="O241" s="80" t="n">
        <v>12.5340003967285</v>
      </c>
      <c r="P241" s="47" t="n">
        <v>24</v>
      </c>
      <c r="Q241" s="66" t="s">
        <v>482</v>
      </c>
    </row>
    <row r="242" customFormat="false" ht="15" hidden="false" customHeight="false" outlineLevel="0" collapsed="false">
      <c r="A242" s="76" t="s">
        <v>172</v>
      </c>
      <c r="B242" s="76" t="s">
        <v>255</v>
      </c>
      <c r="C242" s="77" t="n">
        <v>2021</v>
      </c>
      <c r="D242" s="77" t="n">
        <v>2</v>
      </c>
      <c r="E242" s="78" t="n">
        <v>44043</v>
      </c>
      <c r="F242" s="76" t="s">
        <v>213</v>
      </c>
      <c r="G242" s="76" t="s">
        <v>214</v>
      </c>
      <c r="H242" s="76" t="s">
        <v>215</v>
      </c>
      <c r="I242" s="79" t="n">
        <v>3866</v>
      </c>
      <c r="J242" s="79" t="n">
        <v>2275</v>
      </c>
      <c r="K242" s="80" t="n">
        <v>0.05</v>
      </c>
      <c r="L242" s="79" t="n">
        <v>25040</v>
      </c>
      <c r="M242" s="79" t="n">
        <v>13914</v>
      </c>
      <c r="N242" s="80"/>
      <c r="O242" s="80" t="n">
        <v>10.6147499084473</v>
      </c>
      <c r="P242" s="47" t="n">
        <v>25</v>
      </c>
      <c r="Q242" s="66" t="s">
        <v>483</v>
      </c>
    </row>
    <row r="243" customFormat="false" ht="15" hidden="false" customHeight="false" outlineLevel="0" collapsed="false">
      <c r="A243" s="76" t="s">
        <v>186</v>
      </c>
      <c r="B243" s="76" t="s">
        <v>212</v>
      </c>
      <c r="C243" s="77" t="n">
        <v>2026</v>
      </c>
      <c r="D243" s="77" t="n">
        <v>2</v>
      </c>
      <c r="E243" s="78" t="n">
        <v>46203</v>
      </c>
      <c r="F243" s="76" t="s">
        <v>213</v>
      </c>
      <c r="G243" s="76" t="s">
        <v>214</v>
      </c>
      <c r="H243" s="76" t="s">
        <v>215</v>
      </c>
      <c r="I243" s="79" t="n">
        <v>1328.99</v>
      </c>
      <c r="J243" s="79" t="n">
        <v>794.618</v>
      </c>
      <c r="K243" s="80" t="n">
        <v>2.47</v>
      </c>
      <c r="L243" s="79" t="n">
        <v>157.693</v>
      </c>
      <c r="M243" s="79" t="n">
        <v>3437.162</v>
      </c>
      <c r="N243" s="80" t="n">
        <v>0.13</v>
      </c>
      <c r="O243" s="80" t="n">
        <v>483.839996337891</v>
      </c>
      <c r="P243" s="47" t="n">
        <v>1</v>
      </c>
      <c r="Q243" s="66" t="s">
        <v>484</v>
      </c>
    </row>
    <row r="244" customFormat="false" ht="15" hidden="false" customHeight="false" outlineLevel="0" collapsed="false">
      <c r="A244" s="76" t="s">
        <v>186</v>
      </c>
      <c r="B244" s="76" t="s">
        <v>217</v>
      </c>
      <c r="C244" s="77" t="n">
        <v>2026</v>
      </c>
      <c r="D244" s="77" t="n">
        <v>1</v>
      </c>
      <c r="E244" s="78" t="n">
        <v>46112</v>
      </c>
      <c r="F244" s="76" t="s">
        <v>213</v>
      </c>
      <c r="G244" s="76" t="s">
        <v>214</v>
      </c>
      <c r="H244" s="76" t="s">
        <v>215</v>
      </c>
      <c r="I244" s="79" t="n">
        <v>1282.494</v>
      </c>
      <c r="J244" s="79" t="n">
        <v>780.949</v>
      </c>
      <c r="K244" s="80" t="n">
        <v>2.56</v>
      </c>
      <c r="L244" s="79" t="n">
        <v>157.636</v>
      </c>
      <c r="M244" s="79" t="n">
        <v>3143.816</v>
      </c>
      <c r="N244" s="80" t="n">
        <v>0.13</v>
      </c>
      <c r="O244" s="80" t="n">
        <v>296.459991455078</v>
      </c>
      <c r="P244" s="47" t="n">
        <v>2</v>
      </c>
      <c r="Q244" s="66" t="s">
        <v>485</v>
      </c>
    </row>
    <row r="245" customFormat="false" ht="15" hidden="false" customHeight="false" outlineLevel="0" collapsed="false">
      <c r="A245" s="76" t="s">
        <v>186</v>
      </c>
      <c r="B245" s="76" t="s">
        <v>219</v>
      </c>
      <c r="C245" s="77" t="n">
        <v>2025</v>
      </c>
      <c r="D245" s="77" t="n">
        <v>4</v>
      </c>
      <c r="E245" s="78" t="n">
        <v>46022</v>
      </c>
      <c r="F245" s="76" t="s">
        <v>213</v>
      </c>
      <c r="G245" s="76" t="s">
        <v>214</v>
      </c>
      <c r="H245" s="76" t="s">
        <v>215</v>
      </c>
      <c r="I245" s="79" t="n">
        <v>1083.337</v>
      </c>
      <c r="J245" s="79" t="n">
        <v>619.69</v>
      </c>
      <c r="K245" s="80" t="n">
        <v>1.8</v>
      </c>
      <c r="L245" s="79" t="n">
        <v>157.651</v>
      </c>
      <c r="M245" s="79" t="n">
        <v>2795.752</v>
      </c>
      <c r="N245" s="80" t="n">
        <v>0.12</v>
      </c>
      <c r="O245" s="80" t="n">
        <v>193.559997558594</v>
      </c>
      <c r="P245" s="47" t="n">
        <v>3</v>
      </c>
      <c r="Q245" s="66" t="s">
        <v>486</v>
      </c>
    </row>
    <row r="246" customFormat="false" ht="15" hidden="false" customHeight="false" outlineLevel="0" collapsed="false">
      <c r="A246" s="76" t="s">
        <v>186</v>
      </c>
      <c r="B246" s="76" t="s">
        <v>221</v>
      </c>
      <c r="C246" s="77" t="n">
        <v>2025</v>
      </c>
      <c r="D246" s="77" t="n">
        <v>3</v>
      </c>
      <c r="E246" s="78" t="n">
        <v>45930</v>
      </c>
      <c r="F246" s="76" t="s">
        <v>213</v>
      </c>
      <c r="G246" s="76" t="s">
        <v>214</v>
      </c>
      <c r="H246" s="76" t="s">
        <v>215</v>
      </c>
      <c r="I246" s="79" t="n">
        <v>769.21</v>
      </c>
      <c r="J246" s="79" t="n">
        <v>449.306</v>
      </c>
      <c r="K246" s="80" t="n">
        <v>0.85</v>
      </c>
      <c r="L246" s="79" t="n">
        <v>159.097</v>
      </c>
      <c r="M246" s="79" t="n">
        <v>2717.275</v>
      </c>
      <c r="N246" s="80" t="n">
        <v>0.12</v>
      </c>
      <c r="O246" s="80" t="n">
        <v>137.639999389648</v>
      </c>
      <c r="P246" s="47" t="n">
        <v>4</v>
      </c>
      <c r="Q246" s="66" t="s">
        <v>487</v>
      </c>
    </row>
    <row r="247" customFormat="false" ht="15" hidden="false" customHeight="false" outlineLevel="0" collapsed="false">
      <c r="A247" s="76" t="s">
        <v>186</v>
      </c>
      <c r="B247" s="76" t="s">
        <v>223</v>
      </c>
      <c r="C247" s="77" t="n">
        <v>2025</v>
      </c>
      <c r="D247" s="77" t="n">
        <v>2</v>
      </c>
      <c r="E247" s="78" t="n">
        <v>45838</v>
      </c>
      <c r="F247" s="76" t="s">
        <v>213</v>
      </c>
      <c r="G247" s="76" t="s">
        <v>214</v>
      </c>
      <c r="H247" s="76" t="s">
        <v>215</v>
      </c>
      <c r="I247" s="79" t="n">
        <v>651.797</v>
      </c>
      <c r="J247" s="79" t="n">
        <v>373.012</v>
      </c>
      <c r="K247" s="80" t="n">
        <v>0.57</v>
      </c>
      <c r="L247" s="79" t="n">
        <v>160.135</v>
      </c>
      <c r="M247" s="79" t="n">
        <v>2837.301</v>
      </c>
      <c r="N247" s="80" t="n">
        <v>0.12</v>
      </c>
      <c r="O247" s="80" t="n">
        <v>89.9199981689453</v>
      </c>
      <c r="P247" s="47" t="n">
        <v>5</v>
      </c>
      <c r="Q247" s="66" t="s">
        <v>488</v>
      </c>
    </row>
    <row r="248" customFormat="false" ht="15" hidden="false" customHeight="false" outlineLevel="0" collapsed="false">
      <c r="A248" s="76" t="s">
        <v>186</v>
      </c>
      <c r="B248" s="76" t="s">
        <v>225</v>
      </c>
      <c r="C248" s="77" t="n">
        <v>2025</v>
      </c>
      <c r="D248" s="77" t="n">
        <v>1</v>
      </c>
      <c r="E248" s="78" t="n">
        <v>45747</v>
      </c>
      <c r="F248" s="76" t="s">
        <v>213</v>
      </c>
      <c r="G248" s="76" t="s">
        <v>214</v>
      </c>
      <c r="H248" s="76" t="s">
        <v>215</v>
      </c>
      <c r="I248" s="79" t="n">
        <v>685.68</v>
      </c>
      <c r="J248" s="79" t="n">
        <v>415.336</v>
      </c>
      <c r="K248" s="80" t="n">
        <v>0.75</v>
      </c>
      <c r="L248" s="79" t="n">
        <v>161.996</v>
      </c>
      <c r="M248" s="79" t="n">
        <v>2797.499</v>
      </c>
      <c r="N248" s="80" t="n">
        <v>0.12</v>
      </c>
      <c r="O248" s="80" t="n">
        <v>82.5999984741211</v>
      </c>
      <c r="P248" s="47" t="n">
        <v>6</v>
      </c>
      <c r="Q248" s="66" t="s">
        <v>489</v>
      </c>
    </row>
    <row r="249" customFormat="false" ht="15" hidden="false" customHeight="false" outlineLevel="0" collapsed="false">
      <c r="A249" s="76" t="s">
        <v>186</v>
      </c>
      <c r="B249" s="76" t="s">
        <v>227</v>
      </c>
      <c r="C249" s="77" t="n">
        <v>2024</v>
      </c>
      <c r="D249" s="77" t="n">
        <v>4</v>
      </c>
      <c r="E249" s="78" t="n">
        <v>45657</v>
      </c>
      <c r="F249" s="76" t="s">
        <v>213</v>
      </c>
      <c r="G249" s="76" t="s">
        <v>214</v>
      </c>
      <c r="H249" s="76" t="s">
        <v>215</v>
      </c>
      <c r="I249" s="79" t="n">
        <v>752.884</v>
      </c>
      <c r="J249" s="79" t="n">
        <v>447.288</v>
      </c>
      <c r="K249" s="80" t="n">
        <v>0.95</v>
      </c>
      <c r="L249" s="79"/>
      <c r="M249" s="79" t="n">
        <v>2819.294</v>
      </c>
      <c r="N249" s="80" t="n">
        <v>0.12</v>
      </c>
      <c r="O249" s="80" t="n">
        <v>125.919998168945</v>
      </c>
      <c r="P249" s="47" t="n">
        <v>7</v>
      </c>
      <c r="Q249" s="66" t="s">
        <v>490</v>
      </c>
    </row>
    <row r="250" customFormat="false" ht="15" hidden="false" customHeight="false" outlineLevel="0" collapsed="false">
      <c r="A250" s="76" t="s">
        <v>186</v>
      </c>
      <c r="B250" s="76" t="s">
        <v>229</v>
      </c>
      <c r="C250" s="77" t="n">
        <v>2024</v>
      </c>
      <c r="D250" s="77" t="n">
        <v>3</v>
      </c>
      <c r="E250" s="78" t="n">
        <v>45565</v>
      </c>
      <c r="F250" s="76" t="s">
        <v>213</v>
      </c>
      <c r="G250" s="76" t="s">
        <v>214</v>
      </c>
      <c r="H250" s="76" t="s">
        <v>215</v>
      </c>
      <c r="I250" s="79" t="n">
        <v>737.298</v>
      </c>
      <c r="J250" s="79" t="n">
        <v>436.514</v>
      </c>
      <c r="K250" s="80" t="n">
        <v>0.9</v>
      </c>
      <c r="L250" s="79" t="n">
        <v>164.253</v>
      </c>
      <c r="M250" s="79" t="n">
        <v>2902.542</v>
      </c>
      <c r="N250" s="80" t="n">
        <v>0.12</v>
      </c>
      <c r="O250" s="80" t="n">
        <v>133.929992675781</v>
      </c>
      <c r="P250" s="47" t="n">
        <v>8</v>
      </c>
      <c r="Q250" s="66" t="s">
        <v>491</v>
      </c>
    </row>
    <row r="251" customFormat="false" ht="15" hidden="false" customHeight="false" outlineLevel="0" collapsed="false">
      <c r="A251" s="76" t="s">
        <v>186</v>
      </c>
      <c r="B251" s="76" t="s">
        <v>231</v>
      </c>
      <c r="C251" s="77" t="n">
        <v>2024</v>
      </c>
      <c r="D251" s="77" t="n">
        <v>2</v>
      </c>
      <c r="E251" s="78" t="n">
        <v>45473</v>
      </c>
      <c r="F251" s="76" t="s">
        <v>213</v>
      </c>
      <c r="G251" s="76" t="s">
        <v>214</v>
      </c>
      <c r="H251" s="76" t="s">
        <v>215</v>
      </c>
      <c r="I251" s="79" t="n">
        <v>729.879</v>
      </c>
      <c r="J251" s="79" t="n">
        <v>425.844</v>
      </c>
      <c r="K251" s="80"/>
      <c r="L251" s="79" t="n">
        <v>163.47</v>
      </c>
      <c r="M251" s="79" t="n">
        <v>2730.812</v>
      </c>
      <c r="N251" s="80" t="n">
        <v>0.12</v>
      </c>
      <c r="O251" s="80" t="n">
        <v>148.289993286133</v>
      </c>
      <c r="P251" s="47" t="n">
        <v>9</v>
      </c>
      <c r="Q251" s="66" t="s">
        <v>492</v>
      </c>
    </row>
    <row r="252" customFormat="false" ht="15" hidden="false" customHeight="false" outlineLevel="0" collapsed="false">
      <c r="A252" s="76" t="s">
        <v>186</v>
      </c>
      <c r="B252" s="76" t="s">
        <v>233</v>
      </c>
      <c r="C252" s="77" t="n">
        <v>2024</v>
      </c>
      <c r="D252" s="77" t="n">
        <v>1</v>
      </c>
      <c r="E252" s="78" t="n">
        <v>45382</v>
      </c>
      <c r="F252" s="76" t="s">
        <v>213</v>
      </c>
      <c r="G252" s="76" t="s">
        <v>214</v>
      </c>
      <c r="H252" s="76" t="s">
        <v>215</v>
      </c>
      <c r="I252" s="79" t="n">
        <v>599.819</v>
      </c>
      <c r="J252" s="79" t="n">
        <v>339.282</v>
      </c>
      <c r="K252" s="80"/>
      <c r="L252" s="79" t="n">
        <v>162.348</v>
      </c>
      <c r="M252" s="79" t="n">
        <v>2557.829</v>
      </c>
      <c r="N252" s="80"/>
      <c r="O252" s="80" t="n">
        <v>112.830001831055</v>
      </c>
      <c r="P252" s="47" t="n">
        <v>10</v>
      </c>
      <c r="Q252" s="66" t="s">
        <v>493</v>
      </c>
    </row>
    <row r="253" customFormat="false" ht="15" hidden="false" customHeight="false" outlineLevel="0" collapsed="false">
      <c r="A253" s="76" t="s">
        <v>186</v>
      </c>
      <c r="B253" s="76" t="s">
        <v>235</v>
      </c>
      <c r="C253" s="77" t="n">
        <v>2023</v>
      </c>
      <c r="D253" s="77" t="n">
        <v>4</v>
      </c>
      <c r="E253" s="78" t="n">
        <v>45291</v>
      </c>
      <c r="F253" s="76" t="s">
        <v>213</v>
      </c>
      <c r="G253" s="76" t="s">
        <v>214</v>
      </c>
      <c r="H253" s="76" t="s">
        <v>215</v>
      </c>
      <c r="I253" s="79" t="n">
        <v>670.599</v>
      </c>
      <c r="J253" s="79" t="n">
        <v>379.544</v>
      </c>
      <c r="K253" s="80" t="n">
        <v>0.79</v>
      </c>
      <c r="L253" s="79" t="n">
        <v>164.304</v>
      </c>
      <c r="M253" s="79" t="n">
        <v>2525.897</v>
      </c>
      <c r="N253" s="80" t="n">
        <v>0.11</v>
      </c>
      <c r="O253" s="80" t="n">
        <v>108.519996643066</v>
      </c>
      <c r="P253" s="47" t="n">
        <v>11</v>
      </c>
      <c r="Q253" s="66" t="s">
        <v>494</v>
      </c>
    </row>
    <row r="254" customFormat="false" ht="15" hidden="false" customHeight="false" outlineLevel="0" collapsed="false">
      <c r="A254" s="76" t="s">
        <v>186</v>
      </c>
      <c r="B254" s="76" t="s">
        <v>237</v>
      </c>
      <c r="C254" s="77" t="n">
        <v>2023</v>
      </c>
      <c r="D254" s="77" t="n">
        <v>3</v>
      </c>
      <c r="E254" s="78" t="n">
        <v>45199</v>
      </c>
      <c r="F254" s="76" t="s">
        <v>213</v>
      </c>
      <c r="G254" s="76" t="s">
        <v>214</v>
      </c>
      <c r="H254" s="76" t="s">
        <v>215</v>
      </c>
      <c r="I254" s="79" t="n">
        <v>703.732</v>
      </c>
      <c r="J254" s="79" t="n">
        <v>398.291</v>
      </c>
      <c r="K254" s="80" t="n">
        <v>0.8</v>
      </c>
      <c r="L254" s="79" t="n">
        <v>166.41675</v>
      </c>
      <c r="M254" s="79" t="n">
        <v>2441.3</v>
      </c>
      <c r="N254" s="80" t="n">
        <v>0.11</v>
      </c>
      <c r="O254" s="80" t="n">
        <v>100.459999084473</v>
      </c>
      <c r="P254" s="47" t="n">
        <v>12</v>
      </c>
      <c r="Q254" s="66" t="s">
        <v>495</v>
      </c>
    </row>
    <row r="255" customFormat="false" ht="15" hidden="false" customHeight="false" outlineLevel="0" collapsed="false">
      <c r="A255" s="76" t="s">
        <v>186</v>
      </c>
      <c r="B255" s="76" t="s">
        <v>239</v>
      </c>
      <c r="C255" s="77" t="n">
        <v>2023</v>
      </c>
      <c r="D255" s="77" t="n">
        <v>2</v>
      </c>
      <c r="E255" s="78" t="n">
        <v>45107</v>
      </c>
      <c r="F255" s="76" t="s">
        <v>213</v>
      </c>
      <c r="G255" s="76" t="s">
        <v>214</v>
      </c>
      <c r="H255" s="76" t="s">
        <v>215</v>
      </c>
      <c r="I255" s="79" t="n">
        <v>684.437</v>
      </c>
      <c r="J255" s="79" t="n">
        <v>402.492</v>
      </c>
      <c r="K255" s="80" t="n">
        <v>0.79</v>
      </c>
      <c r="L255" s="79" t="n">
        <v>164.751</v>
      </c>
      <c r="M255" s="79" t="n">
        <v>2434.883</v>
      </c>
      <c r="N255" s="80" t="n">
        <v>0.11</v>
      </c>
      <c r="O255" s="80" t="n">
        <v>111.330001831055</v>
      </c>
      <c r="P255" s="47" t="n">
        <v>13</v>
      </c>
      <c r="Q255" s="66" t="s">
        <v>496</v>
      </c>
    </row>
    <row r="256" customFormat="false" ht="15" hidden="false" customHeight="false" outlineLevel="0" collapsed="false">
      <c r="A256" s="76" t="s">
        <v>186</v>
      </c>
      <c r="B256" s="76" t="s">
        <v>241</v>
      </c>
      <c r="C256" s="77" t="n">
        <v>2023</v>
      </c>
      <c r="D256" s="77" t="n">
        <v>1</v>
      </c>
      <c r="E256" s="78" t="n">
        <v>45016</v>
      </c>
      <c r="F256" s="76" t="s">
        <v>213</v>
      </c>
      <c r="G256" s="76" t="s">
        <v>214</v>
      </c>
      <c r="H256" s="76" t="s">
        <v>215</v>
      </c>
      <c r="I256" s="79" t="n">
        <v>617.529</v>
      </c>
      <c r="J256" s="79" t="n">
        <v>356.42</v>
      </c>
      <c r="K256" s="80" t="n">
        <v>0.55</v>
      </c>
      <c r="L256" s="79" t="n">
        <v>166.308</v>
      </c>
      <c r="M256" s="79" t="n">
        <v>2449.462</v>
      </c>
      <c r="N256" s="80" t="n">
        <v>0.11</v>
      </c>
      <c r="O256" s="80" t="n">
        <v>107.510002136231</v>
      </c>
      <c r="P256" s="47" t="n">
        <v>14</v>
      </c>
      <c r="Q256" s="66" t="s">
        <v>497</v>
      </c>
    </row>
    <row r="257" customFormat="false" ht="15" hidden="false" customHeight="false" outlineLevel="0" collapsed="false">
      <c r="A257" s="76" t="s">
        <v>186</v>
      </c>
      <c r="B257" s="76" t="s">
        <v>243</v>
      </c>
      <c r="C257" s="77" t="n">
        <v>2022</v>
      </c>
      <c r="D257" s="77" t="n">
        <v>4</v>
      </c>
      <c r="E257" s="78" t="n">
        <v>44926</v>
      </c>
      <c r="F257" s="76" t="s">
        <v>213</v>
      </c>
      <c r="G257" s="76" t="s">
        <v>214</v>
      </c>
      <c r="H257" s="76" t="s">
        <v>215</v>
      </c>
      <c r="I257" s="79" t="n">
        <v>731.836</v>
      </c>
      <c r="J257" s="79" t="n">
        <v>420.45</v>
      </c>
      <c r="K257" s="80" t="n">
        <v>0.92</v>
      </c>
      <c r="L257" s="79"/>
      <c r="M257" s="79" t="n">
        <v>2451.294</v>
      </c>
      <c r="N257" s="80" t="n">
        <v>0.11</v>
      </c>
      <c r="O257" s="80" t="n">
        <v>87.3499984741211</v>
      </c>
      <c r="P257" s="47" t="n">
        <v>15</v>
      </c>
      <c r="Q257" s="66" t="s">
        <v>498</v>
      </c>
    </row>
    <row r="258" customFormat="false" ht="15" hidden="false" customHeight="false" outlineLevel="0" collapsed="false">
      <c r="A258" s="76" t="s">
        <v>186</v>
      </c>
      <c r="B258" s="76" t="s">
        <v>245</v>
      </c>
      <c r="C258" s="77" t="n">
        <v>2022</v>
      </c>
      <c r="D258" s="77" t="n">
        <v>3</v>
      </c>
      <c r="E258" s="78" t="n">
        <v>44834</v>
      </c>
      <c r="F258" s="76" t="s">
        <v>213</v>
      </c>
      <c r="G258" s="76" t="s">
        <v>214</v>
      </c>
      <c r="H258" s="76" t="s">
        <v>215</v>
      </c>
      <c r="I258" s="79" t="n">
        <v>827.073</v>
      </c>
      <c r="J258" s="79" t="n">
        <v>485.379</v>
      </c>
      <c r="K258" s="80" t="n">
        <v>1.15</v>
      </c>
      <c r="L258" s="79" t="n">
        <v>0.166733</v>
      </c>
      <c r="M258" s="79" t="n">
        <v>2254.125</v>
      </c>
      <c r="N258" s="80" t="n">
        <v>0.11</v>
      </c>
      <c r="O258" s="80" t="n">
        <v>75.1500015258789</v>
      </c>
      <c r="P258" s="47" t="n">
        <v>16</v>
      </c>
      <c r="Q258" s="66" t="s">
        <v>499</v>
      </c>
    </row>
    <row r="259" customFormat="false" ht="15" hidden="false" customHeight="false" outlineLevel="0" collapsed="false">
      <c r="A259" s="76" t="s">
        <v>186</v>
      </c>
      <c r="B259" s="76" t="s">
        <v>247</v>
      </c>
      <c r="C259" s="77" t="n">
        <v>2022</v>
      </c>
      <c r="D259" s="77" t="n">
        <v>2</v>
      </c>
      <c r="E259" s="78" t="n">
        <v>44742</v>
      </c>
      <c r="F259" s="76" t="s">
        <v>213</v>
      </c>
      <c r="G259" s="76" t="s">
        <v>214</v>
      </c>
      <c r="H259" s="76" t="s">
        <v>215</v>
      </c>
      <c r="I259" s="79" t="n">
        <v>840.766</v>
      </c>
      <c r="J259" s="79" t="n">
        <v>506.389</v>
      </c>
      <c r="K259" s="80" t="n">
        <v>1.21</v>
      </c>
      <c r="L259" s="79" t="n">
        <v>171.159</v>
      </c>
      <c r="M259" s="79" t="n">
        <v>2298.596</v>
      </c>
      <c r="N259" s="80" t="n">
        <v>0.11</v>
      </c>
      <c r="O259" s="80" t="n">
        <v>89.5500030517578</v>
      </c>
      <c r="P259" s="47" t="n">
        <v>17</v>
      </c>
      <c r="Q259" s="66" t="s">
        <v>500</v>
      </c>
    </row>
    <row r="260" customFormat="false" ht="15" hidden="false" customHeight="false" outlineLevel="0" collapsed="false">
      <c r="A260" s="76" t="s">
        <v>186</v>
      </c>
      <c r="B260" s="76" t="s">
        <v>249</v>
      </c>
      <c r="C260" s="77" t="n">
        <v>2022</v>
      </c>
      <c r="D260" s="77" t="n">
        <v>1</v>
      </c>
      <c r="E260" s="78" t="n">
        <v>44651</v>
      </c>
      <c r="F260" s="76" t="s">
        <v>213</v>
      </c>
      <c r="G260" s="76" t="s">
        <v>214</v>
      </c>
      <c r="H260" s="76" t="s">
        <v>215</v>
      </c>
      <c r="I260" s="79" t="n">
        <v>755.37</v>
      </c>
      <c r="J260" s="79" t="n">
        <v>454.933</v>
      </c>
      <c r="K260" s="80" t="n">
        <v>0.98</v>
      </c>
      <c r="L260" s="79" t="n">
        <v>175.575</v>
      </c>
      <c r="M260" s="79" t="n">
        <v>2474.532</v>
      </c>
      <c r="N260" s="80" t="n">
        <v>0.11</v>
      </c>
      <c r="O260" s="80" t="n">
        <v>118.230003356934</v>
      </c>
      <c r="P260" s="47" t="n">
        <v>18</v>
      </c>
      <c r="Q260" s="66" t="s">
        <v>501</v>
      </c>
    </row>
    <row r="261" customFormat="false" ht="15" hidden="false" customHeight="false" outlineLevel="0" collapsed="false">
      <c r="A261" s="76" t="s">
        <v>186</v>
      </c>
      <c r="B261" s="76" t="s">
        <v>251</v>
      </c>
      <c r="C261" s="77" t="n">
        <v>2021</v>
      </c>
      <c r="D261" s="77" t="n">
        <v>4</v>
      </c>
      <c r="E261" s="78" t="n">
        <v>44561</v>
      </c>
      <c r="F261" s="76" t="s">
        <v>213</v>
      </c>
      <c r="G261" s="76" t="s">
        <v>214</v>
      </c>
      <c r="H261" s="76" t="s">
        <v>215</v>
      </c>
      <c r="I261" s="79" t="n">
        <v>885.046</v>
      </c>
      <c r="J261" s="79" t="n">
        <v>527.048</v>
      </c>
      <c r="K261" s="80" t="n">
        <v>1.37</v>
      </c>
      <c r="L261" s="79"/>
      <c r="M261" s="79" t="n">
        <v>2563.956</v>
      </c>
      <c r="N261" s="80" t="n">
        <v>0.1</v>
      </c>
      <c r="O261" s="80" t="n">
        <v>163.529998779297</v>
      </c>
      <c r="P261" s="47" t="n">
        <v>19</v>
      </c>
      <c r="Q261" s="66" t="s">
        <v>502</v>
      </c>
    </row>
    <row r="262" customFormat="false" ht="15" hidden="false" customHeight="false" outlineLevel="0" collapsed="false">
      <c r="A262" s="76" t="s">
        <v>186</v>
      </c>
      <c r="B262" s="76" t="s">
        <v>253</v>
      </c>
      <c r="C262" s="77" t="n">
        <v>2021</v>
      </c>
      <c r="D262" s="77" t="n">
        <v>3</v>
      </c>
      <c r="E262" s="78" t="n">
        <v>44469</v>
      </c>
      <c r="F262" s="76" t="s">
        <v>213</v>
      </c>
      <c r="G262" s="76" t="s">
        <v>214</v>
      </c>
      <c r="H262" s="76" t="s">
        <v>215</v>
      </c>
      <c r="I262" s="79" t="n">
        <v>950.501</v>
      </c>
      <c r="J262" s="79" t="n">
        <v>571.001</v>
      </c>
      <c r="K262" s="80" t="n">
        <v>1.59</v>
      </c>
      <c r="L262" s="79" t="n">
        <v>181.987</v>
      </c>
      <c r="M262" s="79" t="n">
        <v>2540.374</v>
      </c>
      <c r="N262" s="80" t="n">
        <v>0.1</v>
      </c>
      <c r="O262" s="80" t="n">
        <v>109.169998168945</v>
      </c>
      <c r="P262" s="47" t="n">
        <v>20</v>
      </c>
      <c r="Q262" s="66" t="s">
        <v>503</v>
      </c>
    </row>
    <row r="263" customFormat="false" ht="15" hidden="false" customHeight="false" outlineLevel="0" collapsed="false">
      <c r="A263" s="76" t="s">
        <v>186</v>
      </c>
      <c r="B263" s="76" t="s">
        <v>255</v>
      </c>
      <c r="C263" s="77" t="n">
        <v>2021</v>
      </c>
      <c r="D263" s="77" t="n">
        <v>2</v>
      </c>
      <c r="E263" s="78" t="n">
        <v>44377</v>
      </c>
      <c r="F263" s="76" t="s">
        <v>213</v>
      </c>
      <c r="G263" s="76" t="s">
        <v>214</v>
      </c>
      <c r="H263" s="76" t="s">
        <v>215</v>
      </c>
      <c r="I263" s="79" t="n">
        <v>1085.728</v>
      </c>
      <c r="J263" s="79" t="n">
        <v>646.989</v>
      </c>
      <c r="K263" s="80" t="n">
        <v>1.91</v>
      </c>
      <c r="L263" s="79" t="n">
        <v>186.75</v>
      </c>
      <c r="M263" s="79" t="n">
        <v>2514.642</v>
      </c>
      <c r="N263" s="80" t="n">
        <v>0.1</v>
      </c>
      <c r="O263" s="80" t="n">
        <v>133.960006713867</v>
      </c>
      <c r="P263" s="47" t="n">
        <v>21</v>
      </c>
      <c r="Q263" s="66" t="s">
        <v>504</v>
      </c>
    </row>
    <row r="264" customFormat="false" ht="15" hidden="false" customHeight="false" outlineLevel="0" collapsed="false">
      <c r="A264" s="76" t="s">
        <v>186</v>
      </c>
      <c r="B264" s="76" t="s">
        <v>257</v>
      </c>
      <c r="C264" s="77" t="n">
        <v>2021</v>
      </c>
      <c r="D264" s="77" t="n">
        <v>1</v>
      </c>
      <c r="E264" s="78" t="n">
        <v>44286</v>
      </c>
      <c r="F264" s="76" t="s">
        <v>213</v>
      </c>
      <c r="G264" s="76" t="s">
        <v>214</v>
      </c>
      <c r="H264" s="76" t="s">
        <v>215</v>
      </c>
      <c r="I264" s="79" t="n">
        <v>781.606</v>
      </c>
      <c r="J264" s="79" t="n">
        <v>461.618</v>
      </c>
      <c r="K264" s="80" t="n">
        <v>1.11</v>
      </c>
      <c r="L264" s="79" t="n">
        <v>187.74</v>
      </c>
      <c r="M264" s="79" t="n">
        <v>2325.786</v>
      </c>
      <c r="N264" s="80" t="n">
        <v>0.1</v>
      </c>
      <c r="O264" s="80" t="n">
        <v>121.680000305176</v>
      </c>
      <c r="P264" s="47" t="n">
        <v>22</v>
      </c>
      <c r="Q264" s="66" t="s">
        <v>505</v>
      </c>
    </row>
    <row r="265" customFormat="false" ht="15" hidden="false" customHeight="false" outlineLevel="0" collapsed="false">
      <c r="A265" s="76" t="s">
        <v>186</v>
      </c>
      <c r="B265" s="76" t="s">
        <v>259</v>
      </c>
      <c r="C265" s="77" t="n">
        <v>2020</v>
      </c>
      <c r="D265" s="77" t="n">
        <v>4</v>
      </c>
      <c r="E265" s="78" t="n">
        <v>44196</v>
      </c>
      <c r="F265" s="76" t="s">
        <v>213</v>
      </c>
      <c r="G265" s="76" t="s">
        <v>214</v>
      </c>
      <c r="H265" s="76" t="s">
        <v>215</v>
      </c>
      <c r="I265" s="79" t="n">
        <v>758.969</v>
      </c>
      <c r="J265" s="79" t="n">
        <v>449.79</v>
      </c>
      <c r="K265" s="80" t="n">
        <v>1.1</v>
      </c>
      <c r="L265" s="79"/>
      <c r="M265" s="79" t="n">
        <v>2210.805</v>
      </c>
      <c r="N265" s="80" t="n">
        <v>0.1</v>
      </c>
      <c r="O265" s="80" t="n">
        <v>119.889999389648</v>
      </c>
      <c r="P265" s="47" t="n">
        <v>23</v>
      </c>
      <c r="Q265" s="66" t="s">
        <v>506</v>
      </c>
    </row>
    <row r="266" customFormat="false" ht="15" hidden="false" customHeight="false" outlineLevel="0" collapsed="false">
      <c r="A266" s="76" t="s">
        <v>186</v>
      </c>
      <c r="B266" s="76" t="s">
        <v>261</v>
      </c>
      <c r="C266" s="77" t="n">
        <v>2020</v>
      </c>
      <c r="D266" s="77" t="n">
        <v>3</v>
      </c>
      <c r="E266" s="78" t="n">
        <v>44104</v>
      </c>
      <c r="F266" s="76" t="s">
        <v>213</v>
      </c>
      <c r="G266" s="76" t="s">
        <v>214</v>
      </c>
      <c r="H266" s="76" t="s">
        <v>215</v>
      </c>
      <c r="I266" s="79" t="n">
        <v>819.484</v>
      </c>
      <c r="J266" s="79" t="n">
        <v>458.928</v>
      </c>
      <c r="K266" s="80" t="n">
        <v>1.18</v>
      </c>
      <c r="L266" s="79" t="n">
        <v>184.338</v>
      </c>
      <c r="M266" s="79" t="n">
        <v>1993.544</v>
      </c>
      <c r="N266" s="80"/>
      <c r="O266" s="80" t="n">
        <v>79.4599990844727</v>
      </c>
      <c r="P266" s="47" t="n">
        <v>24</v>
      </c>
      <c r="Q266" s="66" t="s">
        <v>507</v>
      </c>
    </row>
    <row r="267" customFormat="false" ht="15" hidden="false" customHeight="false" outlineLevel="0" collapsed="false">
      <c r="A267" s="76" t="s">
        <v>177</v>
      </c>
      <c r="B267" s="76" t="s">
        <v>508</v>
      </c>
      <c r="C267" s="77" t="n">
        <v>2026</v>
      </c>
      <c r="D267" s="77" t="n">
        <v>3</v>
      </c>
      <c r="E267" s="78" t="n">
        <v>46294</v>
      </c>
      <c r="F267" s="76" t="s">
        <v>509</v>
      </c>
      <c r="G267" s="76" t="s">
        <v>510</v>
      </c>
      <c r="H267" s="76" t="s">
        <v>215</v>
      </c>
      <c r="I267" s="79"/>
      <c r="J267" s="79"/>
      <c r="K267" s="80" t="n">
        <v>0.14333</v>
      </c>
      <c r="L267" s="79"/>
      <c r="M267" s="79"/>
      <c r="N267" s="80"/>
      <c r="O267" s="80"/>
      <c r="P267" s="47" t="n">
        <v>0</v>
      </c>
      <c r="Q267" s="66" t="s">
        <v>511</v>
      </c>
    </row>
    <row r="268" customFormat="false" ht="15" hidden="false" customHeight="false" outlineLevel="0" collapsed="false">
      <c r="A268" s="76" t="s">
        <v>84</v>
      </c>
      <c r="B268" s="76" t="s">
        <v>512</v>
      </c>
      <c r="C268" s="77" t="n">
        <v>2026</v>
      </c>
      <c r="D268" s="77" t="n">
        <v>4</v>
      </c>
      <c r="E268" s="78" t="n">
        <v>46294</v>
      </c>
      <c r="F268" s="76" t="s">
        <v>509</v>
      </c>
      <c r="G268" s="76" t="s">
        <v>510</v>
      </c>
      <c r="H268" s="76" t="s">
        <v>215</v>
      </c>
      <c r="I268" s="79"/>
      <c r="J268" s="79"/>
      <c r="K268" s="80" t="n">
        <v>1.97656</v>
      </c>
      <c r="L268" s="79"/>
      <c r="M268" s="79"/>
      <c r="N268" s="80"/>
      <c r="O268" s="80"/>
      <c r="P268" s="47" t="n">
        <v>0</v>
      </c>
      <c r="Q268" s="66" t="s">
        <v>513</v>
      </c>
    </row>
    <row r="269" customFormat="false" ht="15" hidden="false" customHeight="false" outlineLevel="0" collapsed="false">
      <c r="A269" s="76" t="s">
        <v>175</v>
      </c>
      <c r="B269" s="76" t="s">
        <v>508</v>
      </c>
      <c r="C269" s="77" t="n">
        <v>2026</v>
      </c>
      <c r="D269" s="77" t="n">
        <v>3</v>
      </c>
      <c r="E269" s="78" t="n">
        <v>46264</v>
      </c>
      <c r="F269" s="76" t="s">
        <v>509</v>
      </c>
      <c r="G269" s="76" t="s">
        <v>510</v>
      </c>
      <c r="H269" s="76" t="s">
        <v>215</v>
      </c>
      <c r="I269" s="79"/>
      <c r="J269" s="79"/>
      <c r="K269" s="80" t="n">
        <v>6.07854</v>
      </c>
      <c r="L269" s="79"/>
      <c r="M269" s="79"/>
      <c r="N269" s="80"/>
      <c r="O269" s="80"/>
      <c r="P269" s="47" t="n">
        <v>0</v>
      </c>
      <c r="Q269" s="66" t="s">
        <v>514</v>
      </c>
    </row>
    <row r="270" customFormat="false" ht="15" hidden="false" customHeight="false" outlineLevel="0" collapsed="false">
      <c r="A270" s="76" t="s">
        <v>193</v>
      </c>
      <c r="B270" s="76" t="s">
        <v>515</v>
      </c>
      <c r="C270" s="77" t="n">
        <v>2027</v>
      </c>
      <c r="D270" s="77" t="n">
        <v>3</v>
      </c>
      <c r="E270" s="78" t="n">
        <v>46325</v>
      </c>
      <c r="F270" s="76" t="s">
        <v>509</v>
      </c>
      <c r="G270" s="76" t="s">
        <v>510</v>
      </c>
      <c r="H270" s="76" t="s">
        <v>215</v>
      </c>
      <c r="I270" s="79"/>
      <c r="J270" s="79"/>
      <c r="K270" s="80" t="n">
        <v>0.31116</v>
      </c>
      <c r="L270" s="79"/>
      <c r="M270" s="79"/>
      <c r="N270" s="80"/>
      <c r="O270" s="80"/>
      <c r="P270" s="47" t="n">
        <v>0</v>
      </c>
      <c r="Q270" s="66" t="s">
        <v>516</v>
      </c>
    </row>
    <row r="271" customFormat="false" ht="15" hidden="false" customHeight="false" outlineLevel="0" collapsed="false">
      <c r="A271" s="76" t="s">
        <v>189</v>
      </c>
      <c r="B271" s="76" t="s">
        <v>517</v>
      </c>
      <c r="C271" s="77" t="n">
        <v>2027</v>
      </c>
      <c r="D271" s="77" t="n">
        <v>2</v>
      </c>
      <c r="E271" s="78" t="n">
        <v>46233</v>
      </c>
      <c r="F271" s="76" t="s">
        <v>509</v>
      </c>
      <c r="G271" s="76" t="s">
        <v>510</v>
      </c>
      <c r="H271" s="76" t="s">
        <v>215</v>
      </c>
      <c r="I271" s="79"/>
      <c r="J271" s="79"/>
      <c r="K271" s="80" t="n">
        <v>4.91986</v>
      </c>
      <c r="L271" s="79"/>
      <c r="M271" s="79"/>
      <c r="N271" s="80"/>
      <c r="O271" s="80"/>
      <c r="P271" s="47" t="n">
        <v>0</v>
      </c>
      <c r="Q271" s="66" t="s">
        <v>518</v>
      </c>
    </row>
    <row r="272" customFormat="false" ht="15" hidden="false" customHeight="false" outlineLevel="0" collapsed="false">
      <c r="A272" s="76" t="s">
        <v>191</v>
      </c>
      <c r="B272" s="76" t="s">
        <v>508</v>
      </c>
      <c r="C272" s="77" t="n">
        <v>2026</v>
      </c>
      <c r="D272" s="77" t="n">
        <v>3</v>
      </c>
      <c r="E272" s="78" t="n">
        <v>46294</v>
      </c>
      <c r="F272" s="76" t="s">
        <v>509</v>
      </c>
      <c r="G272" s="76" t="s">
        <v>510</v>
      </c>
      <c r="H272" s="76" t="s">
        <v>215</v>
      </c>
      <c r="I272" s="79"/>
      <c r="J272" s="79"/>
      <c r="K272" s="80" t="n">
        <v>1.055</v>
      </c>
      <c r="L272" s="79"/>
      <c r="M272" s="79"/>
      <c r="N272" s="80"/>
      <c r="O272" s="80"/>
      <c r="P272" s="47" t="n">
        <v>0</v>
      </c>
      <c r="Q272" s="66" t="s">
        <v>519</v>
      </c>
    </row>
    <row r="273" customFormat="false" ht="15" hidden="false" customHeight="false" outlineLevel="0" collapsed="false">
      <c r="A273" s="76" t="s">
        <v>181</v>
      </c>
      <c r="B273" s="76" t="s">
        <v>515</v>
      </c>
      <c r="C273" s="77" t="n">
        <v>2027</v>
      </c>
      <c r="D273" s="77" t="n">
        <v>3</v>
      </c>
      <c r="E273" s="78" t="n">
        <v>46325</v>
      </c>
      <c r="F273" s="76" t="s">
        <v>509</v>
      </c>
      <c r="G273" s="76" t="s">
        <v>510</v>
      </c>
      <c r="H273" s="76" t="s">
        <v>215</v>
      </c>
      <c r="I273" s="79"/>
      <c r="J273" s="79"/>
      <c r="K273" s="80" t="n">
        <v>1.1004</v>
      </c>
      <c r="L273" s="79"/>
      <c r="M273" s="79"/>
      <c r="N273" s="80"/>
      <c r="O273" s="80"/>
      <c r="P273" s="47" t="n">
        <v>0</v>
      </c>
      <c r="Q273" s="66" t="s">
        <v>520</v>
      </c>
    </row>
    <row r="274" customFormat="false" ht="15" hidden="false" customHeight="false" outlineLevel="0" collapsed="false">
      <c r="A274" s="76" t="s">
        <v>169</v>
      </c>
      <c r="B274" s="76" t="s">
        <v>521</v>
      </c>
      <c r="C274" s="77" t="n">
        <v>2027</v>
      </c>
      <c r="D274" s="77" t="n">
        <v>1</v>
      </c>
      <c r="E274" s="78" t="n">
        <v>46294</v>
      </c>
      <c r="F274" s="76" t="s">
        <v>509</v>
      </c>
      <c r="G274" s="76" t="s">
        <v>510</v>
      </c>
      <c r="H274" s="76" t="s">
        <v>215</v>
      </c>
      <c r="I274" s="79"/>
      <c r="J274" s="79"/>
      <c r="K274" s="80" t="n">
        <v>4.72092</v>
      </c>
      <c r="L274" s="79"/>
      <c r="M274" s="79"/>
      <c r="N274" s="80"/>
      <c r="O274" s="80"/>
      <c r="P274" s="47" t="n">
        <v>0</v>
      </c>
      <c r="Q274" s="66" t="s">
        <v>522</v>
      </c>
    </row>
    <row r="275" customFormat="false" ht="15" hidden="false" customHeight="false" outlineLevel="0" collapsed="false">
      <c r="A275" s="76" t="s">
        <v>184</v>
      </c>
      <c r="B275" s="76" t="s">
        <v>512</v>
      </c>
      <c r="C275" s="77" t="n">
        <v>2026</v>
      </c>
      <c r="D275" s="77" t="n">
        <v>4</v>
      </c>
      <c r="E275" s="78" t="n">
        <v>46264</v>
      </c>
      <c r="F275" s="76" t="s">
        <v>509</v>
      </c>
      <c r="G275" s="76" t="s">
        <v>510</v>
      </c>
      <c r="H275" s="76" t="s">
        <v>215</v>
      </c>
      <c r="I275" s="79"/>
      <c r="J275" s="79"/>
      <c r="K275" s="80" t="n">
        <v>31.28341</v>
      </c>
      <c r="L275" s="79"/>
      <c r="M275" s="79"/>
      <c r="N275" s="80"/>
      <c r="O275" s="80"/>
      <c r="P275" s="47" t="n">
        <v>0</v>
      </c>
      <c r="Q275" s="66" t="s">
        <v>523</v>
      </c>
    </row>
    <row r="276" customFormat="false" ht="15" hidden="false" customHeight="false" outlineLevel="0" collapsed="false">
      <c r="A276" s="76" t="s">
        <v>172</v>
      </c>
      <c r="B276" s="76" t="s">
        <v>515</v>
      </c>
      <c r="C276" s="77" t="n">
        <v>2027</v>
      </c>
      <c r="D276" s="77" t="n">
        <v>3</v>
      </c>
      <c r="E276" s="78" t="n">
        <v>46325</v>
      </c>
      <c r="F276" s="76" t="s">
        <v>509</v>
      </c>
      <c r="G276" s="76" t="s">
        <v>510</v>
      </c>
      <c r="H276" s="76" t="s">
        <v>215</v>
      </c>
      <c r="I276" s="79"/>
      <c r="J276" s="79"/>
      <c r="K276" s="80" t="n">
        <v>2.34</v>
      </c>
      <c r="L276" s="79"/>
      <c r="M276" s="79"/>
      <c r="N276" s="80"/>
      <c r="O276" s="80"/>
      <c r="P276" s="47" t="n">
        <v>0</v>
      </c>
      <c r="Q276" s="66" t="s">
        <v>524</v>
      </c>
    </row>
    <row r="277" customFormat="false" ht="15" hidden="false" customHeight="false" outlineLevel="0" collapsed="false">
      <c r="A277" s="76" t="s">
        <v>186</v>
      </c>
      <c r="B277" s="76" t="s">
        <v>508</v>
      </c>
      <c r="C277" s="77" t="n">
        <v>2026</v>
      </c>
      <c r="D277" s="77" t="n">
        <v>3</v>
      </c>
      <c r="E277" s="78" t="n">
        <v>46294</v>
      </c>
      <c r="F277" s="76" t="s">
        <v>509</v>
      </c>
      <c r="G277" s="76" t="s">
        <v>510</v>
      </c>
      <c r="H277" s="76" t="s">
        <v>215</v>
      </c>
      <c r="I277" s="79"/>
      <c r="J277" s="79"/>
      <c r="K277" s="80" t="n">
        <v>2.05052</v>
      </c>
      <c r="L277" s="79"/>
      <c r="M277" s="79"/>
      <c r="N277" s="80"/>
      <c r="O277" s="80"/>
      <c r="P277" s="47" t="n">
        <v>0</v>
      </c>
      <c r="Q277" s="66" t="s">
        <v>525</v>
      </c>
    </row>
    <row r="279" customFormat="false" ht="15" hidden="false" customHeight="false" outlineLevel="0" collapsed="false">
      <c r="A279" s="81" t="s">
        <v>526</v>
      </c>
    </row>
    <row r="280" customFormat="false" ht="15" hidden="false" customHeight="false" outlineLevel="0" collapsed="false">
      <c r="A280" s="41" t="s">
        <v>527</v>
      </c>
    </row>
    <row r="281" customFormat="false" ht="15" hidden="false" customHeight="false" outlineLevel="0" collapsed="false">
      <c r="A281" s="82" t="s">
        <v>528</v>
      </c>
      <c r="C281" s="24" t="s">
        <v>529</v>
      </c>
    </row>
    <row r="282" customFormat="false" ht="15" hidden="false" customHeight="false" outlineLevel="0" collapsed="false">
      <c r="A282" s="82" t="s">
        <v>530</v>
      </c>
      <c r="C282" s="24" t="s">
        <v>529</v>
      </c>
    </row>
    <row r="283" customFormat="false" ht="15" hidden="false" customHeight="false" outlineLevel="0" collapsed="false">
      <c r="A283" s="82" t="s">
        <v>531</v>
      </c>
      <c r="C283" s="24" t="s">
        <v>529</v>
      </c>
    </row>
    <row r="284" customFormat="false" ht="15" hidden="false" customHeight="false" outlineLevel="0" collapsed="false">
      <c r="A284" s="82" t="s">
        <v>532</v>
      </c>
      <c r="C284" s="24" t="s">
        <v>529</v>
      </c>
    </row>
    <row r="285" customFormat="false" ht="15" hidden="false" customHeight="false" outlineLevel="0" collapsed="false">
      <c r="A285" s="82" t="s">
        <v>533</v>
      </c>
      <c r="C285" s="24" t="s">
        <v>529</v>
      </c>
    </row>
    <row r="286" customFormat="false" ht="15" hidden="false" customHeight="false" outlineLevel="0" collapsed="false">
      <c r="A286" s="82" t="s">
        <v>534</v>
      </c>
      <c r="C286" s="24" t="s">
        <v>535</v>
      </c>
    </row>
    <row r="287" customFormat="false" ht="15" hidden="false" customHeight="false" outlineLevel="0" collapsed="false">
      <c r="A287" s="82" t="s">
        <v>536</v>
      </c>
      <c r="C287" s="24" t="s">
        <v>535</v>
      </c>
    </row>
    <row r="288" customFormat="false" ht="15" hidden="false" customHeight="false" outlineLevel="0" collapsed="false">
      <c r="A288" s="82" t="s">
        <v>537</v>
      </c>
      <c r="C288" s="25" t="s">
        <v>538</v>
      </c>
    </row>
    <row r="289" customFormat="false" ht="15" hidden="false" customHeight="false" outlineLevel="0" collapsed="false">
      <c r="A289" s="82" t="s">
        <v>539</v>
      </c>
      <c r="C289" s="24" t="s">
        <v>540</v>
      </c>
    </row>
    <row r="290" customFormat="false" ht="15" hidden="false" customHeight="false" outlineLevel="0" collapsed="false">
      <c r="A290" s="82" t="s">
        <v>541</v>
      </c>
      <c r="C290" s="24" t="s">
        <v>542</v>
      </c>
    </row>
    <row r="291" customFormat="false" ht="15" hidden="false" customHeight="false" outlineLevel="0" collapsed="false">
      <c r="A291" s="82" t="s">
        <v>543</v>
      </c>
      <c r="C291" s="25" t="s">
        <v>544</v>
      </c>
    </row>
    <row r="292" customFormat="false" ht="15" hidden="false" customHeight="false" outlineLevel="0" collapsed="false">
      <c r="A292" s="82" t="s">
        <v>545</v>
      </c>
      <c r="C292" s="24" t="s">
        <v>546</v>
      </c>
    </row>
    <row r="293" customFormat="false" ht="15" hidden="false" customHeight="false" outlineLevel="0" collapsed="false">
      <c r="A293" s="82" t="s">
        <v>547</v>
      </c>
      <c r="C293" s="25" t="s">
        <v>548</v>
      </c>
    </row>
    <row r="294" customFormat="false" ht="15" hidden="false" customHeight="false" outlineLevel="0" collapsed="false">
      <c r="A294" s="82" t="s">
        <v>549</v>
      </c>
      <c r="C294" s="24" t="s">
        <v>47</v>
      </c>
    </row>
    <row r="295" customFormat="false" ht="15" hidden="false" customHeight="false" outlineLevel="0" collapsed="false">
      <c r="A295" s="82" t="s">
        <v>550</v>
      </c>
      <c r="C295" s="24" t="s">
        <v>551</v>
      </c>
    </row>
    <row r="297" customFormat="false" ht="15" hidden="false" customHeight="false" outlineLevel="0" collapsed="false">
      <c r="A297" s="24" t="s">
        <v>552</v>
      </c>
    </row>
  </sheetData>
  <autoFilter ref="A1:Q2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553</v>
      </c>
      <c r="C1" s="14" t="s">
        <v>554</v>
      </c>
      <c r="D1" s="14" t="s">
        <v>555</v>
      </c>
      <c r="E1" s="14" t="s">
        <v>556</v>
      </c>
      <c r="F1" s="14" t="s">
        <v>557</v>
      </c>
    </row>
    <row r="2" customFormat="false" ht="15" hidden="false" customHeight="false" outlineLevel="0" collapsed="false">
      <c r="A2" s="76" t="s">
        <v>177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46266</v>
      </c>
    </row>
    <row r="3" customFormat="false" ht="15" hidden="false" customHeight="false" outlineLevel="0" collapsed="false">
      <c r="A3" s="76" t="s">
        <v>84</v>
      </c>
      <c r="B3" s="80" t="n">
        <v>8.81249</v>
      </c>
      <c r="C3" s="80" t="n">
        <v>9.53127</v>
      </c>
      <c r="D3" s="78" t="n">
        <v>46295</v>
      </c>
      <c r="E3" s="77" t="n">
        <v>28</v>
      </c>
      <c r="F3" s="78" t="n">
        <v>46266</v>
      </c>
    </row>
    <row r="4" customFormat="false" ht="15" hidden="false" customHeight="false" outlineLevel="0" collapsed="false">
      <c r="A4" s="76" t="s">
        <v>175</v>
      </c>
      <c r="B4" s="80" t="n">
        <v>24.41188</v>
      </c>
      <c r="C4" s="80" t="n">
        <v>27.49039</v>
      </c>
      <c r="D4" s="78" t="n">
        <v>46356</v>
      </c>
      <c r="E4" s="77" t="n">
        <v>29</v>
      </c>
      <c r="F4" s="78" t="n">
        <v>46266</v>
      </c>
    </row>
    <row r="5" customFormat="false" ht="15" hidden="false" customHeight="false" outlineLevel="0" collapsed="false">
      <c r="A5" s="76" t="s">
        <v>193</v>
      </c>
      <c r="B5" s="80" t="n">
        <v>1.25635</v>
      </c>
      <c r="C5" s="80" t="n">
        <v>1.59657</v>
      </c>
      <c r="D5" s="78" t="n">
        <v>46418</v>
      </c>
      <c r="E5" s="77" t="n">
        <v>42</v>
      </c>
      <c r="F5" s="78" t="n">
        <v>46266</v>
      </c>
    </row>
    <row r="6" customFormat="false" ht="15" hidden="false" customHeight="false" outlineLevel="0" collapsed="false">
      <c r="A6" s="76" t="s">
        <v>189</v>
      </c>
      <c r="B6" s="80" t="n">
        <v>18.82044</v>
      </c>
      <c r="C6" s="80" t="n">
        <v>20.15625</v>
      </c>
      <c r="D6" s="78" t="n">
        <v>46418</v>
      </c>
      <c r="E6" s="77" t="n">
        <v>23</v>
      </c>
      <c r="F6" s="78" t="n">
        <v>46266</v>
      </c>
    </row>
    <row r="7" customFormat="false" ht="15" hidden="false" customHeight="false" outlineLevel="0" collapsed="false">
      <c r="A7" s="76" t="s">
        <v>191</v>
      </c>
      <c r="B7" s="80" t="n">
        <v>3.225</v>
      </c>
      <c r="C7" s="80" t="n">
        <v>5.85</v>
      </c>
      <c r="D7" s="78" t="n">
        <v>46387</v>
      </c>
      <c r="E7" s="77" t="n">
        <v>2</v>
      </c>
      <c r="F7" s="78" t="n">
        <v>46266</v>
      </c>
    </row>
    <row r="8" customFormat="false" ht="15" hidden="false" customHeight="false" outlineLevel="0" collapsed="false">
      <c r="A8" s="76" t="s">
        <v>181</v>
      </c>
      <c r="B8" s="80" t="n">
        <v>4.20774</v>
      </c>
      <c r="C8" s="80" t="n">
        <v>6.66335</v>
      </c>
      <c r="D8" s="78" t="n">
        <v>46418</v>
      </c>
      <c r="E8" s="77" t="n">
        <v>31</v>
      </c>
      <c r="F8" s="78" t="n">
        <v>46266</v>
      </c>
    </row>
    <row r="9" customFormat="false" ht="15" hidden="false" customHeight="false" outlineLevel="0" collapsed="false">
      <c r="A9" s="76" t="s">
        <v>169</v>
      </c>
      <c r="B9" s="80" t="n">
        <v>19.75306</v>
      </c>
      <c r="C9" s="80" t="n">
        <v>23.57328</v>
      </c>
      <c r="D9" s="78" t="n">
        <v>46568</v>
      </c>
      <c r="E9" s="77" t="n">
        <v>25</v>
      </c>
      <c r="F9" s="78" t="n">
        <v>46266</v>
      </c>
    </row>
    <row r="10" customFormat="false" ht="15" hidden="false" customHeight="false" outlineLevel="0" collapsed="false">
      <c r="A10" s="76" t="s">
        <v>184</v>
      </c>
      <c r="B10" s="80" t="n">
        <v>73.40044</v>
      </c>
      <c r="C10" s="80" t="n">
        <v>155.02524</v>
      </c>
      <c r="D10" s="78" t="n">
        <v>46265</v>
      </c>
      <c r="E10" s="77" t="n">
        <v>33</v>
      </c>
      <c r="F10" s="78" t="n">
        <v>46266</v>
      </c>
    </row>
    <row r="11" customFormat="false" ht="15" hidden="false" customHeight="false" outlineLevel="0" collapsed="false">
      <c r="A11" s="76" t="s">
        <v>172</v>
      </c>
      <c r="B11" s="80" t="n">
        <v>9.31023</v>
      </c>
      <c r="C11" s="80" t="n">
        <v>15.35675</v>
      </c>
      <c r="D11" s="78" t="n">
        <v>46418</v>
      </c>
      <c r="E11" s="77" t="n">
        <v>42</v>
      </c>
      <c r="F11" s="78" t="n">
        <v>46266</v>
      </c>
    </row>
    <row r="12" customFormat="false" ht="15" hidden="false" customHeight="false" outlineLevel="0" collapsed="false">
      <c r="A12" s="76" t="s">
        <v>186</v>
      </c>
      <c r="B12" s="80" t="n">
        <v>9.09129</v>
      </c>
      <c r="C12" s="80" t="n">
        <v>11.65247</v>
      </c>
      <c r="D12" s="78" t="n">
        <v>46387</v>
      </c>
      <c r="E12" s="77" t="n">
        <v>15</v>
      </c>
      <c r="F12" s="78" t="n">
        <v>46266</v>
      </c>
    </row>
    <row r="14" customFormat="false" ht="15" hidden="false" customHeight="false" outlineLevel="0" collapsed="false">
      <c r="A14" s="25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559</v>
      </c>
      <c r="C1" s="14" t="s">
        <v>560</v>
      </c>
      <c r="D1" s="14" t="s">
        <v>561</v>
      </c>
      <c r="E1" s="14" t="s">
        <v>557</v>
      </c>
    </row>
    <row r="2" customFormat="false" ht="15" hidden="false" customHeight="false" outlineLevel="0" collapsed="false">
      <c r="A2" s="76" t="s">
        <v>177</v>
      </c>
      <c r="B2" s="80" t="n">
        <v>103.254997253418</v>
      </c>
      <c r="C2" s="78" t="n">
        <v>46266</v>
      </c>
      <c r="D2" s="78" t="n">
        <v>46331</v>
      </c>
      <c r="E2" s="78" t="n">
        <v>46266</v>
      </c>
    </row>
    <row r="3" customFormat="false" ht="15" hidden="false" customHeight="false" outlineLevel="0" collapsed="false">
      <c r="A3" s="76" t="s">
        <v>84</v>
      </c>
      <c r="B3" s="80" t="n">
        <v>324.680114746094</v>
      </c>
      <c r="C3" s="78" t="n">
        <v>46266</v>
      </c>
      <c r="D3" s="78" t="n">
        <v>46324</v>
      </c>
      <c r="E3" s="78" t="n">
        <v>46266</v>
      </c>
    </row>
    <row r="4" customFormat="false" ht="15" hidden="false" customHeight="false" outlineLevel="0" collapsed="false">
      <c r="A4" s="76" t="s">
        <v>175</v>
      </c>
      <c r="B4" s="80" t="n">
        <v>293.609985351563</v>
      </c>
      <c r="C4" s="78" t="n">
        <v>46266</v>
      </c>
      <c r="D4" s="78" t="n">
        <v>46275</v>
      </c>
      <c r="E4" s="78" t="n">
        <v>46266</v>
      </c>
    </row>
    <row r="5" customFormat="false" ht="15" hidden="false" customHeight="false" outlineLevel="0" collapsed="false">
      <c r="A5" s="76" t="s">
        <v>193</v>
      </c>
      <c r="B5" s="80" t="n">
        <v>216.679992675781</v>
      </c>
      <c r="C5" s="78" t="n">
        <v>46266</v>
      </c>
      <c r="D5" s="78" t="n">
        <v>46260</v>
      </c>
      <c r="E5" s="78" t="n">
        <v>46266</v>
      </c>
    </row>
    <row r="6" customFormat="false" ht="15" hidden="false" customHeight="false" outlineLevel="0" collapsed="false">
      <c r="A6" s="76" t="s">
        <v>189</v>
      </c>
      <c r="B6" s="80" t="n">
        <v>441.180511474609</v>
      </c>
      <c r="C6" s="78" t="n">
        <v>46266</v>
      </c>
      <c r="D6" s="78" t="n">
        <v>46266</v>
      </c>
      <c r="E6" s="78" t="n">
        <v>46266</v>
      </c>
    </row>
    <row r="7" customFormat="false" ht="15" hidden="false" customHeight="false" outlineLevel="0" collapsed="false">
      <c r="A7" s="76" t="s">
        <v>191</v>
      </c>
      <c r="B7" s="80" t="n">
        <v>88.2149963378906</v>
      </c>
      <c r="C7" s="78" t="n">
        <v>46266</v>
      </c>
      <c r="D7" s="78" t="n">
        <v>46331</v>
      </c>
      <c r="E7" s="78" t="n">
        <v>46266</v>
      </c>
    </row>
    <row r="8" customFormat="false" ht="15" hidden="false" customHeight="false" outlineLevel="0" collapsed="false">
      <c r="A8" s="76" t="s">
        <v>181</v>
      </c>
      <c r="B8" s="80" t="n">
        <v>207.324996948242</v>
      </c>
      <c r="C8" s="78" t="n">
        <v>46266</v>
      </c>
      <c r="D8" s="78" t="n">
        <v>46261</v>
      </c>
      <c r="E8" s="78" t="n">
        <v>46266</v>
      </c>
    </row>
    <row r="9" customFormat="false" ht="15" hidden="false" customHeight="false" outlineLevel="0" collapsed="false">
      <c r="A9" s="76" t="s">
        <v>169</v>
      </c>
      <c r="B9" s="80" t="n">
        <v>503.885009765625</v>
      </c>
      <c r="C9" s="78" t="n">
        <v>46266</v>
      </c>
      <c r="D9" s="78" t="n">
        <v>46323</v>
      </c>
      <c r="E9" s="78" t="n">
        <v>46266</v>
      </c>
    </row>
    <row r="10" customFormat="false" ht="15" hidden="false" customHeight="false" outlineLevel="0" collapsed="false">
      <c r="A10" s="76" t="s">
        <v>184</v>
      </c>
      <c r="B10" s="80" t="n">
        <v>944.190002441406</v>
      </c>
      <c r="C10" s="78" t="n">
        <v>46266</v>
      </c>
      <c r="D10" s="78" t="n">
        <v>46295</v>
      </c>
      <c r="E10" s="78" t="n">
        <v>46266</v>
      </c>
    </row>
    <row r="11" customFormat="false" ht="15" hidden="false" customHeight="false" outlineLevel="0" collapsed="false">
      <c r="A11" s="76" t="s">
        <v>172</v>
      </c>
      <c r="B11" s="80" t="n">
        <v>217.810104370117</v>
      </c>
      <c r="C11" s="78" t="n">
        <v>46266</v>
      </c>
      <c r="D11" s="78" t="n">
        <v>46343</v>
      </c>
      <c r="E11" s="78" t="n">
        <v>46266</v>
      </c>
    </row>
    <row r="12" customFormat="false" ht="15" hidden="false" customHeight="false" outlineLevel="0" collapsed="false">
      <c r="A12" s="76" t="s">
        <v>186</v>
      </c>
      <c r="B12" s="80" t="n">
        <v>331.174987792969</v>
      </c>
      <c r="C12" s="78" t="n">
        <v>46266</v>
      </c>
      <c r="D12" s="78" t="n">
        <v>46316</v>
      </c>
      <c r="E12" s="78" t="n">
        <v>46266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562</v>
      </c>
      <c r="F1" s="14" t="s">
        <v>563</v>
      </c>
      <c r="G1" s="14" t="s">
        <v>564</v>
      </c>
      <c r="H1" s="14" t="s">
        <v>565</v>
      </c>
      <c r="I1" s="14" t="s">
        <v>68</v>
      </c>
      <c r="J1" s="14" t="s">
        <v>56</v>
      </c>
      <c r="K1" s="14" t="s">
        <v>566</v>
      </c>
      <c r="L1" s="14" t="s">
        <v>567</v>
      </c>
      <c r="M1" s="14" t="s">
        <v>568</v>
      </c>
      <c r="N1" s="14" t="s">
        <v>58</v>
      </c>
      <c r="O1" s="14" t="s">
        <v>59</v>
      </c>
      <c r="P1" s="14" t="s">
        <v>569</v>
      </c>
      <c r="Q1" s="15" t="s">
        <v>47</v>
      </c>
      <c r="R1" s="15" t="s">
        <v>60</v>
      </c>
      <c r="S1" s="15" t="s">
        <v>570</v>
      </c>
      <c r="T1" s="15" t="s">
        <v>571</v>
      </c>
      <c r="U1" s="15" t="s">
        <v>572</v>
      </c>
      <c r="V1" s="15" t="s">
        <v>573</v>
      </c>
      <c r="W1" s="15" t="s">
        <v>64</v>
      </c>
      <c r="X1" s="15" t="s">
        <v>65</v>
      </c>
      <c r="Y1" s="14" t="s">
        <v>574</v>
      </c>
      <c r="Z1" s="15" t="s">
        <v>575</v>
      </c>
      <c r="AA1" s="15" t="s">
        <v>576</v>
      </c>
      <c r="AB1" s="14" t="s">
        <v>577</v>
      </c>
      <c r="AC1" s="14" t="s">
        <v>71</v>
      </c>
      <c r="AD1" s="15" t="s">
        <v>106</v>
      </c>
      <c r="AE1" s="15" t="s">
        <v>578</v>
      </c>
      <c r="AF1" s="14" t="s">
        <v>72</v>
      </c>
      <c r="AG1" s="14" t="s">
        <v>73</v>
      </c>
      <c r="AH1" s="14" t="s">
        <v>579</v>
      </c>
      <c r="AI1" s="15" t="s">
        <v>75</v>
      </c>
      <c r="AJ1" s="15" t="s">
        <v>76</v>
      </c>
      <c r="AK1" s="15" t="s">
        <v>580</v>
      </c>
      <c r="AL1" s="15" t="s">
        <v>86</v>
      </c>
      <c r="AM1" s="15" t="s">
        <v>87</v>
      </c>
      <c r="AN1" s="15" t="s">
        <v>88</v>
      </c>
      <c r="AO1" s="14" t="s">
        <v>581</v>
      </c>
      <c r="AP1" s="14" t="s">
        <v>582</v>
      </c>
      <c r="AQ1" s="14" t="s">
        <v>583</v>
      </c>
      <c r="AR1" s="14" t="s">
        <v>584</v>
      </c>
      <c r="AS1" s="14" t="s">
        <v>585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324.680114746094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9.47416145205479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37.2339581130841</v>
      </c>
      <c r="K2" s="52" t="n">
        <f aca="false">IF($A2="","",IFERROR(IF(G2&lt;=0,"N/M",D2/G2),"N/M"))</f>
        <v>36.7012844253691</v>
      </c>
      <c r="L2" s="52" t="n">
        <f aca="false">IF($A2="","",IFERROR(IF(H2&lt;=0,"N/M",D2/H2),"N/M"))</f>
        <v>34.2700635184632</v>
      </c>
      <c r="M2" s="49" t="n">
        <f aca="false">IF($A2="","",IFERROR(INDEX(Raw_Est!$C$2:$C$100,MATCH($A2,Raw_Est!$A$2:$A$100,0))/INDEX(Raw_Est!$B$2:$B$100,MATCH($A2,Raw_Est!$A$2:$A$100,0))-1,""))</f>
        <v>0.0815637804979068</v>
      </c>
      <c r="N2" s="51" t="n">
        <f aca="false">IF($A2="","",IFERROR(IF(OR(NOT(ISNUMBER(J2)),I2&lt;Config!$B$6),"N/M",J2/(I2*100)),"N/M"))</f>
        <v>1.15198020640951</v>
      </c>
      <c r="O2" s="51" t="n">
        <f aca="false">IF($A2="","",IFERROR(IF(OR(NOT(ISNUMBER(L2)),M2&lt;Config!$B$6),"N/M",L2/(M2*100)),"N/M"))</f>
        <v>4.20162764762268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0.0032339522881502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1.20603548273103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28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46266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503.885009765625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20.4124404383562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29.1600121392144</v>
      </c>
      <c r="K3" s="52" t="n">
        <f aca="false">IF($A3="","",IFERROR(IF(G3&lt;=0,"N/M",D3/G3),"N/M"))</f>
        <v>28.1958069179217</v>
      </c>
      <c r="L3" s="52" t="n">
        <f aca="false">IF($A3="","",IFERROR(IF(H3&lt;=0,"N/M",D3/H3),"N/M"))</f>
        <v>24.6851919194726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1.09269935598595</v>
      </c>
      <c r="O3" s="51" t="n">
        <f aca="false">IF($A3="","",IFERROR(IF(OR(NOT(ISNUMBER(L3)),M3&lt;Config!$B$6),"N/M",L3/(M3*100)),"N/M"))</f>
        <v>1.27638742558506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0.00706510400389939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46266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217.810104370117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12.8387471506849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31.071341564924</v>
      </c>
      <c r="K4" s="52" t="n">
        <f aca="false">IF($A4="","",IFERROR(IF(G4&lt;=0,"N/M",D4/G4),"N/M"))</f>
        <v>27.0571558223748</v>
      </c>
      <c r="L4" s="52" t="n">
        <f aca="false">IF($A4="","",IFERROR(IF(H4&lt;=0,"N/M",D4/H4),"N/M"))</f>
        <v>16.9650591147048</v>
      </c>
      <c r="M4" s="49" t="n">
        <f aca="false">IF($A4="","",IFERROR(INDEX(Raw_Est!$C$2:$C$100,MATCH($A4,Raw_Est!$A$2:$A$100,0))/INDEX(Raw_Est!$B$2:$B$100,MATCH($A4,Raw_Est!$A$2:$A$100,0))-1,""))</f>
        <v>0.649449046908615</v>
      </c>
      <c r="N4" s="51" t="n">
        <f aca="false">IF($A4="","",IFERROR(IF(OR(NOT(ISNUMBER(J4)),I4&lt;Config!$B$6),"N/M",J4/(I4*100)),"N/M"))</f>
        <v>0.320620220206172</v>
      </c>
      <c r="O4" s="51" t="n">
        <f aca="false">IF($A4="","",IFERROR(IF(OR(NOT(ISNUMBER(L4)),M4&lt;Config!$B$6),"N/M",L4/(M4*100)),"N/M"))</f>
        <v>0.261222326762332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0.00128552346462405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0.991974707512315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46266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ADBE</v>
      </c>
      <c r="B5" s="66" t="str">
        <f aca="false">IF($A5="","",IFERROR(INDEX(Tickers!$B$2:$B$100,MATCH($A5,Tickers!$A$2:$A$100,0)),""))</f>
        <v>Adobe Inc.</v>
      </c>
      <c r="C5" s="66" t="n">
        <f aca="false">IF($A5="","",IFERROR(INDEX(Tickers!$D$2:$D$100,MATCH($A5,Tickers!$A$2:$A$100,0)),""))</f>
        <v>0</v>
      </c>
      <c r="D5" s="51" t="n">
        <f aca="false">IF($A5="","",IFERROR(INDEX(Raw_Price!$B$2:$B$100,MATCH($A5,Raw_Price!$A$2:$A$100,0)),""))</f>
        <v>293.609985351563</v>
      </c>
      <c r="E5" s="48" t="n">
        <f aca="false">IF($A5="","",IFERROR(SUMIFS(Raw_Q!$I$2:$I$600,Raw_Q!$A$2:$A$600,$A5,Raw_Q!$P$2:$P$600,"&gt;=1",Raw_Q!$P$2:$P$600,"&lt;=4"),""))</f>
        <v>25198</v>
      </c>
      <c r="F5" s="51" t="n">
        <f aca="false">IF($A5="","",IFERROR(SUMIFS(Raw_Q!$K$2:$K$600,Raw_Q!$A$2:$A$600,$A5,Raw_Q!$P$2:$P$600,"&gt;=1",Raw_Q!$P$2:$P$600,"&lt;=4"),""))</f>
        <v>22.83</v>
      </c>
      <c r="G5" s="51" t="n">
        <f aca="false">IF($A5="","",IFERROR(SUMIFS(Raw_Q!$K$2:$K$600,Raw_Q!$A$2:$A$600,$A5,Raw_Q!$P$2:$P$600,"&gt;=0",Raw_Q!$P$2:$P$600,"&lt;=3"),""))</f>
        <v>23.59854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26.7313053424658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0.164795918367347</v>
      </c>
      <c r="J5" s="52" t="n">
        <f aca="false">IF($A5="","",IFERROR(IF(F5&lt;=0,"N/M",D5/F5),"N/M"))</f>
        <v>12.8607089510102</v>
      </c>
      <c r="K5" s="52" t="n">
        <f aca="false">IF($A5="","",IFERROR(IF(G5&lt;=0,"N/M",D5/G5),"N/M"))</f>
        <v>12.441870783174</v>
      </c>
      <c r="L5" s="52" t="n">
        <f aca="false">IF($A5="","",IFERROR(IF(H5&lt;=0,"N/M",D5/H5),"N/M"))</f>
        <v>10.9837503851759</v>
      </c>
      <c r="M5" s="49" t="n">
        <f aca="false">IF($A5="","",IFERROR(INDEX(Raw_Est!$C$2:$C$100,MATCH($A5,Raw_Est!$A$2:$A$100,0))/INDEX(Raw_Est!$B$2:$B$100,MATCH($A5,Raw_Est!$A$2:$A$100,0))-1,""))</f>
        <v>0.126107042964327</v>
      </c>
      <c r="N5" s="51" t="n">
        <f aca="false">IF($A5="","",IFERROR(IF(OR(NOT(ISNUMBER(J5)),I5&lt;Config!$B$6),"N/M",J5/(I5*100)),"N/M"))</f>
        <v>0.780402153064396</v>
      </c>
      <c r="O5" s="51" t="n">
        <f aca="false">IF($A5="","",IFERROR(IF(OR(NOT(ISNUMBER(L5)),M5&lt;Config!$B$6),"N/M",L5/(M5*100)),"N/M"))</f>
        <v>0.87098627697447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0.126851694193768</v>
      </c>
      <c r="T5" s="49" t="n">
        <f aca="false">IF($A5="","",IFERROR(SUMIFS(Raw_Q!$I$2:$I$600,Raw_Q!$A$2:$A$600,$A5,Raw_Q!$P$2:$P$600,1)/SUMIFS(Raw_Q!$I$2:$I$600,Raw_Q!$A$2:$A$600,$A5,Raw_Q!$P$2:$P$600,2)-1,""))</f>
        <v>0.034385745545483</v>
      </c>
      <c r="U5" s="49" t="n">
        <f aca="false">IF($A5="","",IFERROR(SUMIFS(Raw_Q!$I$2:$I$600,Raw_Q!$A$2:$A$600,$A5,Raw_Q!$P$2:$P$600,2)/SUMIFS(Raw_Q!$I$2:$I$600,Raw_Q!$A$2:$A$600,$A5,Raw_Q!$P$2:$P$600,3)-1,""))</f>
        <v>0.0329350984824024</v>
      </c>
      <c r="V5" s="68" t="n">
        <f aca="false">IF($A5="","",IFERROR((T5-U5)*100,""))</f>
        <v>0.145064706308062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0.655935422591703</v>
      </c>
      <c r="Y5" s="49" t="n">
        <f aca="false">IF($A5="","",IFERROR(SUMIFS(Raw_Q!$K$2:$K$600,Raw_Q!$A$2:$A$600,$A5,Raw_Q!$P$2:$P$600,1)/SUMIFS(Raw_Q!$K$2:$K$600,Raw_Q!$A$2:$A$600,$A5,Raw_Q!$P$2:$P$600,5)-1,""))</f>
        <v>0.177865612648221</v>
      </c>
      <c r="Z5" s="49" t="n">
        <f aca="false">IF($A5="","",IFERROR(SUMIFS(Raw_Q!$J$2:$J$600,Raw_Q!$A$2:$A$600,$A5,Raw_Q!$P$2:$P$600,"&gt;=1",Raw_Q!$P$2:$P$600,"&lt;=4")/E5,""))</f>
        <v>0.894039209461068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0.885099329216446</v>
      </c>
      <c r="AB5" s="50" t="n">
        <f aca="false">IF($A5="","",IFERROR((Z5-AA5)*10000,""))</f>
        <v>89.3988024462256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5.94043653010523</v>
      </c>
      <c r="AD5" s="51" t="n">
        <f aca="false">IF($A5="","",IFERROR(SUMIFS(Raw_Q!$M$2:$M$600,Raw_Q!$A$2:$A$600,$A5,Raw_Q!$P$2:$P$600,1)/SUMIFS(Raw_Q!$L$2:$L$600,Raw_Q!$A$2:$A$600,$A5,Raw_Q!$P$2:$P$600,1),""))</f>
        <v>28.6517412935323</v>
      </c>
      <c r="AE5" s="48" t="n">
        <f aca="false">IF($A5="","",IFERROR(SUMPRODUCT((Raw_Q!$A$2:$A$600=$A5)*(Raw_Q!$P$2:$P$600&gt;=1)*(Raw_Q!$P$2:$P$600&lt;=4)*Raw_Q!$K$2:$K$600*Raw_Q!$L$2:$L$600),""))</f>
        <v>9431.52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0.821346338064966</v>
      </c>
      <c r="AG5" s="49" t="n">
        <f aca="false">IF($A5="","",IFERROR(AVERAGE(AO5:AS5),""))</f>
        <v>0.542288119031566</v>
      </c>
      <c r="AH5" s="49" t="n">
        <f aca="false">IF($A5="","",IFERROR(IF(AD5&lt;=0,"N/M",INDEX(Raw_Est!$B$2:$B$100,MATCH($A5,Raw_Est!$A$2:$A$100,0))/AD5),"N/M"))</f>
        <v>0.852020816113909</v>
      </c>
      <c r="AI5" s="51" t="n">
        <f aca="false">IF($A5="","",IFERROR(SUMIFS(Raw_Q!$K$2:$K$600,Raw_Q!$A$2:$A$600,$A5,Raw_Q!$P$2:$P$600,0),""))</f>
        <v>6.07854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29</v>
      </c>
      <c r="AM5" s="67" t="n">
        <f aca="false">IF($A5="","",IFERROR(INDEX(Raw_Price!$D$2:$D$100,MATCH($A5,Raw_Price!$A$2:$A$100,0)),""))</f>
        <v>46275</v>
      </c>
      <c r="AN5" s="67" t="n">
        <f aca="false">IF($A5="","",IFERROR(INDEX(Raw_Price!$E$2:$E$100,MATCH($A5,Raw_Price!$A$2:$A$100,0)),""))</f>
        <v>46266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0.821346338064966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0.662230459092465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0.535079006772009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0.356352704437428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0.336432086790962</v>
      </c>
    </row>
    <row r="6" customFormat="false" ht="15" hidden="false" customHeight="false" outlineLevel="0" collapsed="false">
      <c r="A6" s="16" t="str">
        <f aca="false">IF(Tickers!A6="","",Tickers!A6)</f>
        <v>AAOI</v>
      </c>
      <c r="B6" s="66" t="str">
        <f aca="false">IF($A6="","",IFERROR(INDEX(Tickers!$B$2:$B$100,MATCH($A6,Tickers!$A$2:$A$100,0)),""))</f>
        <v>Applied Optoelectronics, Inc.</v>
      </c>
      <c r="C6" s="66" t="str">
        <f aca="false">IF($A6="","",IFERROR(INDEX(Tickers!$D$2:$D$100,MATCH($A6,Tickers!$A$2:$A$100,0)),""))</f>
        <v>觀察</v>
      </c>
      <c r="D6" s="51" t="n">
        <f aca="false">IF($A6="","",IFERROR(INDEX(Raw_Price!$B$2:$B$100,MATCH($A6,Raw_Price!$A$2:$A$100,0)),""))</f>
        <v>103.254997253418</v>
      </c>
      <c r="E6" s="48" t="n">
        <f aca="false">IF($A6="","",IFERROR(SUMIFS(Raw_Q!$I$2:$I$600,Raw_Q!$A$2:$A$600,$A6,Raw_Q!$P$2:$P$600,"&gt;=1",Raw_Q!$P$2:$P$600,"&lt;=4"),""))</f>
        <v>595.97</v>
      </c>
      <c r="F6" s="51" t="n">
        <f aca="false">IF($A6="","",IFERROR(SUMIFS(Raw_Q!$K$2:$K$600,Raw_Q!$A$2:$A$600,$A6,Raw_Q!$P$2:$P$600,"&gt;=1",Raw_Q!$P$2:$P$600,"&lt;=4"),""))</f>
        <v>-0.11</v>
      </c>
      <c r="G6" s="51" t="n">
        <f aca="false">IF($A6="","",IFERROR(SUMIFS(Raw_Q!$K$2:$K$600,Raw_Q!$A$2:$A$600,$A6,Raw_Q!$P$2:$P$600,"&gt;=0",Raw_Q!$P$2:$P$600,"&lt;=3"),""))</f>
        <v>0.12333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3.3018301369863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-0.731707317073171</v>
      </c>
      <c r="J6" s="52" t="str">
        <f aca="false">IF($A6="","",IFERROR(IF(F6&lt;=0,"N/M",D6/F6),"N/M"))</f>
        <v>N/M</v>
      </c>
      <c r="K6" s="52" t="n">
        <f aca="false">IF($A6="","",IFERROR(IF(G6&lt;=0,"N/M",D6/G6),"N/M"))</f>
        <v>837.22530814415</v>
      </c>
      <c r="L6" s="52" t="n">
        <f aca="false">IF($A6="","",IFERROR(IF(H6&lt;=0,"N/M",D6/H6),"N/M"))</f>
        <v>31.2720500357606</v>
      </c>
      <c r="M6" s="49" t="n">
        <f aca="false">IF($A6="","",IFERROR(INDEX(Raw_Est!$C$2:$C$100,MATCH($A6,Raw_Est!$A$2:$A$100,0))/INDEX(Raw_Est!$B$2:$B$100,MATCH($A6,Raw_Est!$A$2:$A$100,0))-1,""))</f>
        <v>5.76764705882353</v>
      </c>
      <c r="N6" s="51" t="str">
        <f aca="false">IF($A6="","",IFERROR(IF(OR(NOT(ISNUMBER(J6)),I6&lt;Config!$B$6),"N/M",J6/(I6*100)),"N/M"))</f>
        <v>N/M</v>
      </c>
      <c r="O6" s="51" t="n">
        <f aca="false">IF($A6="","",IFERROR(IF(OR(NOT(ISNUMBER(L6)),M6&lt;Config!$B$6),"N/M",L6/(M6*100)),"N/M"))</f>
        <v>0.0542197705872443</v>
      </c>
      <c r="P6" s="51" t="n">
        <f aca="false">IF($A6="","",IFERROR(SUMIFS(Raw_Q!$N$2:$N$600,Raw_Q!$A$2:$A$600,$A6,Raw_Q!$P$2:$P$600,"&gt;=1",Raw_Q!$P$2:$P$600,"&lt;=4"),""))</f>
        <v>0</v>
      </c>
      <c r="Q6" s="49" t="str">
        <f aca="false">IF($A6="","",IFERROR(IF(P6=0,"不配息",P6/D6),""))</f>
        <v>不配息</v>
      </c>
      <c r="R6" s="49" t="str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/>
      </c>
      <c r="S6" s="49" t="n">
        <f aca="false">IF($A6="","",IFERROR(SUMIFS(Raw_Q!$I$2:$I$600,Raw_Q!$A$2:$A$600,$A6,Raw_Q!$P$2:$P$600,1)/SUMIFS(Raw_Q!$I$2:$I$600,Raw_Q!$A$2:$A$600,$A6,Raw_Q!$P$2:$P$600,5)-1,""))</f>
        <v>0.864189136685057</v>
      </c>
      <c r="T6" s="49" t="n">
        <f aca="false">IF($A6="","",IFERROR(SUMIFS(Raw_Q!$I$2:$I$600,Raw_Q!$A$2:$A$600,$A6,Raw_Q!$P$2:$P$600,1)/SUMIFS(Raw_Q!$I$2:$I$600,Raw_Q!$A$2:$A$600,$A6,Raw_Q!$P$2:$P$600,2)-1,""))</f>
        <v>0.269795691525962</v>
      </c>
      <c r="U6" s="49" t="n">
        <f aca="false">IF($A6="","",IFERROR(SUMIFS(Raw_Q!$I$2:$I$600,Raw_Q!$A$2:$A$600,$A6,Raw_Q!$P$2:$P$600,2)/SUMIFS(Raw_Q!$I$2:$I$600,Raw_Q!$A$2:$A$600,$A6,Raw_Q!$P$2:$P$600,3)-1,""))</f>
        <v>0.125638619539151</v>
      </c>
      <c r="V6" s="68" t="n">
        <f aca="false">IF($A6="","",IFERROR((T6-U6)*100,""))</f>
        <v>14.4157071986811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23.8822018647203</v>
      </c>
      <c r="Y6" s="49" t="n">
        <f aca="false">IF($A6="","",IFERROR(SUMIFS(Raw_Q!$K$2:$K$600,Raw_Q!$A$2:$A$600,$A6,Raw_Q!$P$2:$P$600,1)/SUMIFS(Raw_Q!$K$2:$K$600,Raw_Q!$A$2:$A$600,$A6,Raw_Q!$P$2:$P$600,5)-1,""))</f>
        <v>-1.375</v>
      </c>
      <c r="Z6" s="49" t="n">
        <f aca="false">IF($A6="","",IFERROR(SUMIFS(Raw_Q!$J$2:$J$600,Raw_Q!$A$2:$A$600,$A6,Raw_Q!$P$2:$P$600,"&gt;=1",Raw_Q!$P$2:$P$600,"&lt;=4")/E6,""))</f>
        <v>0.289158850277699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0.253464763497746</v>
      </c>
      <c r="AB6" s="50" t="n">
        <f aca="false">IF($A6="","",IFERROR((Z6-AA6)*10000,""))</f>
        <v>356.940867799522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-254.523289533234</v>
      </c>
      <c r="AD6" s="51" t="n">
        <f aca="false">IF($A6="","",IFERROR(SUMIFS(Raw_Q!$M$2:$M$600,Raw_Q!$A$2:$A$600,$A6,Raw_Q!$P$2:$P$600,1)/SUMIFS(Raw_Q!$L$2:$L$600,Raw_Q!$A$2:$A$600,$A6,Raw_Q!$P$2:$P$600,1),""))</f>
        <v>20.4495022557866</v>
      </c>
      <c r="AE6" s="48" t="n">
        <f aca="false">IF($A6="","",IFERROR(SUMPRODUCT((Raw_Q!$A$2:$A$600=$A6)*(Raw_Q!$P$2:$P$600&gt;=1)*(Raw_Q!$P$2:$P$600&lt;=4)*Raw_Q!$K$2:$K$600*Raw_Q!$L$2:$L$600),""))</f>
        <v>-6.82749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-0.00652409978757825</v>
      </c>
      <c r="AG6" s="49" t="n">
        <f aca="false">IF($A6="","",IFERROR(AVERAGE(AO6:AS6),""))</f>
        <v>-0.126183636440972</v>
      </c>
      <c r="AH6" s="49" t="n">
        <f aca="false">IF($A6="","",IFERROR(IF(AD6&lt;=0,"N/M",INDEX(Raw_Est!$B$2:$B$100,MATCH($A6,Raw_Est!$A$2:$A$100,0))/AD6),"N/M"))</f>
        <v>0.0332526430958769</v>
      </c>
      <c r="AI6" s="51" t="n">
        <f aca="false">IF($A6="","",IFERROR(SUMIFS(Raw_Q!$K$2:$K$600,Raw_Q!$A$2:$A$600,$A6,Raw_Q!$P$2:$P$600,0),""))</f>
        <v>0.14333</v>
      </c>
      <c r="AJ6" s="66" t="str">
        <f aca="false">IF($A6="","",IFERROR(INDEX(Raw_Q!$B$2:$B$600,MATCH($A6&amp;"|"&amp;0,Raw_Q!$Q$2:$Q$600,0)),""))</f>
        <v>FY2026Q3E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6</v>
      </c>
      <c r="AM6" s="67" t="n">
        <f aca="false">IF($A6="","",IFERROR(INDEX(Raw_Price!$D$2:$D$100,MATCH($A6,Raw_Price!$A$2:$A$100,0)),""))</f>
        <v>46331</v>
      </c>
      <c r="AN6" s="67" t="n">
        <f aca="false">IF($A6="","",IFERROR(INDEX(Raw_Price!$E$2:$E$100,MATCH($A6,Raw_Price!$A$2:$A$100,0)),""))</f>
        <v>46266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-0.00652409978757825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-0.0649546122408929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-0.120975870857434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-0.183491696081786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-0.254971903237168</v>
      </c>
    </row>
    <row r="7" customFormat="false" ht="15" hidden="false" customHeight="false" outlineLevel="0" collapsed="false">
      <c r="A7" s="16" t="str">
        <f aca="false">IF(Tickers!A7="","",Tickers!A7)</f>
        <v>MRVL</v>
      </c>
      <c r="B7" s="66" t="str">
        <f aca="false">IF($A7="","",IFERROR(INDEX(Tickers!$B$2:$B$100,MATCH($A7,Tickers!$A$2:$A$100,0)),""))</f>
        <v>Marvell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207.324996948242</v>
      </c>
      <c r="E7" s="48" t="n">
        <f aca="false">IF($A7="","",IFERROR(SUMIFS(Raw_Q!$I$2:$I$600,Raw_Q!$A$2:$A$600,$A7,Raw_Q!$P$2:$P$600,"&gt;=1",Raw_Q!$P$2:$P$600,"&lt;=4"),""))</f>
        <v>9450.3</v>
      </c>
      <c r="F7" s="51" t="n">
        <f aca="false">IF($A7="","",IFERROR(SUMIFS(Raw_Q!$K$2:$K$600,Raw_Q!$A$2:$A$600,$A7,Raw_Q!$P$2:$P$600,"&gt;=1",Raw_Q!$P$2:$P$600,"&lt;=4"),""))</f>
        <v>3.3</v>
      </c>
      <c r="G7" s="51" t="n">
        <f aca="false">IF($A7="","",IFERROR(SUMIFS(Raw_Q!$K$2:$K$600,Raw_Q!$A$2:$A$600,$A7,Raw_Q!$P$2:$P$600,"&gt;=0",Raw_Q!$P$2:$P$600,"&lt;=3"),""))</f>
        <v>3.6404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5.64073980821918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0.422413793103448</v>
      </c>
      <c r="J7" s="52" t="n">
        <f aca="false">IF($A7="","",IFERROR(IF(F7&lt;=0,"N/M",D7/F7),"N/M"))</f>
        <v>62.8257566509825</v>
      </c>
      <c r="K7" s="52" t="n">
        <f aca="false">IF($A7="","",IFERROR(IF(G7&lt;=0,"N/M",D7/G7),"N/M"))</f>
        <v>56.9511583749704</v>
      </c>
      <c r="L7" s="52" t="n">
        <f aca="false">IF($A7="","",IFERROR(IF(H7&lt;=0,"N/M",D7/H7),"N/M"))</f>
        <v>36.7549300264031</v>
      </c>
      <c r="M7" s="49" t="n">
        <f aca="false">IF($A7="","",IFERROR(INDEX(Raw_Est!$C$2:$C$100,MATCH($A7,Raw_Est!$A$2:$A$100,0))/INDEX(Raw_Est!$B$2:$B$100,MATCH($A7,Raw_Est!$A$2:$A$100,0))-1,""))</f>
        <v>0.583593568043653</v>
      </c>
      <c r="N7" s="51" t="n">
        <f aca="false">IF($A7="","",IFERROR(IF(OR(NOT(ISNUMBER(J7)),I7&lt;Config!$B$6),"N/M",J7/(I7*100)),"N/M"))</f>
        <v>1.48730362683959</v>
      </c>
      <c r="O7" s="51" t="n">
        <f aca="false">IF($A7="","",IFERROR(IF(OR(NOT(ISNUMBER(L7)),M7&lt;Config!$B$6),"N/M",L7/(M7*100)),"N/M"))</f>
        <v>0.629803548891303</v>
      </c>
      <c r="P7" s="51" t="n">
        <f aca="false">IF($A7="","",IFERROR(SUMIFS(Raw_Q!$N$2:$N$600,Raw_Q!$A$2:$A$600,$A7,Raw_Q!$P$2:$P$600,"&gt;=1",Raw_Q!$P$2:$P$600,"&lt;=4"),""))</f>
        <v>0.24</v>
      </c>
      <c r="Q7" s="49" t="n">
        <f aca="false">IF($A7="","",IFERROR(IF(P7=0,"不配息",P7/D7),""))</f>
        <v>0.00115760281457964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</v>
      </c>
      <c r="S7" s="49" t="n">
        <f aca="false">IF($A7="","",IFERROR(SUMIFS(Raw_Q!$I$2:$I$600,Raw_Q!$A$2:$A$600,$A7,Raw_Q!$P$2:$P$600,1)/SUMIFS(Raw_Q!$I$2:$I$600,Raw_Q!$A$2:$A$600,$A7,Raw_Q!$P$2:$P$600,5)-1,""))</f>
        <v>0.365485269926724</v>
      </c>
      <c r="T7" s="49" t="n">
        <f aca="false">IF($A7="","",IFERROR(SUMIFS(Raw_Q!$I$2:$I$600,Raw_Q!$A$2:$A$600,$A7,Raw_Q!$P$2:$P$600,1)/SUMIFS(Raw_Q!$I$2:$I$600,Raw_Q!$A$2:$A$600,$A7,Raw_Q!$P$2:$P$600,2)-1,""))</f>
        <v>0.132972123417983</v>
      </c>
      <c r="U7" s="49" t="n">
        <f aca="false">IF($A7="","",IFERROR(SUMIFS(Raw_Q!$I$2:$I$600,Raw_Q!$A$2:$A$600,$A7,Raw_Q!$P$2:$P$600,2)/SUMIFS(Raw_Q!$I$2:$I$600,Raw_Q!$A$2:$A$600,$A7,Raw_Q!$P$2:$P$600,3)-1,""))</f>
        <v>0.0897372335151216</v>
      </c>
      <c r="V7" s="68" t="n">
        <f aca="false">IF($A7="","",IFERROR((T7-U7)*100,""))</f>
        <v>4.32348899028616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IF($A7="","",IFERROR((T7-(SUMIFS(Raw_Q!$I$2:$I$600,Raw_Q!$A$2:$A$600,$A7,Raw_Q!$P$2:$P$600,5)/SUMIFS(Raw_Q!$I$2:$I$600,Raw_Q!$A$2:$A$600,$A7,Raw_Q!$P$2:$P$600,6)-1))*100,""))</f>
        <v>7.4511721370814</v>
      </c>
      <c r="Y7" s="49" t="n">
        <f aca="false">IF($A7="","",IFERROR(SUMIFS(Raw_Q!$K$2:$K$600,Raw_Q!$A$2:$A$600,$A7,Raw_Q!$P$2:$P$600,1)/SUMIFS(Raw_Q!$K$2:$K$600,Raw_Q!$A$2:$A$600,$A7,Raw_Q!$P$2:$P$600,5)-1,""))</f>
        <v>0.402985074626866</v>
      </c>
      <c r="Z7" s="49" t="n">
        <f aca="false">IF($A7="","",IFERROR(SUMIFS(Raw_Q!$J$2:$J$600,Raw_Q!$A$2:$A$600,$A7,Raw_Q!$P$2:$P$600,"&gt;=1",Raw_Q!$P$2:$P$600,"&lt;=4")/E7,""))</f>
        <v>0.522110409193359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0.478380825799555</v>
      </c>
      <c r="AB7" s="50" t="n">
        <f aca="false">IF($A7="","",IFERROR((Z7-AA7)*10000,""))</f>
        <v>437.295833938042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276.131078056631</v>
      </c>
      <c r="AD7" s="51" t="n">
        <f aca="false">IF($A7="","",IFERROR(SUMIFS(Raw_Q!$M$2:$M$600,Raw_Q!$A$2:$A$600,$A7,Raw_Q!$P$2:$P$600,1)/SUMIFS(Raw_Q!$L$2:$L$600,Raw_Q!$A$2:$A$600,$A7,Raw_Q!$P$2:$P$600,1),""))</f>
        <v>20.1168041684759</v>
      </c>
      <c r="AE7" s="48" t="n">
        <f aca="false">IF($A7="","",IFERROR(SUMPRODUCT((Raw_Q!$A$2:$A$600=$A7)*(Raw_Q!$P$2:$P$600&gt;=1)*(Raw_Q!$P$2:$P$600&lt;=4)*Raw_Q!$K$2:$K$600*Raw_Q!$L$2:$L$600),""))</f>
        <v>2921.94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0.182888152397405</v>
      </c>
      <c r="AG7" s="49" t="n">
        <f aca="false">IF($A7="","",IFERROR(AVERAGE(AO7:AS7),""))</f>
        <v>0.0988212987040118</v>
      </c>
      <c r="AH7" s="49" t="n">
        <f aca="false">IF($A7="","",IFERROR(IF(AD7&lt;=0,"N/M",INDEX(Raw_Est!$B$2:$B$100,MATCH($A7,Raw_Est!$A$2:$A$100,0))/AD7),"N/M"))</f>
        <v>0.209165430292042</v>
      </c>
      <c r="AI7" s="51" t="n">
        <f aca="false">IF($A7="","",IFERROR(SUMIFS(Raw_Q!$K$2:$K$600,Raw_Q!$A$2:$A$600,$A7,Raw_Q!$P$2:$P$600,0),""))</f>
        <v>1.1004</v>
      </c>
      <c r="AJ7" s="66" t="str">
        <f aca="false">IF($A7="","",IFERROR(INDEX(Raw_Q!$B$2:$B$600,MATCH($A7&amp;"|"&amp;0,Raw_Q!$Q$2:$Q$600,0)),""))</f>
        <v>FY2027Q3E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31</v>
      </c>
      <c r="AM7" s="67" t="n">
        <f aca="false">IF($A7="","",IFERROR(INDEX(Raw_Price!$D$2:$D$100,MATCH($A7,Raw_Price!$A$2:$A$100,0)),""))</f>
        <v>46261</v>
      </c>
      <c r="AN7" s="67" t="n">
        <f aca="false">IF($A7="","",IFERROR(INDEX(Raw_Price!$E$2:$E$100,MATCH($A7,Raw_Price!$A$2:$A$100,0)),""))</f>
        <v>46266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0.182888152397405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0.108467274293616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0.0505652420728246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0.0672038861955323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0.0849819385606816</v>
      </c>
    </row>
    <row r="8" customFormat="false" ht="15" hidden="false" customHeight="false" outlineLevel="0" collapsed="false">
      <c r="A8" s="16" t="str">
        <f aca="false">IF(Tickers!A8="","",Tickers!A8)</f>
        <v>MU</v>
      </c>
      <c r="B8" s="66" t="str">
        <f aca="false">IF($A8="","",IFERROR(INDEX(Tickers!$B$2:$B$100,MATCH($A8,Tickers!$A$2:$A$100,0)),""))</f>
        <v>Micron Technology,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944.190002441406</v>
      </c>
      <c r="E8" s="48" t="n">
        <f aca="false">IF($A8="","",IFERROR(SUMIFS(Raw_Q!$I$2:$I$600,Raw_Q!$A$2:$A$600,$A8,Raw_Q!$P$2:$P$600,"&gt;=1",Raw_Q!$P$2:$P$600,"&lt;=4"),""))</f>
        <v>90274</v>
      </c>
      <c r="F8" s="51" t="n">
        <f aca="false">IF($A8="","",IFERROR(SUMIFS(Raw_Q!$K$2:$K$600,Raw_Q!$A$2:$A$600,$A8,Raw_Q!$P$2:$P$600,"&gt;=1",Raw_Q!$P$2:$P$600,"&lt;=4"),""))</f>
        <v>45.12</v>
      </c>
      <c r="G8" s="51" t="n">
        <f aca="false">IF($A8="","",IFERROR(SUMIFS(Raw_Q!$K$2:$K$600,Raw_Q!$A$2:$A$600,$A8,Raw_Q!$P$2:$P$600,"&gt;=0",Raw_Q!$P$2:$P$600,"&lt;=3"),""))</f>
        <v>73.37341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155.02524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6.00621118012422</v>
      </c>
      <c r="J8" s="52" t="n">
        <f aca="false">IF($A8="","",IFERROR(IF(F8&lt;=0,"N/M",D8/F8),"N/M"))</f>
        <v>20.9261968626198</v>
      </c>
      <c r="K8" s="52" t="n">
        <f aca="false">IF($A8="","",IFERROR(IF(G8&lt;=0,"N/M",D8/G8),"N/M"))</f>
        <v>12.8682856969767</v>
      </c>
      <c r="L8" s="52" t="n">
        <f aca="false">IF($A8="","",IFERROR(IF(H8&lt;=0,"N/M",D8/H8),"N/M"))</f>
        <v>6.09055662446584</v>
      </c>
      <c r="M8" s="49" t="n">
        <f aca="false">IF($A8="","",IFERROR(INDEX(Raw_Est!$C$2:$C$100,MATCH($A8,Raw_Est!$A$2:$A$100,0))/INDEX(Raw_Est!$B$2:$B$100,MATCH($A8,Raw_Est!$A$2:$A$100,0))-1,""))</f>
        <v>1.11204782968603</v>
      </c>
      <c r="N8" s="51" t="n">
        <f aca="false">IF($A8="","",IFERROR(IF(OR(NOT(ISNUMBER(J8)),I8&lt;Config!$B$6),"N/M",J8/(I8*100)),"N/M"))</f>
        <v>0.0348409275582398</v>
      </c>
      <c r="O8" s="51" t="n">
        <f aca="false">IF($A8="","",IFERROR(IF(OR(NOT(ISNUMBER(L8)),M8&lt;Config!$B$6),"N/M",L8/(M8*100)),"N/M"))</f>
        <v>0.0547688369319995</v>
      </c>
      <c r="P8" s="51" t="n">
        <f aca="false">IF($A8="","",IFERROR(SUMIFS(Raw_Q!$N$2:$N$600,Raw_Q!$A$2:$A$600,$A8,Raw_Q!$P$2:$P$600,"&gt;=1",Raw_Q!$P$2:$P$600,"&lt;=4"),""))</f>
        <v>0.495</v>
      </c>
      <c r="Q8" s="49" t="n">
        <f aca="false">IF($A8="","",IFERROR(IF(P8=0,"不配息",P8/D8),""))</f>
        <v>0.000524258887215572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0.076086956521739</v>
      </c>
      <c r="S8" s="49" t="n">
        <f aca="false">IF($A8="","",IFERROR(SUMIFS(Raw_Q!$I$2:$I$600,Raw_Q!$A$2:$A$600,$A8,Raw_Q!$P$2:$P$600,1)/SUMIFS(Raw_Q!$I$2:$I$600,Raw_Q!$A$2:$A$600,$A8,Raw_Q!$P$2:$P$600,5)-1,""))</f>
        <v>3.45715514460811</v>
      </c>
      <c r="T8" s="49" t="n">
        <f aca="false">IF($A8="","",IFERROR(SUMIFS(Raw_Q!$I$2:$I$600,Raw_Q!$A$2:$A$600,$A8,Raw_Q!$P$2:$P$600,1)/SUMIFS(Raw_Q!$I$2:$I$600,Raw_Q!$A$2:$A$600,$A8,Raw_Q!$P$2:$P$600,2)-1,""))</f>
        <v>0.737468566638726</v>
      </c>
      <c r="U8" s="49" t="n">
        <f aca="false">IF($A8="","",IFERROR(SUMIFS(Raw_Q!$I$2:$I$600,Raw_Q!$A$2:$A$600,$A8,Raw_Q!$P$2:$P$600,2)/SUMIFS(Raw_Q!$I$2:$I$600,Raw_Q!$A$2:$A$600,$A8,Raw_Q!$P$2:$P$600,3)-1,""))</f>
        <v>0.74888221065748</v>
      </c>
      <c r="V8" s="68" t="n">
        <f aca="false">IF($A8="","",IFERROR((T8-U8)*100,""))</f>
        <v>-1.1413644018754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58.2495264763648</v>
      </c>
      <c r="Y8" s="49" t="n">
        <f aca="false">IF($A8="","",IFERROR(SUMIFS(Raw_Q!$K$2:$K$600,Raw_Q!$A$2:$A$600,$A8,Raw_Q!$P$2:$P$600,1)/SUMIFS(Raw_Q!$K$2:$K$600,Raw_Q!$A$2:$A$600,$A8,Raw_Q!$P$2:$P$600,5)-1,""))</f>
        <v>12.1465968586387</v>
      </c>
      <c r="Z8" s="49" t="n">
        <f aca="false">IF($A8="","",IFERROR(SUMIFS(Raw_Q!$J$2:$J$600,Raw_Q!$A$2:$A$600,$A8,Raw_Q!$P$2:$P$600,"&gt;=1",Raw_Q!$P$2:$P$600,"&lt;=4")/E8,""))</f>
        <v>0.725690675055941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0.496566676869707</v>
      </c>
      <c r="AB8" s="50" t="n">
        <f aca="false">IF($A8="","",IFERROR((Z8-AA8)*10000,""))</f>
        <v>2291.23998186234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4684.55706115273</v>
      </c>
      <c r="AD8" s="51" t="n">
        <f aca="false">IF($A8="","",IFERROR(SUMIFS(Raw_Q!$M$2:$M$600,Raw_Q!$A$2:$A$600,$A8,Raw_Q!$P$2:$P$600,1)/SUMIFS(Raw_Q!$L$2:$L$600,Raw_Q!$A$2:$A$600,$A8,Raw_Q!$P$2:$P$600,1),""))</f>
        <v>87.9685589519651</v>
      </c>
      <c r="AE8" s="48" t="n">
        <f aca="false">IF($A8="","",IFERROR(SUMPRODUCT((Raw_Q!$A$2:$A$600=$A8)*(Raw_Q!$P$2:$P$600&gt;=1)*(Raw_Q!$P$2:$P$600&lt;=4)*Raw_Q!$K$2:$K$600*Raw_Q!$L$2:$L$600),""))</f>
        <v>51549.92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0.680652793915707</v>
      </c>
      <c r="AG8" s="49" t="n">
        <f aca="false">IF($A8="","",IFERROR(AVERAGE(AO8:AS8),""))</f>
        <v>0.179851756978296</v>
      </c>
      <c r="AH8" s="49" t="n">
        <f aca="false">IF($A8="","",IFERROR(IF(AD8&lt;=0,"N/M",INDEX(Raw_Est!$B$2:$B$100,MATCH($A8,Raw_Est!$A$2:$A$100,0))/AD8),"N/M"))</f>
        <v>0.834394025257138</v>
      </c>
      <c r="AI8" s="51" t="n">
        <f aca="false">IF($A8="","",IFERROR(SUMIFS(Raw_Q!$K$2:$K$600,Raw_Q!$A$2:$A$600,$A8,Raw_Q!$P$2:$P$600,0),""))</f>
        <v>31.28341</v>
      </c>
      <c r="AJ8" s="66" t="str">
        <f aca="false">IF($A8="","",IFERROR(INDEX(Raw_Q!$B$2:$B$600,MATCH($A8&amp;"|"&amp;0,Raw_Q!$Q$2:$Q$600,0)),""))</f>
        <v>FY2026Q4E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33</v>
      </c>
      <c r="AM8" s="67" t="n">
        <f aca="false">IF($A8="","",IFERROR(INDEX(Raw_Price!$D$2:$D$100,MATCH($A8,Raw_Price!$A$2:$A$100,0)),""))</f>
        <v>46295</v>
      </c>
      <c r="AN8" s="67" t="n">
        <f aca="false">IF($A8="","",IFERROR(INDEX(Raw_Price!$E$2:$E$100,MATCH($A8,Raw_Price!$A$2:$A$100,0)),""))</f>
        <v>46266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0.680652793915707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0.124672801743653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0.00231808546245677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-0.0779804828591344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0.169595586628796</v>
      </c>
    </row>
    <row r="9" customFormat="false" ht="15" hidden="false" customHeight="false" outlineLevel="0" collapsed="false">
      <c r="A9" s="16" t="str">
        <f aca="false">IF(Tickers!A9="","",Tickers!A9)</f>
        <v>TER</v>
      </c>
      <c r="B9" s="66" t="str">
        <f aca="false">IF($A9="","",IFERROR(INDEX(Tickers!$B$2:$B$100,MATCH($A9,Tickers!$A$2:$A$100,0)),""))</f>
        <v>Teradyne,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331.174987792969</v>
      </c>
      <c r="E9" s="48" t="n">
        <f aca="false">IF($A9="","",IFERROR(SUMIFS(Raw_Q!$I$2:$I$600,Raw_Q!$A$2:$A$600,$A9,Raw_Q!$P$2:$P$600,"&gt;=1",Raw_Q!$P$2:$P$600,"&lt;=4"),""))</f>
        <v>4464.031</v>
      </c>
      <c r="F9" s="51" t="n">
        <f aca="false">IF($A9="","",IFERROR(SUMIFS(Raw_Q!$K$2:$K$600,Raw_Q!$A$2:$A$600,$A9,Raw_Q!$P$2:$P$600,"&gt;=1",Raw_Q!$P$2:$P$600,"&lt;=4"),""))</f>
        <v>7.68</v>
      </c>
      <c r="G9" s="51" t="n">
        <f aca="false">IF($A9="","",IFERROR(SUMIFS(Raw_Q!$K$2:$K$600,Raw_Q!$A$2:$A$600,$A9,Raw_Q!$P$2:$P$600,"&gt;=0",Raw_Q!$P$2:$P$600,"&lt;=3"),""))</f>
        <v>8.88052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10.8034212876712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1.42271293375394</v>
      </c>
      <c r="J9" s="52" t="n">
        <f aca="false">IF($A9="","",IFERROR(IF(F9&lt;=0,"N/M",D9/F9),"N/M"))</f>
        <v>43.1217432022095</v>
      </c>
      <c r="K9" s="52" t="n">
        <f aca="false">IF($A9="","",IFERROR(IF(G9&lt;=0,"N/M",D9/G9),"N/M"))</f>
        <v>37.2922968241689</v>
      </c>
      <c r="L9" s="52" t="n">
        <f aca="false">IF($A9="","",IFERROR(IF(H9&lt;=0,"N/M",D9/H9),"N/M"))</f>
        <v>30.6546397640628</v>
      </c>
      <c r="M9" s="49" t="n">
        <f aca="false">IF($A9="","",IFERROR(INDEX(Raw_Est!$C$2:$C$100,MATCH($A9,Raw_Est!$A$2:$A$100,0))/INDEX(Raw_Est!$B$2:$B$100,MATCH($A9,Raw_Est!$A$2:$A$100,0))-1,""))</f>
        <v>0.281717996015967</v>
      </c>
      <c r="N9" s="51" t="n">
        <f aca="false">IF($A9="","",IFERROR(IF(OR(NOT(ISNUMBER(J9)),I9&lt;Config!$B$6),"N/M",J9/(I9*100)),"N/M"))</f>
        <v>0.303095179492248</v>
      </c>
      <c r="O9" s="51" t="n">
        <f aca="false">IF($A9="","",IFERROR(IF(OR(NOT(ISNUMBER(L9)),M9&lt;Config!$B$6),"N/M",L9/(M9*100)),"N/M"))</f>
        <v>1.08813211074827</v>
      </c>
      <c r="P9" s="51" t="n">
        <f aca="false">IF($A9="","",IFERROR(SUMIFS(Raw_Q!$N$2:$N$600,Raw_Q!$A$2:$A$600,$A9,Raw_Q!$P$2:$P$600,"&gt;=1",Raw_Q!$P$2:$P$600,"&lt;=4"),""))</f>
        <v>0.5</v>
      </c>
      <c r="Q9" s="49" t="n">
        <f aca="false">IF($A9="","",IFERROR(IF(P9=0,"不配息",P9/D9),""))</f>
        <v>0.00150977585394393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0.0416666666666667</v>
      </c>
      <c r="S9" s="49" t="n">
        <f aca="false">IF($A9="","",IFERROR(SUMIFS(Raw_Q!$I$2:$I$600,Raw_Q!$A$2:$A$600,$A9,Raw_Q!$P$2:$P$600,1)/SUMIFS(Raw_Q!$I$2:$I$600,Raw_Q!$A$2:$A$600,$A9,Raw_Q!$P$2:$P$600,5)-1,""))</f>
        <v>1.03896305137949</v>
      </c>
      <c r="T9" s="49" t="n">
        <f aca="false">IF($A9="","",IFERROR(SUMIFS(Raw_Q!$I$2:$I$600,Raw_Q!$A$2:$A$600,$A9,Raw_Q!$P$2:$P$600,1)/SUMIFS(Raw_Q!$I$2:$I$600,Raw_Q!$A$2:$A$600,$A9,Raw_Q!$P$2:$P$600,2)-1,""))</f>
        <v>0.0362543606441825</v>
      </c>
      <c r="U9" s="49" t="n">
        <f aca="false">IF($A9="","",IFERROR(SUMIFS(Raw_Q!$I$2:$I$600,Raw_Q!$A$2:$A$600,$A9,Raw_Q!$P$2:$P$600,2)/SUMIFS(Raw_Q!$I$2:$I$600,Raw_Q!$A$2:$A$600,$A9,Raw_Q!$P$2:$P$600,3)-1,""))</f>
        <v>0.183836608553017</v>
      </c>
      <c r="V9" s="68" t="n">
        <f aca="false">IF($A9="","",IFERROR((T9-U9)*100,""))</f>
        <v>-14.7582247908835</v>
      </c>
      <c r="W9" s="66" t="str">
        <f aca="false">IF($A9="","",IFERROR(IF(NOT(ISNUMBER(T9)),"",IF(T9&gt;0,IF(V9&gt;0,"成長且加速","成長但減速"),IF(V9&gt;0,"衰退但收斂","衰退且惡化"))),""))</f>
        <v>成長但減速</v>
      </c>
      <c r="X9" s="68" t="n">
        <f aca="false">IF($A9="","",IFERROR((T9-(SUMIFS(Raw_Q!$I$2:$I$600,Raw_Q!$A$2:$A$600,$A9,Raw_Q!$P$2:$P$600,5)/SUMIFS(Raw_Q!$I$2:$I$600,Raw_Q!$A$2:$A$600,$A9,Raw_Q!$P$2:$P$600,6)-1))*100,""))</f>
        <v>8.56695397364704</v>
      </c>
      <c r="Y9" s="49" t="n">
        <f aca="false">IF($A9="","",IFERROR(SUMIFS(Raw_Q!$K$2:$K$600,Raw_Q!$A$2:$A$600,$A9,Raw_Q!$P$2:$P$600,1)/SUMIFS(Raw_Q!$K$2:$K$600,Raw_Q!$A$2:$A$600,$A9,Raw_Q!$P$2:$P$600,5)-1,""))</f>
        <v>3.33333333333333</v>
      </c>
      <c r="Z9" s="49" t="n">
        <f aca="false">IF($A9="","",IFERROR(SUMIFS(Raw_Q!$J$2:$J$600,Raw_Q!$A$2:$A$600,$A9,Raw_Q!$P$2:$P$600,"&gt;=1",Raw_Q!$P$2:$P$600,"&lt;=4")/E9,""))</f>
        <v>0.592415912882325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0.588385499583535</v>
      </c>
      <c r="AB9" s="50" t="n">
        <f aca="false">IF($A9="","",IFERROR((Z9-AA9)*10000,""))</f>
        <v>40.3041329879061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256.287212686569</v>
      </c>
      <c r="AD9" s="51" t="n">
        <f aca="false">IF($A9="","",IFERROR(SUMIFS(Raw_Q!$M$2:$M$600,Raw_Q!$A$2:$A$600,$A9,Raw_Q!$P$2:$P$600,1)/SUMIFS(Raw_Q!$L$2:$L$600,Raw_Q!$A$2:$A$600,$A9,Raw_Q!$P$2:$P$600,1),""))</f>
        <v>21.7965413810378</v>
      </c>
      <c r="AE9" s="48" t="n">
        <f aca="false">IF($A9="","",IFERROR(SUMPRODUCT((Raw_Q!$A$2:$A$600=$A9)*(Raw_Q!$P$2:$P$600&gt;=1)*(Raw_Q!$P$2:$P$600&lt;=4)*Raw_Q!$K$2:$K$600*Raw_Q!$L$2:$L$600),""))</f>
        <v>1212.05412</v>
      </c>
      <c r="AF9" s="49" t="n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0.386345132643224</v>
      </c>
      <c r="AG9" s="49" t="n">
        <f aca="false">IF($A9="","",IFERROR(AVERAGE(AO9:AS9),""))</f>
        <v>0.19783528496635</v>
      </c>
      <c r="AH9" s="49" t="n">
        <f aca="false">IF($A9="","",IFERROR(IF(AD9&lt;=0,"N/M",INDEX(Raw_Est!$B$2:$B$100,MATCH($A9,Raw_Est!$A$2:$A$100,0))/AD9),"N/M"))</f>
        <v>0.417097824882854</v>
      </c>
      <c r="AI9" s="51" t="n">
        <f aca="false">IF($A9="","",IFERROR(SUMIFS(Raw_Q!$K$2:$K$600,Raw_Q!$A$2:$A$600,$A9,Raw_Q!$P$2:$P$600,0),""))</f>
        <v>2.05052</v>
      </c>
      <c r="AJ9" s="66" t="str">
        <f aca="false">IF($A9="","",IFERROR(INDEX(Raw_Q!$B$2:$B$600,MATCH($A9&amp;"|"&amp;0,Raw_Q!$Q$2:$Q$600,0)),""))</f>
        <v>FY2026Q3E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15</v>
      </c>
      <c r="AM9" s="67" t="n">
        <f aca="false">IF($A9="","",IFERROR(INDEX(Raw_Price!$D$2:$D$100,MATCH($A9,Raw_Price!$A$2:$A$100,0)),""))</f>
        <v>46316</v>
      </c>
      <c r="AN9" s="67" t="n">
        <f aca="false">IF($A9="","",IFERROR(INDEX(Raw_Price!$E$2:$E$100,MATCH($A9,Raw_Price!$A$2:$A$100,0)),""))</f>
        <v>46266</v>
      </c>
      <c r="AO9" s="49" t="n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>0.386345132643224</v>
      </c>
      <c r="AP9" s="49" t="n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>0.12952382611488</v>
      </c>
      <c r="AQ9" s="49" t="n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>0.101799877847995</v>
      </c>
      <c r="AR9" s="49" t="n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>0.0937215240418306</v>
      </c>
      <c r="AS9" s="49" t="n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>0.27778606418382</v>
      </c>
    </row>
    <row r="10" customFormat="false" ht="15" hidden="false" customHeight="false" outlineLevel="0" collapsed="false">
      <c r="A10" s="16" t="str">
        <f aca="false">IF(Tickers!A10="","",Tickers!A10)</f>
        <v>DELL</v>
      </c>
      <c r="B10" s="66" t="str">
        <f aca="false">IF($A10="","",IFERROR(INDEX(Tickers!$B$2:$B$100,MATCH($A10,Tickers!$A$2:$A$100,0)),""))</f>
        <v>Dell Technologies Inc.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441.180511474609</v>
      </c>
      <c r="E10" s="48" t="n">
        <f aca="false">IF($A10="","",IFERROR(SUMIFS(Raw_Q!$I$2:$I$600,Raw_Q!$A$2:$A$600,$A10,Raw_Q!$P$2:$P$600,"&gt;=1",Raw_Q!$P$2:$P$600,"&lt;=4"),""))</f>
        <v>134002</v>
      </c>
      <c r="F10" s="51" t="n">
        <f aca="false">IF($A10="","",IFERROR(SUMIFS(Raw_Q!$K$2:$K$600,Raw_Q!$A$2:$A$600,$A10,Raw_Q!$P$2:$P$600,"&gt;=1",Raw_Q!$P$2:$P$600,"&lt;=4"),""))</f>
        <v>13.66</v>
      </c>
      <c r="G10" s="51" t="n">
        <f aca="false">IF($A10="","",IFERROR(SUMIFS(Raw_Q!$K$2:$K$600,Raw_Q!$A$2:$A$600,$A10,Raw_Q!$P$2:$P$600,"&gt;=0",Raw_Q!$P$2:$P$600,"&lt;=3"),""))</f>
        <v>16.25986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19.5999674794521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0.651753325272068</v>
      </c>
      <c r="J10" s="52" t="n">
        <f aca="false">IF($A10="","",IFERROR(IF(F10&lt;=0,"N/M",D10/F10),"N/M"))</f>
        <v>32.2972555984341</v>
      </c>
      <c r="K10" s="52" t="n">
        <f aca="false">IF($A10="","",IFERROR(IF(G10&lt;=0,"N/M",D10/G10),"N/M"))</f>
        <v>27.1331064027986</v>
      </c>
      <c r="L10" s="52" t="n">
        <f aca="false">IF($A10="","",IFERROR(IF(H10&lt;=0,"N/M",D10/H10),"N/M"))</f>
        <v>22.5092471167173</v>
      </c>
      <c r="M10" s="49" t="n">
        <f aca="false">IF($A10="","",IFERROR(INDEX(Raw_Est!$C$2:$C$100,MATCH($A10,Raw_Est!$A$2:$A$100,0))/INDEX(Raw_Est!$B$2:$B$100,MATCH($A10,Raw_Est!$A$2:$A$100,0))-1,""))</f>
        <v>0.0709765552771349</v>
      </c>
      <c r="N10" s="51" t="n">
        <f aca="false">IF($A10="","",IFERROR(IF(OR(NOT(ISNUMBER(J10)),I10&lt;Config!$B$6),"N/M",J10/(I10*100)),"N/M"))</f>
        <v>0.495544162892486</v>
      </c>
      <c r="O10" s="51" t="n">
        <f aca="false">IF($A10="","",IFERROR(IF(OR(NOT(ISNUMBER(L10)),M10&lt;Config!$B$6),"N/M",L10/(M10*100)),"N/M"))</f>
        <v>3.17136370296188</v>
      </c>
      <c r="P10" s="51" t="n">
        <f aca="false">IF($A10="","",IFERROR(SUMIFS(Raw_Q!$N$2:$N$600,Raw_Q!$A$2:$A$600,$A10,Raw_Q!$P$2:$P$600,"&gt;=1",Raw_Q!$P$2:$P$600,"&lt;=4"),""))</f>
        <v>2.205</v>
      </c>
      <c r="Q10" s="49" t="n">
        <f aca="false">IF($A10="","",IFERROR(IF(P10=0,"不配息",P10/D10),""))</f>
        <v>0.00499795422202574</v>
      </c>
      <c r="R10" s="49" t="n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>0.185483870967742</v>
      </c>
      <c r="S10" s="49" t="n">
        <f aca="false">IF($A10="","",IFERROR(SUMIFS(Raw_Q!$I$2:$I$600,Raw_Q!$A$2:$A$600,$A10,Raw_Q!$P$2:$P$600,1)/SUMIFS(Raw_Q!$I$2:$I$600,Raw_Q!$A$2:$A$600,$A10,Raw_Q!$P$2:$P$600,5)-1,""))</f>
        <v>0.87535289588502</v>
      </c>
      <c r="T10" s="49" t="n">
        <f aca="false">IF($A10="","",IFERROR(SUMIFS(Raw_Q!$I$2:$I$600,Raw_Q!$A$2:$A$600,$A10,Raw_Q!$P$2:$P$600,1)/SUMIFS(Raw_Q!$I$2:$I$600,Raw_Q!$A$2:$A$600,$A10,Raw_Q!$P$2:$P$600,2)-1,""))</f>
        <v>0.313460559034123</v>
      </c>
      <c r="U10" s="49" t="n">
        <f aca="false">IF($A10="","",IFERROR(SUMIFS(Raw_Q!$I$2:$I$600,Raw_Q!$A$2:$A$600,$A10,Raw_Q!$P$2:$P$600,2)/SUMIFS(Raw_Q!$I$2:$I$600,Raw_Q!$A$2:$A$600,$A10,Raw_Q!$P$2:$P$600,3)-1,""))</f>
        <v>0.236030364747269</v>
      </c>
      <c r="V10" s="68" t="n">
        <f aca="false">IF($A10="","",IFERROR((T10-U10)*100,""))</f>
        <v>7.74301942868543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33.1439219875928</v>
      </c>
      <c r="Y10" s="49" t="n">
        <f aca="false">IF($A10="","",IFERROR(SUMIFS(Raw_Q!$K$2:$K$600,Raw_Q!$A$2:$A$600,$A10,Raw_Q!$P$2:$P$600,1)/SUMIFS(Raw_Q!$K$2:$K$600,Raw_Q!$A$2:$A$600,$A10,Raw_Q!$P$2:$P$600,5)-1,""))</f>
        <v>2.13548387096774</v>
      </c>
      <c r="Z10" s="49" t="n">
        <f aca="false">IF($A10="","",IFERROR(SUMIFS(Raw_Q!$J$2:$J$600,Raw_Q!$A$2:$A$600,$A10,Raw_Q!$P$2:$P$600,"&gt;=1",Raw_Q!$P$2:$P$600,"&lt;=4")/E10,""))</f>
        <v>0.19068372113849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0.205590388418855</v>
      </c>
      <c r="AB10" s="50" t="n">
        <f aca="false">IF($A10="","",IFERROR((Z10-AA10)*10000,""))</f>
        <v>-149.066672803646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-336.804262347599</v>
      </c>
      <c r="AD10" s="51" t="n">
        <f aca="false">IF($A10="","",IFERROR(SUMIFS(Raw_Q!$M$2:$M$600,Raw_Q!$A$2:$A$600,$A10,Raw_Q!$P$2:$P$600,1)/SUMIFS(Raw_Q!$L$2:$L$600,Raw_Q!$A$2:$A$600,$A10,Raw_Q!$P$2:$P$600,1),""))</f>
        <v>-2.14024390243902</v>
      </c>
      <c r="AE10" s="48" t="n">
        <f aca="false">IF($A10="","",IFERROR(SUMPRODUCT((Raw_Q!$A$2:$A$600=$A10)*(Raw_Q!$P$2:$P$600&gt;=1)*(Raw_Q!$P$2:$P$600&lt;=4)*Raw_Q!$K$2:$K$600*Raw_Q!$L$2:$L$600),""))</f>
        <v>9142.72106037</v>
      </c>
      <c r="AF10" s="49" t="str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N/M</v>
      </c>
      <c r="AG10" s="49" t="str">
        <f aca="false">IF($A10="","",IFERROR(AVERAGE(AO10:AS10),""))</f>
        <v/>
      </c>
      <c r="AH10" s="49" t="str">
        <f aca="false">IF($A10="","",IFERROR(IF(AD10&lt;=0,"N/M",INDEX(Raw_Est!$B$2:$B$100,MATCH($A10,Raw_Est!$A$2:$A$100,0))/AD10),"N/M"))</f>
        <v>N/M</v>
      </c>
      <c r="AI10" s="51" t="n">
        <f aca="false">IF($A10="","",IFERROR(SUMIFS(Raw_Q!$K$2:$K$600,Raw_Q!$A$2:$A$600,$A10,Raw_Q!$P$2:$P$600,0),""))</f>
        <v>4.91986</v>
      </c>
      <c r="AJ10" s="66" t="str">
        <f aca="false">IF($A10="","",IFERROR(INDEX(Raw_Q!$B$2:$B$600,MATCH($A10&amp;"|"&amp;0,Raw_Q!$Q$2:$Q$600,0)),""))</f>
        <v>FY2027Q2E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23</v>
      </c>
      <c r="AM10" s="67" t="n">
        <f aca="false">IF($A10="","",IFERROR(INDEX(Raw_Price!$D$2:$D$100,MATCH($A10,Raw_Price!$A$2:$A$100,0)),""))</f>
        <v>46266</v>
      </c>
      <c r="AN10" s="67" t="n">
        <f aca="false">IF($A10="","",IFERROR(INDEX(Raw_Price!$E$2:$E$100,MATCH($A10,Raw_Price!$A$2:$A$100,0)),""))</f>
        <v>46266</v>
      </c>
      <c r="AO10" s="49" t="str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/>
      </c>
      <c r="AP10" s="49" t="str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/>
      </c>
      <c r="AQ10" s="49" t="str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/>
      </c>
      <c r="AR10" s="49" t="str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/>
      </c>
      <c r="AS10" s="49" t="str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/>
      </c>
    </row>
    <row r="11" customFormat="false" ht="15" hidden="false" customHeight="false" outlineLevel="0" collapsed="false">
      <c r="A11" s="16" t="str">
        <f aca="false">IF(Tickers!A11="","",Tickers!A11)</f>
        <v>DIOD</v>
      </c>
      <c r="B11" s="66" t="str">
        <f aca="false">IF($A11="","",IFERROR(INDEX(Tickers!$B$2:$B$100,MATCH($A11,Tickers!$A$2:$A$100,0)),""))</f>
        <v>Diodes Incorporated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88.2149963378906</v>
      </c>
      <c r="E11" s="48" t="n">
        <f aca="false">IF($A11="","",IFERROR(SUMIFS(Raw_Q!$I$2:$I$600,Raw_Q!$A$2:$A$600,$A11,Raw_Q!$P$2:$P$600,"&gt;=1",Raw_Q!$P$2:$P$600,"&lt;=4"),""))</f>
        <v>1634.744</v>
      </c>
      <c r="F11" s="51" t="n">
        <f aca="false">IF($A11="","",IFERROR(SUMIFS(Raw_Q!$K$2:$K$600,Raw_Q!$A$2:$A$600,$A11,Raw_Q!$P$2:$P$600,"&gt;=1",Raw_Q!$P$2:$P$600,"&lt;=4"),""))</f>
        <v>1.84</v>
      </c>
      <c r="G11" s="51" t="n">
        <f aca="false">IF($A11="","",IFERROR(SUMIFS(Raw_Q!$K$2:$K$600,Raw_Q!$A$2:$A$600,$A11,Raw_Q!$P$2:$P$600,"&gt;=0",Raw_Q!$P$2:$P$600,"&lt;=3"),""))</f>
        <v>2.525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4.97979452054794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0.520661157024793</v>
      </c>
      <c r="J11" s="52" t="n">
        <f aca="false">IF($A11="","",IFERROR(IF(F11&lt;=0,"N/M",D11/F11),"N/M"))</f>
        <v>47.9429327923319</v>
      </c>
      <c r="K11" s="52" t="n">
        <f aca="false">IF($A11="","",IFERROR(IF(G11&lt;=0,"N/M",D11/G11),"N/M"))</f>
        <v>34.936632213026</v>
      </c>
      <c r="L11" s="52" t="n">
        <f aca="false">IF($A11="","",IFERROR(IF(H11&lt;=0,"N/M",D11/H11),"N/M"))</f>
        <v>17.7145856066736</v>
      </c>
      <c r="M11" s="49" t="n">
        <f aca="false">IF($A11="","",IFERROR(INDEX(Raw_Est!$C$2:$C$100,MATCH($A11,Raw_Est!$A$2:$A$100,0))/INDEX(Raw_Est!$B$2:$B$100,MATCH($A11,Raw_Est!$A$2:$A$100,0))-1,""))</f>
        <v>0.813953488372093</v>
      </c>
      <c r="N11" s="51" t="n">
        <f aca="false">IF($A11="","",IFERROR(IF(OR(NOT(ISNUMBER(J11)),I11&lt;Config!$B$6),"N/M",J11/(I11*100)),"N/M"))</f>
        <v>0.920808709186057</v>
      </c>
      <c r="O11" s="51" t="n">
        <f aca="false">IF($A11="","",IFERROR(IF(OR(NOT(ISNUMBER(L11)),M11&lt;Config!$B$6),"N/M",L11/(M11*100)),"N/M"))</f>
        <v>0.217636337453418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0.216587659607004</v>
      </c>
      <c r="T11" s="49" t="n">
        <f aca="false">IF($A11="","",IFERROR(SUMIFS(Raw_Q!$I$2:$I$600,Raw_Q!$A$2:$A$600,$A11,Raw_Q!$P$2:$P$600,1)/SUMIFS(Raw_Q!$I$2:$I$600,Raw_Q!$A$2:$A$600,$A11,Raw_Q!$P$2:$P$600,2)-1,""))</f>
        <v>0.0988045882895525</v>
      </c>
      <c r="U11" s="49" t="n">
        <f aca="false">IF($A11="","",IFERROR(SUMIFS(Raw_Q!$I$2:$I$600,Raw_Q!$A$2:$A$600,$A11,Raw_Q!$P$2:$P$600,2)/SUMIFS(Raw_Q!$I$2:$I$600,Raw_Q!$A$2:$A$600,$A11,Raw_Q!$P$2:$P$600,3)-1,""))</f>
        <v>0.0354693062429452</v>
      </c>
      <c r="V11" s="68" t="n">
        <f aca="false">IF($A11="","",IFERROR((T11-U11)*100,""))</f>
        <v>6.33352820466073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-0.386829714401982</v>
      </c>
      <c r="Y11" s="49" t="n">
        <f aca="false">IF($A11="","",IFERROR(SUMIFS(Raw_Q!$K$2:$K$600,Raw_Q!$A$2:$A$600,$A11,Raw_Q!$P$2:$P$600,1)/SUMIFS(Raw_Q!$K$2:$K$600,Raw_Q!$A$2:$A$600,$A11,Raw_Q!$P$2:$P$600,5)-1,""))</f>
        <v>1.1875</v>
      </c>
      <c r="Z11" s="49" t="n">
        <f aca="false">IF($A11="","",IFERROR(SUMIFS(Raw_Q!$J$2:$J$600,Raw_Q!$A$2:$A$600,$A11,Raw_Q!$P$2:$P$600,"&gt;=1",Raw_Q!$P$2:$P$600,"&lt;=4")/E11,""))</f>
        <v>0.317343877695835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0.367154264642682</v>
      </c>
      <c r="AB11" s="50" t="n">
        <f aca="false">IF($A11="","",IFERROR((Z11-AA11)*10000,""))</f>
        <v>-498.103869468474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163.047629749846</v>
      </c>
      <c r="AD11" s="51" t="n">
        <f aca="false">IF($A11="","",IFERROR(SUMIFS(Raw_Q!$M$2:$M$600,Raw_Q!$A$2:$A$600,$A11,Raw_Q!$P$2:$P$600,1)/SUMIFS(Raw_Q!$L$2:$L$600,Raw_Q!$A$2:$A$600,$A11,Raw_Q!$P$2:$P$600,1),""))</f>
        <v>42.0337811652241</v>
      </c>
      <c r="AE11" s="48" t="n">
        <f aca="false">IF($A11="","",IFERROR(SUMPRODUCT((Raw_Q!$A$2:$A$600=$A11)*(Raw_Q!$P$2:$P$600&gt;=1)*(Raw_Q!$P$2:$P$600&lt;=4)*Raw_Q!$K$2:$K$600*Raw_Q!$L$2:$L$600),""))</f>
        <v>85.25857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0.0445283756950168</v>
      </c>
      <c r="AG11" s="49" t="n">
        <f aca="false">IF($A11="","",IFERROR(AVERAGE(AO11:AS11),""))</f>
        <v>0.0973734285146471</v>
      </c>
      <c r="AH11" s="49" t="n">
        <f aca="false">IF($A11="","",IFERROR(IF(AD11&lt;=0,"N/M",INDEX(Raw_Est!$B$2:$B$100,MATCH($A11,Raw_Est!$A$2:$A$100,0))/AD11),"N/M"))</f>
        <v>0.0767240041366572</v>
      </c>
      <c r="AI11" s="51" t="n">
        <f aca="false">IF($A11="","",IFERROR(SUMIFS(Raw_Q!$K$2:$K$600,Raw_Q!$A$2:$A$600,$A11,Raw_Q!$P$2:$P$600,0),""))</f>
        <v>1.055</v>
      </c>
      <c r="AJ11" s="66" t="str">
        <f aca="false">IF($A11="","",IFERROR(INDEX(Raw_Q!$B$2:$B$600,MATCH($A11&amp;"|"&amp;0,Raw_Q!$Q$2:$Q$600,0)),""))</f>
        <v>FY2026Q3E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46331</v>
      </c>
      <c r="AN11" s="67" t="n">
        <f aca="false">IF($A11="","",IFERROR(INDEX(Raw_Price!$E$2:$E$100,MATCH($A11,Raw_Price!$A$2:$A$100,0)),""))</f>
        <v>46266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0.0445283756950168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0.03076016895169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0.0606432895381943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0.158465706766267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0.192469601622068</v>
      </c>
    </row>
    <row r="12" customFormat="false" ht="15" hidden="false" customHeight="false" outlineLevel="0" collapsed="false">
      <c r="A12" s="16" t="str">
        <f aca="false">IF(Tickers!A12="","",Tickers!A12)</f>
        <v>CRWD</v>
      </c>
      <c r="B12" s="66" t="str">
        <f aca="false">IF($A12="","",IFERROR(INDEX(Tickers!$B$2:$B$100,MATCH($A12,Tickers!$A$2:$A$100,0)),""))</f>
        <v>CrowdStrike Holdings, Inc.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216.679992675781</v>
      </c>
      <c r="E12" s="48" t="n">
        <f aca="false">IF($A12="","",IFERROR(SUMIFS(Raw_Q!$I$2:$I$600,Raw_Q!$A$2:$A$600,$A12,Raw_Q!$P$2:$P$600,"&gt;=1",Raw_Q!$P$2:$P$600,"&lt;=4"),""))</f>
        <v>9321.393</v>
      </c>
      <c r="F12" s="51" t="n">
        <f aca="false">IF($A12="","",IFERROR(SUMIFS(Raw_Q!$K$2:$K$600,Raw_Q!$A$2:$A$600,$A12,Raw_Q!$P$2:$P$600,"&gt;=1",Raw_Q!$P$2:$P$600,"&lt;=4"),""))</f>
        <v>1.11</v>
      </c>
      <c r="G12" s="51" t="n">
        <f aca="false">IF($A12="","",IFERROR(SUMIFS(Raw_Q!$K$2:$K$600,Raw_Q!$A$2:$A$600,$A12,Raw_Q!$P$2:$P$600,"&gt;=0",Raw_Q!$P$2:$P$600,"&lt;=3"),""))</f>
        <v>1.18116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1.45488934246575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0.233333333333333</v>
      </c>
      <c r="J12" s="52" t="n">
        <f aca="false">IF($A12="","",IFERROR(IF(F12&lt;=0,"N/M",D12/F12),"N/M"))</f>
        <v>195.207200608812</v>
      </c>
      <c r="K12" s="52" t="n">
        <f aca="false">IF($A12="","",IFERROR(IF(G12&lt;=0,"N/M",D12/G12),"N/M"))</f>
        <v>183.446774929545</v>
      </c>
      <c r="L12" s="52" t="n">
        <f aca="false">IF($A12="","",IFERROR(IF(H12&lt;=0,"N/M",D12/H12),"N/M"))</f>
        <v>148.932283955391</v>
      </c>
      <c r="M12" s="49" t="n">
        <f aca="false">IF($A12="","",IFERROR(INDEX(Raw_Est!$C$2:$C$100,MATCH($A12,Raw_Est!$A$2:$A$100,0))/INDEX(Raw_Est!$B$2:$B$100,MATCH($A12,Raw_Est!$A$2:$A$100,0))-1,""))</f>
        <v>0.270800334301747</v>
      </c>
      <c r="N12" s="51" t="n">
        <f aca="false">IF($A12="","",IFERROR(IF(OR(NOT(ISNUMBER(J12)),I12&lt;Config!$B$6),"N/M",J12/(I12*100)),"N/M"))</f>
        <v>8.36602288323479</v>
      </c>
      <c r="O12" s="51" t="n">
        <f aca="false">IF($A12="","",IFERROR(IF(OR(NOT(ISNUMBER(L12)),M12&lt;Config!$B$6),"N/M",L12/(M12*100)),"N/M"))</f>
        <v>5.49970827544986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3.61622461829057</v>
      </c>
      <c r="T12" s="49" t="n">
        <f aca="false">IF($A12="","",IFERROR(SUMIFS(Raw_Q!$I$2:$I$600,Raw_Q!$A$2:$A$600,$A12,Raw_Q!$P$2:$P$600,1)/SUMIFS(Raw_Q!$I$2:$I$600,Raw_Q!$A$2:$A$600,$A12,Raw_Q!$P$2:$P$600,2)-1,""))</f>
        <v>2.8943649418423</v>
      </c>
      <c r="U12" s="49" t="n">
        <f aca="false">IF($A12="","",IFERROR(SUMIFS(Raw_Q!$I$2:$I$600,Raw_Q!$A$2:$A$600,$A12,Raw_Q!$P$2:$P$600,2)/SUMIFS(Raw_Q!$I$2:$I$600,Raw_Q!$A$2:$A$600,$A12,Raw_Q!$P$2:$P$600,3)-1,""))</f>
        <v>0.0614796514411566</v>
      </c>
      <c r="V12" s="68" t="n">
        <f aca="false">IF($A12="","",IFERROR((T12-U12)*100,""))</f>
        <v>283.288529040114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283.49884861594</v>
      </c>
      <c r="Y12" s="49" t="n">
        <f aca="false">IF($A12="","",IFERROR(SUMIFS(Raw_Q!$K$2:$K$600,Raw_Q!$A$2:$A$600,$A12,Raw_Q!$P$2:$P$600,1)/SUMIFS(Raw_Q!$K$2:$K$600,Raw_Q!$A$2:$A$600,$A12,Raw_Q!$P$2:$P$600,5)-1,""))</f>
        <v>0.347826086956522</v>
      </c>
      <c r="Z12" s="49" t="n">
        <f aca="false">IF($A12="","",IFERROR(SUMIFS(Raw_Q!$J$2:$J$600,Raw_Q!$A$2:$A$600,$A12,Raw_Q!$P$2:$P$600,"&gt;=1",Raw_Q!$P$2:$P$600,"&lt;=4")/E12,""))</f>
        <v>0.75319547196433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0.747800753212096</v>
      </c>
      <c r="AB12" s="50" t="n">
        <f aca="false">IF($A12="","",IFERROR((Z12-AA12)*10000,""))</f>
        <v>53.9471875223418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173.371959495257</v>
      </c>
      <c r="AD12" s="51" t="n">
        <f aca="false">IF($A12="","",IFERROR(SUMIFS(Raw_Q!$M$2:$M$600,Raw_Q!$A$2:$A$600,$A12,Raw_Q!$P$2:$P$600,1)/SUMIFS(Raw_Q!$L$2:$L$600,Raw_Q!$A$2:$A$600,$A12,Raw_Q!$P$2:$P$600,1),""))</f>
        <v>4.9872394253709</v>
      </c>
      <c r="AE12" s="48" t="n">
        <f aca="false">IF($A12="","",IFERROR(SUMPRODUCT((Raw_Q!$A$2:$A$600=$A12)*(Raw_Q!$P$2:$P$600&gt;=1)*(Raw_Q!$P$2:$P$600&lt;=4)*Raw_Q!$K$2:$K$600*Raw_Q!$L$2:$L$600),""))</f>
        <v>1136.324845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0.256552951299128</v>
      </c>
      <c r="AG12" s="49" t="n">
        <f aca="false">IF($A12="","",IFERROR(AVERAGE(AO12:AS12),""))</f>
        <v>0.144432210063504</v>
      </c>
      <c r="AH12" s="49" t="n">
        <f aca="false">IF($A12="","",IFERROR(IF(AD12&lt;=0,"N/M",INDEX(Raw_Est!$B$2:$B$100,MATCH($A12,Raw_Est!$A$2:$A$100,0))/AD12),"N/M"))</f>
        <v>0.251912910699403</v>
      </c>
      <c r="AI12" s="51" t="n">
        <f aca="false">IF($A12="","",IFERROR(SUMIFS(Raw_Q!$K$2:$K$600,Raw_Q!$A$2:$A$600,$A12,Raw_Q!$P$2:$P$600,0),""))</f>
        <v>0.31116</v>
      </c>
      <c r="AJ12" s="66" t="str">
        <f aca="false">IF($A12="","",IFERROR(INDEX(Raw_Q!$B$2:$B$600,MATCH($A12&amp;"|"&amp;0,Raw_Q!$Q$2:$Q$600,0)),""))</f>
        <v>FY2027Q3E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42</v>
      </c>
      <c r="AM12" s="67" t="n">
        <f aca="false">IF($A12="","",IFERROR(INDEX(Raw_Price!$D$2:$D$100,MATCH($A12,Raw_Price!$A$2:$A$100,0)),""))</f>
        <v>46260</v>
      </c>
      <c r="AN12" s="67" t="n">
        <f aca="false">IF($A12="","",IFERROR(INDEX(Raw_Price!$E$2:$E$100,MATCH($A12,Raw_Price!$A$2:$A$100,0)),""))</f>
        <v>46266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0.256552951299128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0.212559683308887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0.253048415709504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</v>
      </c>
    </row>
    <row r="13" customFormat="false" ht="15" hidden="false" customHeight="false" outlineLevel="0" collapsed="false">
      <c r="A13" s="16" t="str">
        <f aca="false">IF(Tickers!A13="","",Tickers!A13)</f>
        <v/>
      </c>
      <c r="B13" s="66" t="str">
        <f aca="false">IF($A13="","",IFERROR(INDEX(Tickers!$B$2:$B$100,MATCH($A13,Tickers!$A$2:$A$100,0)),""))</f>
        <v/>
      </c>
      <c r="C13" s="66" t="str">
        <f aca="false">IF($A13="","",IFERROR(INDEX(Tickers!$D$2:$D$100,MATCH($A13,Tickers!$A$2:$A$100,0)),""))</f>
        <v/>
      </c>
      <c r="D13" s="51" t="str">
        <f aca="false">IF($A13="","",IFERROR(INDEX(Raw_Price!$B$2:$B$100,MATCH($A13,Raw_Price!$A$2:$A$100,0)),""))</f>
        <v/>
      </c>
      <c r="E13" s="48" t="str">
        <f aca="false">IF($A13="","",IFERROR(SUMIFS(Raw_Q!$I$2:$I$600,Raw_Q!$A$2:$A$600,$A13,Raw_Q!$P$2:$P$600,"&gt;=1",Raw_Q!$P$2:$P$600,"&lt;=4"),""))</f>
        <v/>
      </c>
      <c r="F13" s="51" t="str">
        <f aca="false">IF($A13="","",IFERROR(SUMIFS(Raw_Q!$K$2:$K$600,Raw_Q!$A$2:$A$600,$A13,Raw_Q!$P$2:$P$600,"&gt;=1",Raw_Q!$P$2:$P$600,"&lt;=4"),""))</f>
        <v/>
      </c>
      <c r="G13" s="51" t="str">
        <f aca="false">IF($A13="","",IFERROR(SUMIFS(Raw_Q!$K$2:$K$600,Raw_Q!$A$2:$A$600,$A13,Raw_Q!$P$2:$P$600,"&gt;=0",Raw_Q!$P$2:$P$600,"&lt;=3"),""))</f>
        <v/>
      </c>
      <c r="H13" s="51" t="str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/>
      </c>
      <c r="I13" s="49" t="str">
        <f aca="false">IF($A13="","",IFERROR(SUMIFS(Raw_Q!$K$2:$K$600,Raw_Q!$A$2:$A$600,$A13,Raw_Q!$P$2:$P$600,"&gt;=1",Raw_Q!$P$2:$P$600,"&lt;=4")/SUMIFS(Raw_Q!$K$2:$K$600,Raw_Q!$A$2:$A$600,$A13,Raw_Q!$P$2:$P$600,"&gt;=5",Raw_Q!$P$2:$P$600,"&lt;=8")-1,""))</f>
        <v/>
      </c>
      <c r="J13" s="52" t="str">
        <f aca="false">IF($A13="","",IFERROR(IF(F13&lt;=0,"N/M",D13/F13),"N/M"))</f>
        <v/>
      </c>
      <c r="K13" s="52" t="str">
        <f aca="false">IF($A13="","",IFERROR(IF(G13&lt;=0,"N/M",D13/G13),"N/M"))</f>
        <v/>
      </c>
      <c r="L13" s="52" t="str">
        <f aca="false">IF($A13="","",IFERROR(IF(H13&lt;=0,"N/M",D13/H13),"N/M"))</f>
        <v/>
      </c>
      <c r="M13" s="49" t="str">
        <f aca="false">IF($A13="","",IFERROR(INDEX(Raw_Est!$C$2:$C$100,MATCH($A13,Raw_Est!$A$2:$A$100,0))/INDEX(Raw_Est!$B$2:$B$100,MATCH($A13,Raw_Est!$A$2:$A$100,0))-1,""))</f>
        <v/>
      </c>
      <c r="N13" s="51" t="str">
        <f aca="false">IF($A13="","",IFERROR(IF(OR(NOT(ISNUMBER(J13)),I13&lt;Config!$B$6),"N/M",J13/(I13*100)),"N/M"))</f>
        <v/>
      </c>
      <c r="O13" s="51" t="str">
        <f aca="false">IF($A13="","",IFERROR(IF(OR(NOT(ISNUMBER(L13)),M13&lt;Config!$B$6),"N/M",L13/(M13*100)),"N/M"))</f>
        <v/>
      </c>
      <c r="P13" s="51" t="str">
        <f aca="false">IF($A13="","",IFERROR(SUMIFS(Raw_Q!$N$2:$N$600,Raw_Q!$A$2:$A$600,$A13,Raw_Q!$P$2:$P$600,"&gt;=1",Raw_Q!$P$2:$P$600,"&lt;=4"),""))</f>
        <v/>
      </c>
      <c r="Q13" s="49" t="str">
        <f aca="false">IF($A13="","",IFERROR(IF(P13=0,"不配息",P13/D13),""))</f>
        <v/>
      </c>
      <c r="R13" s="49" t="str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/>
      </c>
      <c r="S13" s="49" t="str">
        <f aca="false">IF($A13="","",IFERROR(SUMIFS(Raw_Q!$I$2:$I$600,Raw_Q!$A$2:$A$600,$A13,Raw_Q!$P$2:$P$600,1)/SUMIFS(Raw_Q!$I$2:$I$600,Raw_Q!$A$2:$A$600,$A13,Raw_Q!$P$2:$P$600,5)-1,""))</f>
        <v/>
      </c>
      <c r="T13" s="49" t="str">
        <f aca="false">IF($A13="","",IFERROR(SUMIFS(Raw_Q!$I$2:$I$600,Raw_Q!$A$2:$A$600,$A13,Raw_Q!$P$2:$P$600,1)/SUMIFS(Raw_Q!$I$2:$I$600,Raw_Q!$A$2:$A$600,$A13,Raw_Q!$P$2:$P$600,2)-1,""))</f>
        <v/>
      </c>
      <c r="U13" s="49" t="str">
        <f aca="false">IF($A13="","",IFERROR(SUMIFS(Raw_Q!$I$2:$I$600,Raw_Q!$A$2:$A$600,$A13,Raw_Q!$P$2:$P$600,2)/SUMIFS(Raw_Q!$I$2:$I$600,Raw_Q!$A$2:$A$600,$A13,Raw_Q!$P$2:$P$600,3)-1,""))</f>
        <v/>
      </c>
      <c r="V13" s="68" t="str">
        <f aca="false">IF($A13="","",IFERROR((T13-U13)*100,""))</f>
        <v/>
      </c>
      <c r="W13" s="66" t="str">
        <f aca="false">IF($A13="","",IFERROR(IF(NOT(ISNUMBER(T13)),"",IF(T13&gt;0,IF(V13&gt;0,"成長且加速","成長但減速"),IF(V13&gt;0,"衰退但收斂","衰退且惡化"))),""))</f>
        <v/>
      </c>
      <c r="X13" s="68" t="str">
        <f aca="false">IF($A13="","",IFERROR((T13-(SUMIFS(Raw_Q!$I$2:$I$600,Raw_Q!$A$2:$A$600,$A13,Raw_Q!$P$2:$P$600,5)/SUMIFS(Raw_Q!$I$2:$I$600,Raw_Q!$A$2:$A$600,$A13,Raw_Q!$P$2:$P$600,6)-1))*100,""))</f>
        <v/>
      </c>
      <c r="Y13" s="49" t="str">
        <f aca="false">IF($A13="","",IFERROR(SUMIFS(Raw_Q!$K$2:$K$600,Raw_Q!$A$2:$A$600,$A13,Raw_Q!$P$2:$P$600,1)/SUMIFS(Raw_Q!$K$2:$K$600,Raw_Q!$A$2:$A$600,$A13,Raw_Q!$P$2:$P$600,5)-1,""))</f>
        <v/>
      </c>
      <c r="Z13" s="49" t="str">
        <f aca="false">IF($A13="","",IFERROR(SUMIFS(Raw_Q!$J$2:$J$600,Raw_Q!$A$2:$A$600,$A13,Raw_Q!$P$2:$P$600,"&gt;=1",Raw_Q!$P$2:$P$600,"&lt;=4")/E13,""))</f>
        <v/>
      </c>
      <c r="AA13" s="49" t="str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/>
      </c>
      <c r="AB13" s="50" t="str">
        <f aca="false">IF($A13="","",IFERROR((Z13-AA13)*10000,""))</f>
        <v/>
      </c>
      <c r="AC13" s="50" t="str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/>
      </c>
      <c r="AD13" s="51" t="str">
        <f aca="false">IF($A13="","",IFERROR(SUMIFS(Raw_Q!$M$2:$M$600,Raw_Q!$A$2:$A$600,$A13,Raw_Q!$P$2:$P$600,1)/SUMIFS(Raw_Q!$L$2:$L$600,Raw_Q!$A$2:$A$600,$A13,Raw_Q!$P$2:$P$600,1),""))</f>
        <v/>
      </c>
      <c r="AE13" s="48" t="str">
        <f aca="false">IF($A13="","",IFERROR(SUMPRODUCT((Raw_Q!$A$2:$A$600=$A13)*(Raw_Q!$P$2:$P$600&gt;=1)*(Raw_Q!$P$2:$P$600&lt;=4)*Raw_Q!$K$2:$K$600*Raw_Q!$L$2:$L$600),""))</f>
        <v/>
      </c>
      <c r="AF13" s="49" t="str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/>
      </c>
      <c r="AG13" s="49" t="str">
        <f aca="false">IF($A13="","",IFERROR(AVERAGE(AO13:AS13),""))</f>
        <v/>
      </c>
      <c r="AH13" s="49" t="str">
        <f aca="false">IF($A13="","",IFERROR(IF(AD13&lt;=0,"N/M",INDEX(Raw_Est!$B$2:$B$100,MATCH($A13,Raw_Est!$A$2:$A$100,0))/AD13),"N/M"))</f>
        <v/>
      </c>
      <c r="AI13" s="51" t="str">
        <f aca="false">IF($A13="","",IFERROR(SUMIFS(Raw_Q!$K$2:$K$600,Raw_Q!$A$2:$A$600,$A13,Raw_Q!$P$2:$P$600,0),""))</f>
        <v/>
      </c>
      <c r="AJ13" s="66" t="str">
        <f aca="false">IF($A13="","",IFERROR(INDEX(Raw_Q!$B$2:$B$600,MATCH($A13&amp;"|"&amp;0,Raw_Q!$Q$2:$Q$600,0)),""))</f>
        <v/>
      </c>
      <c r="AK13" s="66" t="str">
        <f aca="false">IF($A13="","",IFERROR(INDEX(Raw_Q!$G$2:$G$600,MATCH($A13&amp;"|"&amp;0,Raw_Q!$Q$2:$Q$600,0)),""))</f>
        <v/>
      </c>
      <c r="AL13" s="47" t="str">
        <f aca="false">IF($A13="","",IFERROR(INDEX(Raw_Est!$E$2:$E$100,MATCH($A13,Raw_Est!$A$2:$A$100,0)),""))</f>
        <v/>
      </c>
      <c r="AM13" s="67" t="str">
        <f aca="false">IF($A13="","",IFERROR(INDEX(Raw_Price!$D$2:$D$100,MATCH($A13,Raw_Price!$A$2:$A$100,0)),""))</f>
        <v/>
      </c>
      <c r="AN13" s="67" t="str">
        <f aca="false">IF($A13="","",IFERROR(INDEX(Raw_Price!$E$2:$E$100,MATCH($A13,Raw_Price!$A$2:$A$100,0)),""))</f>
        <v/>
      </c>
      <c r="AO13" s="49" t="str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/>
      </c>
      <c r="AP13" s="49" t="str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/>
      </c>
      <c r="AQ13" s="49" t="str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/>
      </c>
      <c r="AR13" s="49" t="str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/>
      </c>
      <c r="AS13" s="49" t="str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/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IF($A14="","",IFERROR(SUMIFS(Raw_Q!$I$2:$I$600,Raw_Q!$A$2:$A$600,$A14,Raw_Q!$P$2:$P$600,"&gt;=1",Raw_Q!$P$2:$P$600,"&lt;=4"),""))</f>
        <v/>
      </c>
      <c r="F14" s="51" t="str">
        <f aca="false">IF($A14="","",IFERROR(SUMIFS(Raw_Q!$K$2:$K$600,Raw_Q!$A$2:$A$600,$A14,Raw_Q!$P$2:$P$600,"&gt;=1",Raw_Q!$P$2:$P$600,"&lt;=4"),""))</f>
        <v/>
      </c>
      <c r="G14" s="51" t="str">
        <f aca="false">IF($A14="","",IFERROR(SUMIFS(Raw_Q!$K$2:$K$600,Raw_Q!$A$2:$A$600,$A14,Raw_Q!$P$2:$P$600,"&gt;=0",Raw_Q!$P$2:$P$600,"&lt;=3"),""))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IF($A14="","",IFERROR(SUMIFS(Raw_Q!$K$2:$K$600,Raw_Q!$A$2:$A$600,$A14,Raw_Q!$P$2:$P$600,"&gt;=1",Raw_Q!$P$2:$P$600,"&lt;=4")/SUMIFS(Raw_Q!$K$2:$K$600,Raw_Q!$A$2:$A$600,$A14,Raw_Q!$P$2:$P$600,"&gt;=5",Raw_Q!$P$2:$P$600,"&lt;=8")-1,""))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IF($A14="","",IFERROR(SUMIFS(Raw_Q!$N$2:$N$600,Raw_Q!$A$2:$A$600,$A14,Raw_Q!$P$2:$P$600,"&gt;=1",Raw_Q!$P$2:$P$600,"&lt;=4"),""))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str">
        <f aca="false">IF($A14="","",IFERROR(SUMIFS(Raw_Q!$I$2:$I$600,Raw_Q!$A$2:$A$600,$A14,Raw_Q!$P$2:$P$600,1)/SUMIFS(Raw_Q!$I$2:$I$600,Raw_Q!$A$2:$A$600,$A14,Raw_Q!$P$2:$P$600,5)-1,""))</f>
        <v/>
      </c>
      <c r="T14" s="49" t="str">
        <f aca="false">IF($A14="","",IFERROR(SUMIFS(Raw_Q!$I$2:$I$600,Raw_Q!$A$2:$A$600,$A14,Raw_Q!$P$2:$P$600,1)/SUMIFS(Raw_Q!$I$2:$I$600,Raw_Q!$A$2:$A$600,$A14,Raw_Q!$P$2:$P$600,2)-1,""))</f>
        <v/>
      </c>
      <c r="U14" s="49" t="str">
        <f aca="false">IF($A14="","",IFERROR(SUMIFS(Raw_Q!$I$2:$I$600,Raw_Q!$A$2:$A$600,$A14,Raw_Q!$P$2:$P$600,2)/SUMIFS(Raw_Q!$I$2:$I$600,Raw_Q!$A$2:$A$600,$A14,Raw_Q!$P$2:$P$600,3)-1,""))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IF($A14="","",IFERROR((T14-(SUMIFS(Raw_Q!$I$2:$I$600,Raw_Q!$A$2:$A$600,$A14,Raw_Q!$P$2:$P$600,5)/SUMIFS(Raw_Q!$I$2:$I$600,Raw_Q!$A$2:$A$600,$A14,Raw_Q!$P$2:$P$600,6)-1))*100,""))</f>
        <v/>
      </c>
      <c r="Y14" s="49" t="str">
        <f aca="false">IF($A14="","",IFERROR(SUMIFS(Raw_Q!$K$2:$K$600,Raw_Q!$A$2:$A$600,$A14,Raw_Q!$P$2:$P$600,1)/SUMIFS(Raw_Q!$K$2:$K$600,Raw_Q!$A$2:$A$600,$A14,Raw_Q!$P$2:$P$600,5)-1,""))</f>
        <v/>
      </c>
      <c r="Z14" s="49" t="str">
        <f aca="false">IF($A14="","",IFERROR(SUMIFS(Raw_Q!$J$2:$J$600,Raw_Q!$A$2:$A$600,$A14,Raw_Q!$P$2:$P$600,"&gt;=1",Raw_Q!$P$2:$P$600,"&lt;=4")/E14,""))</f>
        <v/>
      </c>
      <c r="AA14" s="49" t="str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/>
      </c>
      <c r="AD14" s="51" t="str">
        <f aca="false">IF($A14="","",IFERROR(SUMIFS(Raw_Q!$M$2:$M$600,Raw_Q!$A$2:$A$600,$A14,Raw_Q!$P$2:$P$600,1)/SUMIFS(Raw_Q!$L$2:$L$600,Raw_Q!$A$2:$A$600,$A14,Raw_Q!$P$2:$P$600,1),""))</f>
        <v/>
      </c>
      <c r="AE14" s="48" t="str">
        <f aca="false">IF($A14="","",IFERROR(SUMPRODUCT((Raw_Q!$A$2:$A$600=$A14)*(Raw_Q!$P$2:$P$600&gt;=1)*(Raw_Q!$P$2:$P$600&lt;=4)*Raw_Q!$K$2:$K$600*Raw_Q!$L$2:$L$600),""))</f>
        <v/>
      </c>
      <c r="AF14" s="49" t="str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IF($A14="","",IFERROR(SUMIFS(Raw_Q!$K$2:$K$600,Raw_Q!$A$2:$A$600,$A14,Raw_Q!$P$2:$P$600,0),""))</f>
        <v/>
      </c>
      <c r="AJ14" s="66" t="str">
        <f aca="false">IF($A14="","",IFERROR(INDEX(Raw_Q!$B$2:$B$600,MATCH($A14&amp;"|"&amp;0,Raw_Q!$Q$2:$Q$600,0)),""))</f>
        <v/>
      </c>
      <c r="AK14" s="66" t="str">
        <f aca="false">IF($A14="","",IFERROR(INDEX(Raw_Q!$G$2:$G$600,MATCH($A14&amp;"|"&amp;0,Raw_Q!$Q$2:$Q$600,0)),""))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/>
      </c>
      <c r="AP14" s="49" t="str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/>
      </c>
      <c r="AQ14" s="49" t="str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/>
      </c>
      <c r="AR14" s="49" t="str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/>
      </c>
      <c r="AS14" s="49" t="str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IF($A15="","",IFERROR(SUMIFS(Raw_Q!$I$2:$I$600,Raw_Q!$A$2:$A$600,$A15,Raw_Q!$P$2:$P$600,"&gt;=1",Raw_Q!$P$2:$P$600,"&lt;=4"),""))</f>
        <v/>
      </c>
      <c r="F15" s="51" t="str">
        <f aca="false">IF($A15="","",IFERROR(SUMIFS(Raw_Q!$K$2:$K$600,Raw_Q!$A$2:$A$600,$A15,Raw_Q!$P$2:$P$600,"&gt;=1",Raw_Q!$P$2:$P$600,"&lt;=4"),""))</f>
        <v/>
      </c>
      <c r="G15" s="51" t="str">
        <f aca="false">IF($A15="","",IFERROR(SUMIFS(Raw_Q!$K$2:$K$600,Raw_Q!$A$2:$A$600,$A15,Raw_Q!$P$2:$P$600,"&gt;=0",Raw_Q!$P$2:$P$600,"&lt;=3"),""))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IF($A15="","",IFERROR(SUMIFS(Raw_Q!$K$2:$K$600,Raw_Q!$A$2:$A$600,$A15,Raw_Q!$P$2:$P$600,"&gt;=1",Raw_Q!$P$2:$P$600,"&lt;=4")/SUMIFS(Raw_Q!$K$2:$K$600,Raw_Q!$A$2:$A$600,$A15,Raw_Q!$P$2:$P$600,"&gt;=5",Raw_Q!$P$2:$P$600,"&lt;=8")-1,""))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IF($A15="","",IFERROR(SUMIFS(Raw_Q!$N$2:$N$600,Raw_Q!$A$2:$A$600,$A15,Raw_Q!$P$2:$P$600,"&gt;=1",Raw_Q!$P$2:$P$600,"&lt;=4"),""))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/>
      </c>
      <c r="S15" s="49" t="str">
        <f aca="false">IF($A15="","",IFERROR(SUMIFS(Raw_Q!$I$2:$I$600,Raw_Q!$A$2:$A$600,$A15,Raw_Q!$P$2:$P$600,1)/SUMIFS(Raw_Q!$I$2:$I$600,Raw_Q!$A$2:$A$600,$A15,Raw_Q!$P$2:$P$600,5)-1,""))</f>
        <v/>
      </c>
      <c r="T15" s="49" t="str">
        <f aca="false">IF($A15="","",IFERROR(SUMIFS(Raw_Q!$I$2:$I$600,Raw_Q!$A$2:$A$600,$A15,Raw_Q!$P$2:$P$600,1)/SUMIFS(Raw_Q!$I$2:$I$600,Raw_Q!$A$2:$A$600,$A15,Raw_Q!$P$2:$P$600,2)-1,""))</f>
        <v/>
      </c>
      <c r="U15" s="49" t="str">
        <f aca="false">IF($A15="","",IFERROR(SUMIFS(Raw_Q!$I$2:$I$600,Raw_Q!$A$2:$A$600,$A15,Raw_Q!$P$2:$P$600,2)/SUMIFS(Raw_Q!$I$2:$I$600,Raw_Q!$A$2:$A$600,$A15,Raw_Q!$P$2:$P$600,3)-1,""))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IF($A15="","",IFERROR((T15-(SUMIFS(Raw_Q!$I$2:$I$600,Raw_Q!$A$2:$A$600,$A15,Raw_Q!$P$2:$P$600,5)/SUMIFS(Raw_Q!$I$2:$I$600,Raw_Q!$A$2:$A$600,$A15,Raw_Q!$P$2:$P$600,6)-1))*100,""))</f>
        <v/>
      </c>
      <c r="Y15" s="49" t="str">
        <f aca="false">IF($A15="","",IFERROR(SUMIFS(Raw_Q!$K$2:$K$600,Raw_Q!$A$2:$A$600,$A15,Raw_Q!$P$2:$P$600,1)/SUMIFS(Raw_Q!$K$2:$K$600,Raw_Q!$A$2:$A$600,$A15,Raw_Q!$P$2:$P$600,5)-1,""))</f>
        <v/>
      </c>
      <c r="Z15" s="49" t="str">
        <f aca="false">IF($A15="","",IFERROR(SUMIFS(Raw_Q!$J$2:$J$600,Raw_Q!$A$2:$A$600,$A15,Raw_Q!$P$2:$P$600,"&gt;=1",Raw_Q!$P$2:$P$600,"&lt;=4")/E15,""))</f>
        <v/>
      </c>
      <c r="AA15" s="49" t="str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/>
      </c>
      <c r="AD15" s="51" t="str">
        <f aca="false">IF($A15="","",IFERROR(SUMIFS(Raw_Q!$M$2:$M$600,Raw_Q!$A$2:$A$600,$A15,Raw_Q!$P$2:$P$600,1)/SUMIFS(Raw_Q!$L$2:$L$600,Raw_Q!$A$2:$A$600,$A15,Raw_Q!$P$2:$P$600,1),""))</f>
        <v/>
      </c>
      <c r="AE15" s="48" t="str">
        <f aca="false">IF($A15="","",IFERROR(SUMPRODUCT((Raw_Q!$A$2:$A$600=$A15)*(Raw_Q!$P$2:$P$600&gt;=1)*(Raw_Q!$P$2:$P$600&lt;=4)*Raw_Q!$K$2:$K$600*Raw_Q!$L$2:$L$600),""))</f>
        <v/>
      </c>
      <c r="AF15" s="49" t="str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IF($A15="","",IFERROR(SUMIFS(Raw_Q!$K$2:$K$600,Raw_Q!$A$2:$A$600,$A15,Raw_Q!$P$2:$P$600,0),""))</f>
        <v/>
      </c>
      <c r="AJ15" s="66" t="str">
        <f aca="false">IF($A15="","",IFERROR(INDEX(Raw_Q!$B$2:$B$600,MATCH($A15&amp;"|"&amp;0,Raw_Q!$Q$2:$Q$600,0)),""))</f>
        <v/>
      </c>
      <c r="AK15" s="66" t="str">
        <f aca="false">IF($A15="","",IFERROR(INDEX(Raw_Q!$G$2:$G$600,MATCH($A15&amp;"|"&amp;0,Raw_Q!$Q$2:$Q$600,0)),""))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/>
      </c>
      <c r="AP15" s="49" t="str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/>
      </c>
      <c r="AQ15" s="49" t="str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/>
      </c>
      <c r="AR15" s="49" t="str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/>
      </c>
      <c r="AS15" s="49" t="str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IF($A16="","",IFERROR(SUMIFS(Raw_Q!$I$2:$I$600,Raw_Q!$A$2:$A$600,$A16,Raw_Q!$P$2:$P$600,"&gt;=1",Raw_Q!$P$2:$P$600,"&lt;=4"),""))</f>
        <v/>
      </c>
      <c r="F16" s="51" t="str">
        <f aca="false">IF($A16="","",IFERROR(SUMIFS(Raw_Q!$K$2:$K$600,Raw_Q!$A$2:$A$600,$A16,Raw_Q!$P$2:$P$600,"&gt;=1",Raw_Q!$P$2:$P$600,"&lt;=4"),""))</f>
        <v/>
      </c>
      <c r="G16" s="51" t="str">
        <f aca="false">IF($A16="","",IFERROR(SUMIFS(Raw_Q!$K$2:$K$600,Raw_Q!$A$2:$A$600,$A16,Raw_Q!$P$2:$P$600,"&gt;=0",Raw_Q!$P$2:$P$600,"&lt;=3"),""))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IF($A16="","",IFERROR(SUMIFS(Raw_Q!$K$2:$K$600,Raw_Q!$A$2:$A$600,$A16,Raw_Q!$P$2:$P$600,"&gt;=1",Raw_Q!$P$2:$P$600,"&lt;=4")/SUMIFS(Raw_Q!$K$2:$K$600,Raw_Q!$A$2:$A$600,$A16,Raw_Q!$P$2:$P$600,"&gt;=5",Raw_Q!$P$2:$P$600,"&lt;=8")-1,""))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IF($A16="","",IFERROR(SUMIFS(Raw_Q!$N$2:$N$600,Raw_Q!$A$2:$A$600,$A16,Raw_Q!$P$2:$P$600,"&gt;=1",Raw_Q!$P$2:$P$600,"&lt;=4"),""))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str">
        <f aca="false">IF($A16="","",IFERROR(SUMIFS(Raw_Q!$I$2:$I$600,Raw_Q!$A$2:$A$600,$A16,Raw_Q!$P$2:$P$600,1)/SUMIFS(Raw_Q!$I$2:$I$600,Raw_Q!$A$2:$A$600,$A16,Raw_Q!$P$2:$P$600,5)-1,""))</f>
        <v/>
      </c>
      <c r="T16" s="49" t="str">
        <f aca="false">IF($A16="","",IFERROR(SUMIFS(Raw_Q!$I$2:$I$600,Raw_Q!$A$2:$A$600,$A16,Raw_Q!$P$2:$P$600,1)/SUMIFS(Raw_Q!$I$2:$I$600,Raw_Q!$A$2:$A$600,$A16,Raw_Q!$P$2:$P$600,2)-1,""))</f>
        <v/>
      </c>
      <c r="U16" s="49" t="str">
        <f aca="false">IF($A16="","",IFERROR(SUMIFS(Raw_Q!$I$2:$I$600,Raw_Q!$A$2:$A$600,$A16,Raw_Q!$P$2:$P$600,2)/SUMIFS(Raw_Q!$I$2:$I$600,Raw_Q!$A$2:$A$600,$A16,Raw_Q!$P$2:$P$600,3)-1,""))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IF($A16="","",IFERROR((T16-(SUMIFS(Raw_Q!$I$2:$I$600,Raw_Q!$A$2:$A$600,$A16,Raw_Q!$P$2:$P$600,5)/SUMIFS(Raw_Q!$I$2:$I$600,Raw_Q!$A$2:$A$600,$A16,Raw_Q!$P$2:$P$600,6)-1))*100,""))</f>
        <v/>
      </c>
      <c r="Y16" s="49" t="str">
        <f aca="false">IF($A16="","",IFERROR(SUMIFS(Raw_Q!$K$2:$K$600,Raw_Q!$A$2:$A$600,$A16,Raw_Q!$P$2:$P$600,1)/SUMIFS(Raw_Q!$K$2:$K$600,Raw_Q!$A$2:$A$600,$A16,Raw_Q!$P$2:$P$600,5)-1,""))</f>
        <v/>
      </c>
      <c r="Z16" s="49" t="str">
        <f aca="false">IF($A16="","",IFERROR(SUMIFS(Raw_Q!$J$2:$J$600,Raw_Q!$A$2:$A$600,$A16,Raw_Q!$P$2:$P$600,"&gt;=1",Raw_Q!$P$2:$P$600,"&lt;=4")/E16,""))</f>
        <v/>
      </c>
      <c r="AA16" s="49" t="str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/>
      </c>
      <c r="AD16" s="51" t="str">
        <f aca="false">IF($A16="","",IFERROR(SUMIFS(Raw_Q!$M$2:$M$600,Raw_Q!$A$2:$A$600,$A16,Raw_Q!$P$2:$P$600,1)/SUMIFS(Raw_Q!$L$2:$L$600,Raw_Q!$A$2:$A$600,$A16,Raw_Q!$P$2:$P$600,1),""))</f>
        <v/>
      </c>
      <c r="AE16" s="48" t="str">
        <f aca="false">IF($A16="","",IFERROR(SUMPRODUCT((Raw_Q!$A$2:$A$600=$A16)*(Raw_Q!$P$2:$P$600&gt;=1)*(Raw_Q!$P$2:$P$600&lt;=4)*Raw_Q!$K$2:$K$600*Raw_Q!$L$2:$L$600),""))</f>
        <v/>
      </c>
      <c r="AF16" s="49" t="str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IF($A16="","",IFERROR(SUMIFS(Raw_Q!$K$2:$K$600,Raw_Q!$A$2:$A$600,$A16,Raw_Q!$P$2:$P$600,0),""))</f>
        <v/>
      </c>
      <c r="AJ16" s="66" t="str">
        <f aca="false">IF($A16="","",IFERROR(INDEX(Raw_Q!$B$2:$B$600,MATCH($A16&amp;"|"&amp;0,Raw_Q!$Q$2:$Q$600,0)),""))</f>
        <v/>
      </c>
      <c r="AK16" s="66" t="str">
        <f aca="false">IF($A16="","",IFERROR(INDEX(Raw_Q!$G$2:$G$600,MATCH($A16&amp;"|"&amp;0,Raw_Q!$Q$2:$Q$600,0)),""))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/>
      </c>
      <c r="AP16" s="49" t="str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/>
      </c>
      <c r="AQ16" s="49" t="str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/>
      </c>
      <c r="AR16" s="49" t="str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/>
      </c>
      <c r="AS16" s="49" t="str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IF($A17="","",IFERROR(SUMIFS(Raw_Q!$I$2:$I$600,Raw_Q!$A$2:$A$600,$A17,Raw_Q!$P$2:$P$600,"&gt;=1",Raw_Q!$P$2:$P$600,"&lt;=4"),""))</f>
        <v/>
      </c>
      <c r="F17" s="51" t="str">
        <f aca="false">IF($A17="","",IFERROR(SUMIFS(Raw_Q!$K$2:$K$600,Raw_Q!$A$2:$A$600,$A17,Raw_Q!$P$2:$P$600,"&gt;=1",Raw_Q!$P$2:$P$600,"&lt;=4"),""))</f>
        <v/>
      </c>
      <c r="G17" s="51" t="str">
        <f aca="false">IF($A17="","",IFERROR(SUMIFS(Raw_Q!$K$2:$K$600,Raw_Q!$A$2:$A$600,$A17,Raw_Q!$P$2:$P$600,"&gt;=0",Raw_Q!$P$2:$P$600,"&lt;=3"),""))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IF($A17="","",IFERROR(SUMIFS(Raw_Q!$K$2:$K$600,Raw_Q!$A$2:$A$600,$A17,Raw_Q!$P$2:$P$600,"&gt;=1",Raw_Q!$P$2:$P$600,"&lt;=4")/SUMIFS(Raw_Q!$K$2:$K$600,Raw_Q!$A$2:$A$600,$A17,Raw_Q!$P$2:$P$600,"&gt;=5",Raw_Q!$P$2:$P$600,"&lt;=8")-1,""))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IF($A17="","",IFERROR(SUMIFS(Raw_Q!$N$2:$N$600,Raw_Q!$A$2:$A$600,$A17,Raw_Q!$P$2:$P$600,"&gt;=1",Raw_Q!$P$2:$P$600,"&lt;=4"),""))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str">
        <f aca="false">IF($A17="","",IFERROR(SUMIFS(Raw_Q!$I$2:$I$600,Raw_Q!$A$2:$A$600,$A17,Raw_Q!$P$2:$P$600,1)/SUMIFS(Raw_Q!$I$2:$I$600,Raw_Q!$A$2:$A$600,$A17,Raw_Q!$P$2:$P$600,5)-1,""))</f>
        <v/>
      </c>
      <c r="T17" s="49" t="str">
        <f aca="false">IF($A17="","",IFERROR(SUMIFS(Raw_Q!$I$2:$I$600,Raw_Q!$A$2:$A$600,$A17,Raw_Q!$P$2:$P$600,1)/SUMIFS(Raw_Q!$I$2:$I$600,Raw_Q!$A$2:$A$600,$A17,Raw_Q!$P$2:$P$600,2)-1,""))</f>
        <v/>
      </c>
      <c r="U17" s="49" t="str">
        <f aca="false">IF($A17="","",IFERROR(SUMIFS(Raw_Q!$I$2:$I$600,Raw_Q!$A$2:$A$600,$A17,Raw_Q!$P$2:$P$600,2)/SUMIFS(Raw_Q!$I$2:$I$600,Raw_Q!$A$2:$A$600,$A17,Raw_Q!$P$2:$P$600,3)-1,""))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IF($A17="","",IFERROR((T17-(SUMIFS(Raw_Q!$I$2:$I$600,Raw_Q!$A$2:$A$600,$A17,Raw_Q!$P$2:$P$600,5)/SUMIFS(Raw_Q!$I$2:$I$600,Raw_Q!$A$2:$A$600,$A17,Raw_Q!$P$2:$P$600,6)-1))*100,""))</f>
        <v/>
      </c>
      <c r="Y17" s="49" t="str">
        <f aca="false">IF($A17="","",IFERROR(SUMIFS(Raw_Q!$K$2:$K$600,Raw_Q!$A$2:$A$600,$A17,Raw_Q!$P$2:$P$600,1)/SUMIFS(Raw_Q!$K$2:$K$600,Raw_Q!$A$2:$A$600,$A17,Raw_Q!$P$2:$P$600,5)-1,""))</f>
        <v/>
      </c>
      <c r="Z17" s="49" t="str">
        <f aca="false">IF($A17="","",IFERROR(SUMIFS(Raw_Q!$J$2:$J$600,Raw_Q!$A$2:$A$600,$A17,Raw_Q!$P$2:$P$600,"&gt;=1",Raw_Q!$P$2:$P$600,"&lt;=4")/E17,""))</f>
        <v/>
      </c>
      <c r="AA17" s="49" t="str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/>
      </c>
      <c r="AD17" s="51" t="str">
        <f aca="false">IF($A17="","",IFERROR(SUMIFS(Raw_Q!$M$2:$M$600,Raw_Q!$A$2:$A$600,$A17,Raw_Q!$P$2:$P$600,1)/SUMIFS(Raw_Q!$L$2:$L$600,Raw_Q!$A$2:$A$600,$A17,Raw_Q!$P$2:$P$600,1),""))</f>
        <v/>
      </c>
      <c r="AE17" s="48" t="str">
        <f aca="false">IF($A17="","",IFERROR(SUMPRODUCT((Raw_Q!$A$2:$A$600=$A17)*(Raw_Q!$P$2:$P$600&gt;=1)*(Raw_Q!$P$2:$P$600&lt;=4)*Raw_Q!$K$2:$K$600*Raw_Q!$L$2:$L$600),""))</f>
        <v/>
      </c>
      <c r="AF17" s="49" t="str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IF($A17="","",IFERROR(SUMIFS(Raw_Q!$K$2:$K$600,Raw_Q!$A$2:$A$600,$A17,Raw_Q!$P$2:$P$600,0),""))</f>
        <v/>
      </c>
      <c r="AJ17" s="66" t="str">
        <f aca="false">IF($A17="","",IFERROR(INDEX(Raw_Q!$B$2:$B$600,MATCH($A17&amp;"|"&amp;0,Raw_Q!$Q$2:$Q$600,0)),""))</f>
        <v/>
      </c>
      <c r="AK17" s="66" t="str">
        <f aca="false">IF($A17="","",IFERROR(INDEX(Raw_Q!$G$2:$G$600,MATCH($A17&amp;"|"&amp;0,Raw_Q!$Q$2:$Q$600,0)),""))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/>
      </c>
      <c r="AP17" s="49" t="str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/>
      </c>
      <c r="AQ17" s="49" t="str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/>
      </c>
      <c r="AR17" s="49" t="str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/>
      </c>
      <c r="AS17" s="49" t="str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3" customFormat="false" ht="15" hidden="false" customHeight="false" outlineLevel="0" collapsed="false">
      <c r="A23" s="25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587</v>
      </c>
    </row>
    <row r="3" customFormat="false" ht="31.5" hidden="false" customHeight="true" outlineLevel="0" collapsed="false">
      <c r="A3" s="15" t="s">
        <v>588</v>
      </c>
      <c r="B3" s="15" t="s">
        <v>589</v>
      </c>
      <c r="C3" s="15" t="s">
        <v>590</v>
      </c>
    </row>
    <row r="4" customFormat="false" ht="15" hidden="false" customHeight="false" outlineLevel="0" collapsed="false">
      <c r="A4" s="5" t="s">
        <v>591</v>
      </c>
      <c r="B4" s="83" t="n">
        <v>24</v>
      </c>
      <c r="C4" s="25" t="s">
        <v>592</v>
      </c>
    </row>
    <row r="5" customFormat="false" ht="15" hidden="false" customHeight="false" outlineLevel="0" collapsed="false">
      <c r="A5" s="5" t="s">
        <v>593</v>
      </c>
      <c r="B5" s="83" t="n">
        <v>20</v>
      </c>
      <c r="C5" s="25" t="s">
        <v>594</v>
      </c>
    </row>
    <row r="6" customFormat="false" ht="15" hidden="false" customHeight="false" outlineLevel="0" collapsed="false">
      <c r="A6" s="2" t="s">
        <v>595</v>
      </c>
      <c r="B6" s="84" t="n">
        <v>0.05</v>
      </c>
      <c r="C6" s="24" t="s">
        <v>596</v>
      </c>
    </row>
    <row r="7" customFormat="false" ht="15" hidden="false" customHeight="false" outlineLevel="0" collapsed="false">
      <c r="A7" s="5" t="s">
        <v>597</v>
      </c>
      <c r="B7" s="83" t="n">
        <v>5</v>
      </c>
      <c r="C7" s="24" t="s">
        <v>598</v>
      </c>
    </row>
    <row r="8" customFormat="false" ht="15" hidden="false" customHeight="false" outlineLevel="0" collapsed="false">
      <c r="A8" s="2" t="s">
        <v>599</v>
      </c>
      <c r="B8" s="83" t="n">
        <v>365</v>
      </c>
      <c r="C8" s="25" t="s">
        <v>600</v>
      </c>
    </row>
    <row r="11" customFormat="false" ht="15" hidden="false" customHeight="false" outlineLevel="0" collapsed="false">
      <c r="A11" s="24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2026-09-01T14:38:45Z</dcterms:created>
  <dc:creator>openpyxl</dc:creator>
  <dc:description/>
  <dc:language>en-US</dc:language>
  <cp:lastModifiedBy/>
  <dcterms:modified xsi:type="dcterms:W3CDTF">2026-09-01T14:38:45Z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