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tock_Card" sheetId="3" state="visible" r:id="rId3"/>
    <sheet xmlns:r="http://schemas.openxmlformats.org/officeDocument/2006/relationships" name="年度檢視" sheetId="4" state="visible" r:id="rId4"/>
    <sheet xmlns:r="http://schemas.openxmlformats.org/officeDocument/2006/relationships" name="季度檢視" sheetId="5" state="visible" r:id="rId5"/>
    <sheet xmlns:r="http://schemas.openxmlformats.org/officeDocument/2006/relationships" name="_Manifest" sheetId="6" state="visible" r:id="rId6"/>
    <sheet xmlns:r="http://schemas.openxmlformats.org/officeDocument/2006/relationships" name="Tickers" sheetId="7" state="visible" r:id="rId7"/>
    <sheet xmlns:r="http://schemas.openxmlformats.org/officeDocument/2006/relationships" name="Raw_Q" sheetId="8" state="visible" r:id="rId8"/>
    <sheet xmlns:r="http://schemas.openxmlformats.org/officeDocument/2006/relationships" name="Raw_Est" sheetId="9" state="visible" r:id="rId9"/>
    <sheet xmlns:r="http://schemas.openxmlformats.org/officeDocument/2006/relationships" name="Raw_Price" sheetId="10" state="visible" r:id="rId10"/>
    <sheet xmlns:r="http://schemas.openxmlformats.org/officeDocument/2006/relationships" name="Calc" sheetId="11" state="hidden" r:id="rId11"/>
    <sheet xmlns:r="http://schemas.openxmlformats.org/officeDocument/2006/relationships" name="Config" sheetId="12" state="visible" r:id="rId12"/>
  </sheets>
  <definedNames>
    <definedName name="_xlnm._FilterDatabase" localSheetId="1" hidden="1">'Dashboard'!$A$2:$AC$22</definedName>
    <definedName name="_xlnm._FilterDatabase" localSheetId="7" hidden="1">'Raw_Q'!$A$1:$Q$126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0.0"/>
    <numFmt numFmtId="167" formatCode="0.0;[Red]-0.0"/>
    <numFmt numFmtId="168" formatCode="#,##0;[Red]-#,##0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Arial"/>
      <sz val="9"/>
    </font>
    <font>
      <name val="Arial"/>
      <i val="1"/>
      <color rgb="00808080"/>
      <sz val="9"/>
    </font>
    <font>
      <name val="Arial"/>
      <color rgb="000000FF"/>
      <sz val="10"/>
    </font>
    <font>
      <name val="Arial"/>
      <b val="1"/>
      <color rgb="001F3864"/>
      <sz val="14"/>
    </font>
    <font>
      <name val="Arial"/>
      <sz val="10"/>
    </font>
    <font>
      <name val="Arial"/>
      <color rgb="00008000"/>
      <sz val="10"/>
    </font>
    <font>
      <name val="Arial"/>
      <b val="1"/>
      <color rgb="001F3864"/>
      <sz val="10"/>
    </font>
    <font>
      <name val="Arial"/>
      <b val="1"/>
      <sz val="11"/>
    </font>
    <font>
      <name val="Arial"/>
      <b val="1"/>
      <color rgb="000000FF"/>
      <sz val="13"/>
    </font>
    <font>
      <name val="Arial"/>
      <b val="1"/>
      <sz val="12"/>
    </font>
    <font>
      <name val="Arial"/>
      <color rgb="00808080"/>
      <sz val="11"/>
    </font>
    <font>
      <name val="Arial"/>
      <color rgb="00808080"/>
      <sz val="9"/>
    </font>
    <font>
      <name val="Arial"/>
      <b val="1"/>
      <color rgb="00FFFFFF"/>
      <sz val="11"/>
    </font>
    <font>
      <name val="Arial"/>
      <color rgb="00C00000"/>
      <sz val="10"/>
    </font>
    <font>
      <name val="Arial"/>
      <b val="1"/>
      <sz val="10"/>
    </font>
    <font>
      <name val="Arial"/>
      <b val="1"/>
      <color rgb="00008000"/>
      <sz val="12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D9E2F3"/>
      </patternFill>
    </fill>
    <fill>
      <patternFill patternType="solid">
        <fgColor rgb="00FCE4D6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2E3F1"/>
      </patternFill>
    </fill>
    <fill>
      <patternFill patternType="solid">
        <fgColor rgb="00DEEBF7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11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0" fontId="11" fillId="3" borderId="0" applyAlignment="1" pivotButton="0" quotePrefix="0" xfId="0">
      <alignment horizontal="center"/>
    </xf>
    <xf numFmtId="0" fontId="0" fillId="3" borderId="0" pivotButton="0" quotePrefix="0" xfId="0"/>
    <xf numFmtId="0" fontId="11" fillId="9" borderId="0" applyAlignment="1" pivotButton="0" quotePrefix="0" xfId="0">
      <alignment horizontal="center"/>
    </xf>
    <xf numFmtId="0" fontId="0" fillId="9" borderId="0" pivotButton="0" quotePrefix="0" xfId="0"/>
    <xf numFmtId="0" fontId="11" fillId="10" borderId="0" applyAlignment="1" pivotButton="0" quotePrefix="0" xfId="0">
      <alignment horizontal="center"/>
    </xf>
    <xf numFmtId="0" fontId="0" fillId="1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0" fillId="0" borderId="0" pivotButton="0" quotePrefix="0" xfId="0"/>
    <xf numFmtId="4" fontId="10" fillId="0" borderId="0" pivotButton="0" quotePrefix="0" xfId="0"/>
    <xf numFmtId="166" fontId="10" fillId="0" borderId="0" pivotButton="0" quotePrefix="0" xfId="0"/>
    <xf numFmtId="165" fontId="10" fillId="0" borderId="0" pivotButton="0" quotePrefix="0" xfId="0"/>
    <xf numFmtId="167" fontId="10" fillId="0" borderId="0" pivotButton="0" quotePrefix="0" xfId="0"/>
    <xf numFmtId="168" fontId="10" fillId="0" borderId="0" pivotButton="0" quotePrefix="0" xfId="0"/>
    <xf numFmtId="164" fontId="10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0" fontId="13" fillId="4" borderId="0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4" fontId="12" fillId="0" borderId="0" pivotButton="0" quotePrefix="0" xfId="0"/>
    <xf numFmtId="1" fontId="12" fillId="0" borderId="0" pivotButton="0" quotePrefix="0" xfId="0"/>
    <xf numFmtId="164" fontId="12" fillId="0" borderId="0" pivotButton="0" quotePrefix="0" xfId="0"/>
    <xf numFmtId="0" fontId="17" fillId="2" borderId="0" applyAlignment="1" pivotButton="0" quotePrefix="0" xfId="0">
      <alignment horizontal="center"/>
    </xf>
    <xf numFmtId="166" fontId="10" fillId="0" borderId="0" applyAlignment="1" pivotButton="0" quotePrefix="0" xfId="0">
      <alignment horizontal="right"/>
    </xf>
    <xf numFmtId="165" fontId="10" fillId="0" borderId="0" applyAlignment="1" pivotButton="0" quotePrefix="0" xfId="0">
      <alignment horizontal="right"/>
    </xf>
    <xf numFmtId="4" fontId="1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8" fontId="10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" fontId="19" fillId="0" borderId="0" pivotButton="0" quotePrefix="0" xfId="0"/>
    <xf numFmtId="1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166" fontId="2" fillId="0" borderId="0" pivotButton="0" quotePrefix="0" xfId="0"/>
    <xf numFmtId="0" fontId="4" fillId="11" borderId="0" pivotButton="0" quotePrefix="0" xfId="0"/>
    <xf numFmtId="0" fontId="0" fillId="11" borderId="0" pivotButton="0" quotePrefix="0" xfId="0"/>
    <xf numFmtId="3" fontId="10" fillId="11" borderId="0" pivotButton="0" quotePrefix="0" xfId="0"/>
    <xf numFmtId="165" fontId="10" fillId="11" borderId="0" pivotButton="0" quotePrefix="0" xfId="0"/>
    <xf numFmtId="168" fontId="10" fillId="11" borderId="0" pivotButton="0" quotePrefix="0" xfId="0"/>
    <xf numFmtId="4" fontId="10" fillId="11" borderId="0" pivotButton="0" quotePrefix="0" xfId="0"/>
    <xf numFmtId="166" fontId="10" fillId="11" borderId="0" pivotButton="0" quotePrefix="0" xfId="0"/>
    <xf numFmtId="165" fontId="2" fillId="0" borderId="0" applyAlignment="1" pivotButton="0" quotePrefix="0" xfId="0">
      <alignment horizontal="right"/>
    </xf>
    <xf numFmtId="168" fontId="2" fillId="0" borderId="0" applyAlignment="1" pivotButton="0" quotePrefix="0" xfId="0">
      <alignment horizontal="right"/>
    </xf>
    <xf numFmtId="0" fontId="2" fillId="0" borderId="0" pivotButton="0" quotePrefix="0" xfId="0"/>
    <xf numFmtId="164" fontId="2" fillId="0" borderId="0" pivotButton="0" quotePrefix="0" xfId="0"/>
    <xf numFmtId="167" fontId="2" fillId="0" borderId="0" pivotButton="0" quotePrefix="0" xfId="0"/>
    <xf numFmtId="4" fontId="2" fillId="0" borderId="0" applyAlignment="1" pivotButton="0" quotePrefix="0" xfId="0">
      <alignment horizontal="right"/>
    </xf>
    <xf numFmtId="4" fontId="19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0" fontId="2" fillId="3" borderId="0" pivotButton="0" quotePrefix="0" xfId="0"/>
    <xf numFmtId="1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4" fontId="2" fillId="3" borderId="0" pivotButton="0" quotePrefix="0" xfId="0"/>
    <xf numFmtId="0" fontId="3" fillId="0" borderId="0" pivotButton="0" quotePrefix="0" xfId="0"/>
    <xf numFmtId="0" fontId="5" fillId="0" borderId="0" pivotButton="0" quotePrefix="0" xfId="0"/>
    <xf numFmtId="1" fontId="7" fillId="4" borderId="0" pivotButton="0" quotePrefix="0" xfId="0"/>
    <xf numFmtId="165" fontId="7" fillId="4" borderId="0" pivotButton="0" quotePrefix="0" xfId="0"/>
  </cellXfs>
  <cellStyles count="1">
    <cellStyle name="Normal" xfId="0" builtinId="0" hidden="0"/>
  </cellStyles>
  <dxfs count="10">
    <dxf>
      <font>
        <name val="Arial"/>
        <i val="1"/>
        <color rgb="00808080"/>
      </font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ont>
        <name val="Arial"/>
        <b val="1"/>
        <i val="1"/>
        <color rgb="00BF8F00"/>
      </font>
      <fill>
        <patternFill patternType="solid">
          <fgColor rgb="00FFF2CC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5700"/>
      </font>
      <fill>
        <patternFill patternType="solid">
          <fgColor rgb="00FFEB9C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" t="inlineStr">
        <is>
          <t>美股觀察表  ·  架構範本 v2</t>
        </is>
      </c>
    </row>
    <row r="2">
      <c r="B2" s="2" t="inlineStr"/>
    </row>
    <row r="3" ht="28" customHeight="1">
      <c r="B3" s="3" t="inlineStr">
        <is>
          <t>資料由 GitHub Actions 自動更新。Raw 分頁為管線寫入區，請勿手改。</t>
        </is>
      </c>
    </row>
    <row r="4">
      <c r="B4" s="2" t="inlineStr"/>
    </row>
    <row r="5">
      <c r="A5" s="4" t="inlineStr">
        <is>
          <t>v2 改了什麼</t>
        </is>
      </c>
    </row>
    <row r="6">
      <c r="B6" s="2" t="inlineStr">
        <is>
          <t>Raw_Q 從 32 欄砍到 14 欄。只留下你指定的指標，以及計算這些指標所必需的原始欄位。</t>
        </is>
      </c>
    </row>
    <row r="7">
      <c r="B7" s="2" t="inlineStr">
        <is>
          <t>刪掉的是：營益率、FCF、杜邦拆解、ROIC、淨負債、有效稅率、adj_gap、PE 百分位、2年CAGR、</t>
        </is>
      </c>
    </row>
    <row r="8">
      <c r="B8" s="2" t="inlineStr">
        <is>
          <t>近4季平均加速度、EPS加速度、年度加速度 —— 這些都是我加的，不是你要的。</t>
        </is>
      </c>
    </row>
    <row r="9">
      <c r="B9" s="2" t="inlineStr">
        <is>
          <t>新增：殖利率（需要 Raw_Q 的 dps 欄）。</t>
        </is>
      </c>
    </row>
    <row r="10">
      <c r="B10" s="2" t="inlineStr"/>
    </row>
    <row r="11">
      <c r="A11" s="4" t="inlineStr">
        <is>
          <t>Raw_Q 的 14 欄，每一欄都有用途</t>
        </is>
      </c>
    </row>
    <row r="12">
      <c r="B12" s="2" t="inlineStr">
        <is>
          <t>ticker / period / fy / fq / period_end   → 鍵值與期別對齊</t>
        </is>
      </c>
    </row>
    <row r="13">
      <c r="B13" s="2" t="inlineStr">
        <is>
          <t>is_est / est_source                      → 區分實際與預估，避免預估污染歷史</t>
        </is>
      </c>
    </row>
    <row r="14">
      <c r="B14" s="2" t="inlineStr">
        <is>
          <t>eps_basis                                → EPS 口徑標記：street=市場口徑；gaap=四層來源</t>
        </is>
      </c>
    </row>
    <row r="15">
      <c r="B15" s="2" t="inlineStr">
        <is>
          <t xml:space="preserve">                                            全部失敗時的降級，PE/PEG 會失真，須注意</t>
        </is>
      </c>
    </row>
    <row r="16">
      <c r="B16" s="2" t="inlineStr">
        <is>
          <t>revenue                                  → 營收成長率、毛利率分母</t>
        </is>
      </c>
    </row>
    <row r="17">
      <c r="B17" s="2" t="inlineStr">
        <is>
          <t>gross_profit                             → 毛利率分子</t>
        </is>
      </c>
    </row>
    <row r="18">
      <c r="B18" s="2" t="inlineStr">
        <is>
          <t>eps_diluted_adj                          → EPS、PE、PEG、EPS成長率</t>
        </is>
      </c>
    </row>
    <row r="19">
      <c r="B19" s="2" t="inlineStr">
        <is>
          <t>shares_diluted                           → 反推 ROE 淨利、ROE_Forward 的每股淨值</t>
        </is>
      </c>
    </row>
    <row r="20">
      <c r="B20" s="2" t="inlineStr">
        <is>
          <t>total_equity                             → ROE 分母</t>
        </is>
      </c>
    </row>
    <row r="21">
      <c r="B21" s="2" t="inlineStr">
        <is>
          <t>dps                                      → 殖利率</t>
        </is>
      </c>
    </row>
    <row r="22">
      <c r="B22" s="2" t="inlineStr">
        <is>
          <t>price_at_end                             → 歷史 PE、PEG_T、歷史殖利率</t>
        </is>
      </c>
    </row>
    <row r="23">
      <c r="B23" s="2" t="inlineStr"/>
    </row>
    <row r="24">
      <c r="A24" s="4" t="inlineStr">
        <is>
          <t>抓不到的東西（誠實說明）</t>
        </is>
      </c>
    </row>
    <row r="25">
      <c r="B25" s="2" t="inlineStr">
        <is>
          <t>Adjusted 淨利：沒有任何 API 提供。它不是損益表項目，只存在於公司財報的 non-GAAP 對帳附註。</t>
        </is>
      </c>
    </row>
    <row r="26">
      <c r="B26" s="2" t="inlineStr">
        <is>
          <t>本表用「逐季 adjusted EPS × 稀釋股數」反推，逐季相乘再加總比用單一股數準，但仍是近似值。</t>
        </is>
      </c>
    </row>
    <row r="27">
      <c r="B27" s="2" t="inlineStr">
        <is>
          <t>Adjusted EPS 本身拿得到，但不是從損益表，是從「歷史財報實際值」那類端點的 actual EPS。</t>
        </is>
      </c>
    </row>
    <row r="28">
      <c r="B28" s="2" t="inlineStr">
        <is>
          <t>fy / fq：多數來源不直接提供公司自己的財年標號，要從 period_end 推算。</t>
        </is>
      </c>
    </row>
    <row r="29">
      <c r="B29" s="2" t="inlineStr">
        <is>
          <t>歷史的 Forward PE（每一年當時的前瞻本益比）：拿不到，歷史分析師共識一般不留存。</t>
        </is>
      </c>
    </row>
    <row r="30">
      <c r="B30" s="2" t="inlineStr"/>
    </row>
    <row r="31">
      <c r="A31" s="4" t="inlineStr">
        <is>
          <t>年 與 季 分在哪裡</t>
        </is>
      </c>
    </row>
    <row r="32">
      <c r="B32" s="2" t="inlineStr">
        <is>
          <t>年度層 → 「年度檢視」：每一列＝一個完整財年，由 Raw_Q 的季度資料 rollup 而來。</t>
        </is>
      </c>
    </row>
    <row r="33">
      <c r="B33" s="2" t="inlineStr">
        <is>
          <t>季度層 → 「季度檢視」：每一列＝一個財季，另有年 × 季矩陣做季節可比的閱讀。</t>
        </is>
      </c>
    </row>
    <row r="34">
      <c r="B34" s="2" t="inlineStr">
        <is>
          <t>橫向層 → 「Dashboard」：每一列＝一檔股票，用來跨標的比較與篩選。</t>
        </is>
      </c>
    </row>
    <row r="35">
      <c r="B35" s="2" t="inlineStr">
        <is>
          <t>三層共用同一份 Raw_Q，年度值永遠等於該年四季加總，不會有兩套打架的資料。</t>
        </is>
      </c>
    </row>
    <row r="36">
      <c r="B36" s="2" t="inlineStr"/>
    </row>
    <row r="37">
      <c r="A37" s="4" t="inlineStr">
        <is>
          <t>加速度只做在季度層</t>
        </is>
      </c>
    </row>
    <row r="38">
      <c r="B38" s="2" t="inlineStr">
        <is>
          <t>季度成長率(QoQ) ＝ 本季營收 ÷ 上一季營收 − 1。</t>
        </is>
      </c>
    </row>
    <row r="39">
      <c r="B39" s="2" t="inlineStr">
        <is>
          <t>加速度(pp) ＝ 本季QoQ − 上一季QoQ。字面上就是「這季成長率有沒有比上季快」。</t>
        </is>
      </c>
    </row>
    <row r="40">
      <c r="B40" s="2" t="inlineStr">
        <is>
          <t>但這一欄會被季節性主宰：旺季 QoQ 天生高、淡季天生低，每年在同一季重複同樣的震盪。</t>
        </is>
      </c>
    </row>
    <row r="41">
      <c r="B41" s="2" t="inlineStr">
        <is>
          <t>同期加速度(pp) ＝ 本季QoQ − 去年同一財季的QoQ。一樣在比季度成長率，但基準換成</t>
        </is>
      </c>
    </row>
    <row r="42">
      <c r="B42" s="2" t="inlineStr">
        <is>
          <t>去年同一季，季節性自動抵消。實務上這一欄才有訊號，建議以它為主、加速度當參考。</t>
        </is>
      </c>
    </row>
    <row r="43">
      <c r="B43" s="2" t="inlineStr">
        <is>
          <t>年度層刻意不放加速度：一年才一個點，訊號遲鈍到失去意義。</t>
        </is>
      </c>
    </row>
    <row r="44">
      <c r="B44" s="2" t="inlineStr"/>
    </row>
    <row r="45">
      <c r="A45" s="4" t="inlineStr">
        <is>
          <t>口徑</t>
        </is>
      </c>
    </row>
    <row r="46">
      <c r="B46" s="2" t="inlineStr">
        <is>
          <t>EPS / PE / PEG / EPS成長 → Adjusted，與分析師預估和市場定價同口徑。</t>
        </is>
      </c>
    </row>
    <row r="47">
      <c r="B47" s="2" t="inlineStr">
        <is>
          <t>ROE → 分子用 adjusted EPS 反推的淨利，分母用 GAAP 股東權益（你選的口徑）。</t>
        </is>
      </c>
    </row>
    <row r="48">
      <c r="B48" s="2" t="inlineStr">
        <is>
          <t>注意：這代表 ROE 數字會與各大財經網站（多用 GAAP 淨利）不同，這是刻意的。</t>
        </is>
      </c>
    </row>
    <row r="49">
      <c r="B49" s="2" t="inlineStr"/>
    </row>
    <row r="50">
      <c r="A50" s="4" t="inlineStr">
        <is>
          <t>顏色慣例</t>
        </is>
      </c>
    </row>
    <row r="51">
      <c r="B51" s="2" t="inlineStr">
        <is>
          <t>藍字＝你手動輸入 ｜ 黑字＝公式 ｜ 綠字＝跨分頁連結 ｜ 黃底＝資料管線寫入區，請勿手改</t>
        </is>
      </c>
    </row>
    <row r="52">
      <c r="B52" s="2" t="inlineStr"/>
    </row>
    <row r="53">
      <c r="A53" s="4" t="inlineStr">
        <is>
          <t>新增一檔股票</t>
        </is>
      </c>
    </row>
    <row r="54">
      <c r="B54" s="2" t="inlineStr">
        <is>
          <t>① Tickers 第 2~21 列往下打一列 → ② 重跑資料管線 → ③ Excel 按「資料 → 全部重新整理」</t>
        </is>
      </c>
    </row>
  </sheetData>
  <mergeCells count="8">
    <mergeCell ref="A24:B24"/>
    <mergeCell ref="A11:B11"/>
    <mergeCell ref="A5:B5"/>
    <mergeCell ref="A37:B37"/>
    <mergeCell ref="A45:B45"/>
    <mergeCell ref="A31:B31"/>
    <mergeCell ref="A53:B53"/>
    <mergeCell ref="A50:B5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outlineLevel="1" width="9" customWidth="1" min="5" max="8"/>
    <col outlineLevel="1" width="9" customWidth="1" min="9" max="10"/>
    <col outlineLevel="1" width="10" customWidth="1" min="11" max="18"/>
    <col outlineLevel="1" width="10" customWidth="1" min="19" max="22"/>
    <col outlineLevel="1" width="10" customWidth="1" min="23" max="25"/>
    <col outlineLevel="1" width="12" customWidth="1" min="26" max="29"/>
  </cols>
  <sheetData>
    <row r="1">
      <c r="A1" s="5" t="inlineStr">
        <is>
          <t>基本</t>
        </is>
      </c>
      <c r="B1" s="6" t="n"/>
      <c r="C1" s="6" t="n"/>
      <c r="D1" s="6" t="n"/>
      <c r="E1" s="7" t="inlineStr">
        <is>
          <t>估值</t>
        </is>
      </c>
      <c r="F1" s="8" t="n"/>
      <c r="G1" s="8" t="n"/>
      <c r="H1" s="8" t="n"/>
      <c r="I1" s="9" t="inlineStr">
        <is>
          <t>殖利率</t>
        </is>
      </c>
      <c r="J1" s="10" t="n"/>
      <c r="K1" s="11" t="inlineStr">
        <is>
          <t>成長</t>
        </is>
      </c>
      <c r="L1" s="12" t="n"/>
      <c r="M1" s="12" t="n"/>
      <c r="N1" s="12" t="n"/>
      <c r="O1" s="12" t="n"/>
      <c r="P1" s="12" t="n"/>
      <c r="Q1" s="12" t="n"/>
      <c r="R1" s="12" t="n"/>
      <c r="S1" s="13" t="inlineStr">
        <is>
          <t>毛利率</t>
        </is>
      </c>
      <c r="T1" s="14" t="n"/>
      <c r="U1" s="14" t="n"/>
      <c r="V1" s="14" t="n"/>
      <c r="W1" s="15" t="inlineStr">
        <is>
          <t>ROE</t>
        </is>
      </c>
      <c r="X1" s="16" t="n"/>
      <c r="Y1" s="16" t="n"/>
      <c r="Z1" s="17" t="inlineStr">
        <is>
          <t>預估</t>
        </is>
      </c>
      <c r="AA1" s="18" t="n"/>
      <c r="AB1" s="18" t="n"/>
      <c r="AC1" s="18" t="n"/>
    </row>
    <row r="2" ht="32" customHeight="1">
      <c r="A2" s="19" t="inlineStr">
        <is>
          <t>Ticker</t>
        </is>
      </c>
      <c r="B2" s="19" t="inlineStr">
        <is>
          <t>公司</t>
        </is>
      </c>
      <c r="C2" s="19" t="inlineStr">
        <is>
          <t>等級</t>
        </is>
      </c>
      <c r="D2" s="19" t="inlineStr">
        <is>
          <t>股價</t>
        </is>
      </c>
      <c r="E2" s="19" t="inlineStr">
        <is>
          <t>PE_TTM</t>
        </is>
      </c>
      <c r="F2" s="19" t="inlineStr">
        <is>
          <t>PE Forward</t>
        </is>
      </c>
      <c r="G2" s="19" t="inlineStr">
        <is>
          <t>PEG_T</t>
        </is>
      </c>
      <c r="H2" s="19" t="inlineStr">
        <is>
          <t>PEG_F</t>
        </is>
      </c>
      <c r="I2" s="19" t="inlineStr">
        <is>
          <t>殖利率</t>
        </is>
      </c>
      <c r="J2" s="19" t="inlineStr">
        <is>
          <t>配息YoY</t>
        </is>
      </c>
      <c r="K2" s="19" t="inlineStr">
        <is>
          <t>營收QoQ</t>
        </is>
      </c>
      <c r="L2" s="19" t="inlineStr">
        <is>
          <t>上季QoQ</t>
        </is>
      </c>
      <c r="M2" s="19" t="inlineStr">
        <is>
          <t>加速度(pp)</t>
        </is>
      </c>
      <c r="N2" s="19" t="inlineStr">
        <is>
          <t>動能判讀</t>
        </is>
      </c>
      <c r="O2" s="19" t="inlineStr">
        <is>
          <t>同期加速度(pp)</t>
        </is>
      </c>
      <c r="P2" s="19" t="inlineStr">
        <is>
          <t>營收YoY</t>
        </is>
      </c>
      <c r="Q2" s="19" t="inlineStr">
        <is>
          <t>EPS_YoY</t>
        </is>
      </c>
      <c r="R2" s="19" t="inlineStr">
        <is>
          <t>EPS_TTM_YoY</t>
        </is>
      </c>
      <c r="S2" s="19" t="inlineStr">
        <is>
          <t>毛利率</t>
        </is>
      </c>
      <c r="T2" s="19" t="inlineStr">
        <is>
          <t>5年平均</t>
        </is>
      </c>
      <c r="U2" s="19" t="inlineStr">
        <is>
          <t>vs5年(bps)</t>
        </is>
      </c>
      <c r="V2" s="19" t="inlineStr">
        <is>
          <t>ΔGM_YoY(bps)</t>
        </is>
      </c>
      <c r="W2" s="19" t="inlineStr">
        <is>
          <t>ROE_TTM</t>
        </is>
      </c>
      <c r="X2" s="19" t="inlineStr">
        <is>
          <t>ROE_5年平均</t>
        </is>
      </c>
      <c r="Y2" s="19" t="inlineStr">
        <is>
          <t>ROE Forward</t>
        </is>
      </c>
      <c r="Z2" s="19" t="inlineStr">
        <is>
          <t>當季EPS預估</t>
        </is>
      </c>
      <c r="AA2" s="19" t="inlineStr">
        <is>
          <t>預估期別</t>
        </is>
      </c>
      <c r="AB2" s="19" t="inlineStr">
        <is>
          <t>來源</t>
        </is>
      </c>
      <c r="AC2" s="19" t="inlineStr">
        <is>
          <t>下次財報</t>
        </is>
      </c>
    </row>
    <row r="3">
      <c r="A3" s="20">
        <f>IF(Calc!$A$2="","",Calc!A$2)</f>
        <v/>
      </c>
      <c r="B3" s="20">
        <f>IF(Calc!$A$2="","",Calc!B$2)</f>
        <v/>
      </c>
      <c r="C3" s="20">
        <f>IF(Calc!$A$2="","",Calc!C$2)</f>
        <v/>
      </c>
      <c r="D3" s="21">
        <f>IF(Calc!$A$2="","",Calc!D$2)</f>
        <v/>
      </c>
      <c r="E3" s="22">
        <f>IF(Calc!$A$2="","",Calc!J$2)</f>
        <v/>
      </c>
      <c r="F3" s="22">
        <f>IF(Calc!$A$2="","",Calc!L$2)</f>
        <v/>
      </c>
      <c r="G3" s="21">
        <f>IF(Calc!$A$2="","",Calc!N$2)</f>
        <v/>
      </c>
      <c r="H3" s="21">
        <f>IF(Calc!$A$2="","",Calc!O$2)</f>
        <v/>
      </c>
      <c r="I3" s="23">
        <f>IF(Calc!$A$2="","",Calc!Q$2)</f>
        <v/>
      </c>
      <c r="J3" s="23">
        <f>IF(Calc!$A$2="","",Calc!R$2)</f>
        <v/>
      </c>
      <c r="K3" s="23">
        <f>IF(Calc!$A$2="","",Calc!T$2)</f>
        <v/>
      </c>
      <c r="L3" s="23">
        <f>IF(Calc!$A$2="","",Calc!U$2)</f>
        <v/>
      </c>
      <c r="M3" s="24">
        <f>IF(Calc!$A$2="","",Calc!V$2)</f>
        <v/>
      </c>
      <c r="N3" s="20">
        <f>IF(Calc!$A$2="","",Calc!W$2)</f>
        <v/>
      </c>
      <c r="O3" s="24">
        <f>IF(Calc!$A$2="","",Calc!X$2)</f>
        <v/>
      </c>
      <c r="P3" s="23">
        <f>IF(Calc!$A$2="","",Calc!S$2)</f>
        <v/>
      </c>
      <c r="Q3" s="23">
        <f>IF(Calc!$A$2="","",Calc!Y$2)</f>
        <v/>
      </c>
      <c r="R3" s="23">
        <f>IF(Calc!$A$2="","",Calc!I$2)</f>
        <v/>
      </c>
      <c r="S3" s="23">
        <f>IF(Calc!$A$2="","",Calc!Z$2)</f>
        <v/>
      </c>
      <c r="T3" s="23">
        <f>IF(Calc!$A$2="","",Calc!AA$2)</f>
        <v/>
      </c>
      <c r="U3" s="25">
        <f>IF(Calc!$A$2="","",Calc!AB$2)</f>
        <v/>
      </c>
      <c r="V3" s="25">
        <f>IF(Calc!$A$2="","",Calc!AC$2)</f>
        <v/>
      </c>
      <c r="W3" s="23">
        <f>IF(Calc!$A$2="","",Calc!AF$2)</f>
        <v/>
      </c>
      <c r="X3" s="23">
        <f>IF(Calc!$A$2="","",Calc!AG$2)</f>
        <v/>
      </c>
      <c r="Y3" s="23">
        <f>IF(Calc!$A$2="","",Calc!AH$2)</f>
        <v/>
      </c>
      <c r="Z3" s="21">
        <f>IF(Calc!$A$2="","",Calc!AI$2)</f>
        <v/>
      </c>
      <c r="AA3" s="20">
        <f>IF(Calc!$A$2="","",Calc!AJ$2)</f>
        <v/>
      </c>
      <c r="AB3" s="20">
        <f>IF(Calc!$A$2="","",Calc!AK$2)</f>
        <v/>
      </c>
      <c r="AC3" s="26">
        <f>IF(Calc!$A$2="","",Calc!AM$2)</f>
        <v/>
      </c>
    </row>
    <row r="4">
      <c r="A4" s="20">
        <f>IF(Calc!$A$3="","",Calc!A$3)</f>
        <v/>
      </c>
      <c r="B4" s="20">
        <f>IF(Calc!$A$3="","",Calc!B$3)</f>
        <v/>
      </c>
      <c r="C4" s="20">
        <f>IF(Calc!$A$3="","",Calc!C$3)</f>
        <v/>
      </c>
      <c r="D4" s="21">
        <f>IF(Calc!$A$3="","",Calc!D$3)</f>
        <v/>
      </c>
      <c r="E4" s="22">
        <f>IF(Calc!$A$3="","",Calc!J$3)</f>
        <v/>
      </c>
      <c r="F4" s="22">
        <f>IF(Calc!$A$3="","",Calc!L$3)</f>
        <v/>
      </c>
      <c r="G4" s="21">
        <f>IF(Calc!$A$3="","",Calc!N$3)</f>
        <v/>
      </c>
      <c r="H4" s="21">
        <f>IF(Calc!$A$3="","",Calc!O$3)</f>
        <v/>
      </c>
      <c r="I4" s="23">
        <f>IF(Calc!$A$3="","",Calc!Q$3)</f>
        <v/>
      </c>
      <c r="J4" s="23">
        <f>IF(Calc!$A$3="","",Calc!R$3)</f>
        <v/>
      </c>
      <c r="K4" s="23">
        <f>IF(Calc!$A$3="","",Calc!T$3)</f>
        <v/>
      </c>
      <c r="L4" s="23">
        <f>IF(Calc!$A$3="","",Calc!U$3)</f>
        <v/>
      </c>
      <c r="M4" s="24">
        <f>IF(Calc!$A$3="","",Calc!V$3)</f>
        <v/>
      </c>
      <c r="N4" s="20">
        <f>IF(Calc!$A$3="","",Calc!W$3)</f>
        <v/>
      </c>
      <c r="O4" s="24">
        <f>IF(Calc!$A$3="","",Calc!X$3)</f>
        <v/>
      </c>
      <c r="P4" s="23">
        <f>IF(Calc!$A$3="","",Calc!S$3)</f>
        <v/>
      </c>
      <c r="Q4" s="23">
        <f>IF(Calc!$A$3="","",Calc!Y$3)</f>
        <v/>
      </c>
      <c r="R4" s="23">
        <f>IF(Calc!$A$3="","",Calc!I$3)</f>
        <v/>
      </c>
      <c r="S4" s="23">
        <f>IF(Calc!$A$3="","",Calc!Z$3)</f>
        <v/>
      </c>
      <c r="T4" s="23">
        <f>IF(Calc!$A$3="","",Calc!AA$3)</f>
        <v/>
      </c>
      <c r="U4" s="25">
        <f>IF(Calc!$A$3="","",Calc!AB$3)</f>
        <v/>
      </c>
      <c r="V4" s="25">
        <f>IF(Calc!$A$3="","",Calc!AC$3)</f>
        <v/>
      </c>
      <c r="W4" s="23">
        <f>IF(Calc!$A$3="","",Calc!AF$3)</f>
        <v/>
      </c>
      <c r="X4" s="23">
        <f>IF(Calc!$A$3="","",Calc!AG$3)</f>
        <v/>
      </c>
      <c r="Y4" s="23">
        <f>IF(Calc!$A$3="","",Calc!AH$3)</f>
        <v/>
      </c>
      <c r="Z4" s="21">
        <f>IF(Calc!$A$3="","",Calc!AI$3)</f>
        <v/>
      </c>
      <c r="AA4" s="20">
        <f>IF(Calc!$A$3="","",Calc!AJ$3)</f>
        <v/>
      </c>
      <c r="AB4" s="20">
        <f>IF(Calc!$A$3="","",Calc!AK$3)</f>
        <v/>
      </c>
      <c r="AC4" s="26">
        <f>IF(Calc!$A$3="","",Calc!AM$3)</f>
        <v/>
      </c>
    </row>
    <row r="5">
      <c r="A5" s="20">
        <f>IF(Calc!$A$4="","",Calc!A$4)</f>
        <v/>
      </c>
      <c r="B5" s="20">
        <f>IF(Calc!$A$4="","",Calc!B$4)</f>
        <v/>
      </c>
      <c r="C5" s="20">
        <f>IF(Calc!$A$4="","",Calc!C$4)</f>
        <v/>
      </c>
      <c r="D5" s="21">
        <f>IF(Calc!$A$4="","",Calc!D$4)</f>
        <v/>
      </c>
      <c r="E5" s="22">
        <f>IF(Calc!$A$4="","",Calc!J$4)</f>
        <v/>
      </c>
      <c r="F5" s="22">
        <f>IF(Calc!$A$4="","",Calc!L$4)</f>
        <v/>
      </c>
      <c r="G5" s="21">
        <f>IF(Calc!$A$4="","",Calc!N$4)</f>
        <v/>
      </c>
      <c r="H5" s="21">
        <f>IF(Calc!$A$4="","",Calc!O$4)</f>
        <v/>
      </c>
      <c r="I5" s="23">
        <f>IF(Calc!$A$4="","",Calc!Q$4)</f>
        <v/>
      </c>
      <c r="J5" s="23">
        <f>IF(Calc!$A$4="","",Calc!R$4)</f>
        <v/>
      </c>
      <c r="K5" s="23">
        <f>IF(Calc!$A$4="","",Calc!T$4)</f>
        <v/>
      </c>
      <c r="L5" s="23">
        <f>IF(Calc!$A$4="","",Calc!U$4)</f>
        <v/>
      </c>
      <c r="M5" s="24">
        <f>IF(Calc!$A$4="","",Calc!V$4)</f>
        <v/>
      </c>
      <c r="N5" s="20">
        <f>IF(Calc!$A$4="","",Calc!W$4)</f>
        <v/>
      </c>
      <c r="O5" s="24">
        <f>IF(Calc!$A$4="","",Calc!X$4)</f>
        <v/>
      </c>
      <c r="P5" s="23">
        <f>IF(Calc!$A$4="","",Calc!S$4)</f>
        <v/>
      </c>
      <c r="Q5" s="23">
        <f>IF(Calc!$A$4="","",Calc!Y$4)</f>
        <v/>
      </c>
      <c r="R5" s="23">
        <f>IF(Calc!$A$4="","",Calc!I$4)</f>
        <v/>
      </c>
      <c r="S5" s="23">
        <f>IF(Calc!$A$4="","",Calc!Z$4)</f>
        <v/>
      </c>
      <c r="T5" s="23">
        <f>IF(Calc!$A$4="","",Calc!AA$4)</f>
        <v/>
      </c>
      <c r="U5" s="25">
        <f>IF(Calc!$A$4="","",Calc!AB$4)</f>
        <v/>
      </c>
      <c r="V5" s="25">
        <f>IF(Calc!$A$4="","",Calc!AC$4)</f>
        <v/>
      </c>
      <c r="W5" s="23">
        <f>IF(Calc!$A$4="","",Calc!AF$4)</f>
        <v/>
      </c>
      <c r="X5" s="23">
        <f>IF(Calc!$A$4="","",Calc!AG$4)</f>
        <v/>
      </c>
      <c r="Y5" s="23">
        <f>IF(Calc!$A$4="","",Calc!AH$4)</f>
        <v/>
      </c>
      <c r="Z5" s="21">
        <f>IF(Calc!$A$4="","",Calc!AI$4)</f>
        <v/>
      </c>
      <c r="AA5" s="20">
        <f>IF(Calc!$A$4="","",Calc!AJ$4)</f>
        <v/>
      </c>
      <c r="AB5" s="20">
        <f>IF(Calc!$A$4="","",Calc!AK$4)</f>
        <v/>
      </c>
      <c r="AC5" s="26">
        <f>IF(Calc!$A$4="","",Calc!AM$4)</f>
        <v/>
      </c>
    </row>
    <row r="6">
      <c r="A6" s="20">
        <f>IF(Calc!$A$5="","",Calc!A$5)</f>
        <v/>
      </c>
      <c r="B6" s="20">
        <f>IF(Calc!$A$5="","",Calc!B$5)</f>
        <v/>
      </c>
      <c r="C6" s="20">
        <f>IF(Calc!$A$5="","",Calc!C$5)</f>
        <v/>
      </c>
      <c r="D6" s="21">
        <f>IF(Calc!$A$5="","",Calc!D$5)</f>
        <v/>
      </c>
      <c r="E6" s="22">
        <f>IF(Calc!$A$5="","",Calc!J$5)</f>
        <v/>
      </c>
      <c r="F6" s="22">
        <f>IF(Calc!$A$5="","",Calc!L$5)</f>
        <v/>
      </c>
      <c r="G6" s="21">
        <f>IF(Calc!$A$5="","",Calc!N$5)</f>
        <v/>
      </c>
      <c r="H6" s="21">
        <f>IF(Calc!$A$5="","",Calc!O$5)</f>
        <v/>
      </c>
      <c r="I6" s="23">
        <f>IF(Calc!$A$5="","",Calc!Q$5)</f>
        <v/>
      </c>
      <c r="J6" s="23">
        <f>IF(Calc!$A$5="","",Calc!R$5)</f>
        <v/>
      </c>
      <c r="K6" s="23">
        <f>IF(Calc!$A$5="","",Calc!T$5)</f>
        <v/>
      </c>
      <c r="L6" s="23">
        <f>IF(Calc!$A$5="","",Calc!U$5)</f>
        <v/>
      </c>
      <c r="M6" s="24">
        <f>IF(Calc!$A$5="","",Calc!V$5)</f>
        <v/>
      </c>
      <c r="N6" s="20">
        <f>IF(Calc!$A$5="","",Calc!W$5)</f>
        <v/>
      </c>
      <c r="O6" s="24">
        <f>IF(Calc!$A$5="","",Calc!X$5)</f>
        <v/>
      </c>
      <c r="P6" s="23">
        <f>IF(Calc!$A$5="","",Calc!S$5)</f>
        <v/>
      </c>
      <c r="Q6" s="23">
        <f>IF(Calc!$A$5="","",Calc!Y$5)</f>
        <v/>
      </c>
      <c r="R6" s="23">
        <f>IF(Calc!$A$5="","",Calc!I$5)</f>
        <v/>
      </c>
      <c r="S6" s="23">
        <f>IF(Calc!$A$5="","",Calc!Z$5)</f>
        <v/>
      </c>
      <c r="T6" s="23">
        <f>IF(Calc!$A$5="","",Calc!AA$5)</f>
        <v/>
      </c>
      <c r="U6" s="25">
        <f>IF(Calc!$A$5="","",Calc!AB$5)</f>
        <v/>
      </c>
      <c r="V6" s="25">
        <f>IF(Calc!$A$5="","",Calc!AC$5)</f>
        <v/>
      </c>
      <c r="W6" s="23">
        <f>IF(Calc!$A$5="","",Calc!AF$5)</f>
        <v/>
      </c>
      <c r="X6" s="23">
        <f>IF(Calc!$A$5="","",Calc!AG$5)</f>
        <v/>
      </c>
      <c r="Y6" s="23">
        <f>IF(Calc!$A$5="","",Calc!AH$5)</f>
        <v/>
      </c>
      <c r="Z6" s="21">
        <f>IF(Calc!$A$5="","",Calc!AI$5)</f>
        <v/>
      </c>
      <c r="AA6" s="20">
        <f>IF(Calc!$A$5="","",Calc!AJ$5)</f>
        <v/>
      </c>
      <c r="AB6" s="20">
        <f>IF(Calc!$A$5="","",Calc!AK$5)</f>
        <v/>
      </c>
      <c r="AC6" s="26">
        <f>IF(Calc!$A$5="","",Calc!AM$5)</f>
        <v/>
      </c>
    </row>
    <row r="7">
      <c r="A7" s="20">
        <f>IF(Calc!$A$6="","",Calc!A$6)</f>
        <v/>
      </c>
      <c r="B7" s="20">
        <f>IF(Calc!$A$6="","",Calc!B$6)</f>
        <v/>
      </c>
      <c r="C7" s="20">
        <f>IF(Calc!$A$6="","",Calc!C$6)</f>
        <v/>
      </c>
      <c r="D7" s="21">
        <f>IF(Calc!$A$6="","",Calc!D$6)</f>
        <v/>
      </c>
      <c r="E7" s="22">
        <f>IF(Calc!$A$6="","",Calc!J$6)</f>
        <v/>
      </c>
      <c r="F7" s="22">
        <f>IF(Calc!$A$6="","",Calc!L$6)</f>
        <v/>
      </c>
      <c r="G7" s="21">
        <f>IF(Calc!$A$6="","",Calc!N$6)</f>
        <v/>
      </c>
      <c r="H7" s="21">
        <f>IF(Calc!$A$6="","",Calc!O$6)</f>
        <v/>
      </c>
      <c r="I7" s="23">
        <f>IF(Calc!$A$6="","",Calc!Q$6)</f>
        <v/>
      </c>
      <c r="J7" s="23">
        <f>IF(Calc!$A$6="","",Calc!R$6)</f>
        <v/>
      </c>
      <c r="K7" s="23">
        <f>IF(Calc!$A$6="","",Calc!T$6)</f>
        <v/>
      </c>
      <c r="L7" s="23">
        <f>IF(Calc!$A$6="","",Calc!U$6)</f>
        <v/>
      </c>
      <c r="M7" s="24">
        <f>IF(Calc!$A$6="","",Calc!V$6)</f>
        <v/>
      </c>
      <c r="N7" s="20">
        <f>IF(Calc!$A$6="","",Calc!W$6)</f>
        <v/>
      </c>
      <c r="O7" s="24">
        <f>IF(Calc!$A$6="","",Calc!X$6)</f>
        <v/>
      </c>
      <c r="P7" s="23">
        <f>IF(Calc!$A$6="","",Calc!S$6)</f>
        <v/>
      </c>
      <c r="Q7" s="23">
        <f>IF(Calc!$A$6="","",Calc!Y$6)</f>
        <v/>
      </c>
      <c r="R7" s="23">
        <f>IF(Calc!$A$6="","",Calc!I$6)</f>
        <v/>
      </c>
      <c r="S7" s="23">
        <f>IF(Calc!$A$6="","",Calc!Z$6)</f>
        <v/>
      </c>
      <c r="T7" s="23">
        <f>IF(Calc!$A$6="","",Calc!AA$6)</f>
        <v/>
      </c>
      <c r="U7" s="25">
        <f>IF(Calc!$A$6="","",Calc!AB$6)</f>
        <v/>
      </c>
      <c r="V7" s="25">
        <f>IF(Calc!$A$6="","",Calc!AC$6)</f>
        <v/>
      </c>
      <c r="W7" s="23">
        <f>IF(Calc!$A$6="","",Calc!AF$6)</f>
        <v/>
      </c>
      <c r="X7" s="23">
        <f>IF(Calc!$A$6="","",Calc!AG$6)</f>
        <v/>
      </c>
      <c r="Y7" s="23">
        <f>IF(Calc!$A$6="","",Calc!AH$6)</f>
        <v/>
      </c>
      <c r="Z7" s="21">
        <f>IF(Calc!$A$6="","",Calc!AI$6)</f>
        <v/>
      </c>
      <c r="AA7" s="20">
        <f>IF(Calc!$A$6="","",Calc!AJ$6)</f>
        <v/>
      </c>
      <c r="AB7" s="20">
        <f>IF(Calc!$A$6="","",Calc!AK$6)</f>
        <v/>
      </c>
      <c r="AC7" s="26">
        <f>IF(Calc!$A$6="","",Calc!AM$6)</f>
        <v/>
      </c>
    </row>
    <row r="8">
      <c r="A8" s="20">
        <f>IF(Calc!$A$7="","",Calc!A$7)</f>
        <v/>
      </c>
      <c r="B8" s="20">
        <f>IF(Calc!$A$7="","",Calc!B$7)</f>
        <v/>
      </c>
      <c r="C8" s="20">
        <f>IF(Calc!$A$7="","",Calc!C$7)</f>
        <v/>
      </c>
      <c r="D8" s="21">
        <f>IF(Calc!$A$7="","",Calc!D$7)</f>
        <v/>
      </c>
      <c r="E8" s="22">
        <f>IF(Calc!$A$7="","",Calc!J$7)</f>
        <v/>
      </c>
      <c r="F8" s="22">
        <f>IF(Calc!$A$7="","",Calc!L$7)</f>
        <v/>
      </c>
      <c r="G8" s="21">
        <f>IF(Calc!$A$7="","",Calc!N$7)</f>
        <v/>
      </c>
      <c r="H8" s="21">
        <f>IF(Calc!$A$7="","",Calc!O$7)</f>
        <v/>
      </c>
      <c r="I8" s="23">
        <f>IF(Calc!$A$7="","",Calc!Q$7)</f>
        <v/>
      </c>
      <c r="J8" s="23">
        <f>IF(Calc!$A$7="","",Calc!R$7)</f>
        <v/>
      </c>
      <c r="K8" s="23">
        <f>IF(Calc!$A$7="","",Calc!T$7)</f>
        <v/>
      </c>
      <c r="L8" s="23">
        <f>IF(Calc!$A$7="","",Calc!U$7)</f>
        <v/>
      </c>
      <c r="M8" s="24">
        <f>IF(Calc!$A$7="","",Calc!V$7)</f>
        <v/>
      </c>
      <c r="N8" s="20">
        <f>IF(Calc!$A$7="","",Calc!W$7)</f>
        <v/>
      </c>
      <c r="O8" s="24">
        <f>IF(Calc!$A$7="","",Calc!X$7)</f>
        <v/>
      </c>
      <c r="P8" s="23">
        <f>IF(Calc!$A$7="","",Calc!S$7)</f>
        <v/>
      </c>
      <c r="Q8" s="23">
        <f>IF(Calc!$A$7="","",Calc!Y$7)</f>
        <v/>
      </c>
      <c r="R8" s="23">
        <f>IF(Calc!$A$7="","",Calc!I$7)</f>
        <v/>
      </c>
      <c r="S8" s="23">
        <f>IF(Calc!$A$7="","",Calc!Z$7)</f>
        <v/>
      </c>
      <c r="T8" s="23">
        <f>IF(Calc!$A$7="","",Calc!AA$7)</f>
        <v/>
      </c>
      <c r="U8" s="25">
        <f>IF(Calc!$A$7="","",Calc!AB$7)</f>
        <v/>
      </c>
      <c r="V8" s="25">
        <f>IF(Calc!$A$7="","",Calc!AC$7)</f>
        <v/>
      </c>
      <c r="W8" s="23">
        <f>IF(Calc!$A$7="","",Calc!AF$7)</f>
        <v/>
      </c>
      <c r="X8" s="23">
        <f>IF(Calc!$A$7="","",Calc!AG$7)</f>
        <v/>
      </c>
      <c r="Y8" s="23">
        <f>IF(Calc!$A$7="","",Calc!AH$7)</f>
        <v/>
      </c>
      <c r="Z8" s="21">
        <f>IF(Calc!$A$7="","",Calc!AI$7)</f>
        <v/>
      </c>
      <c r="AA8" s="20">
        <f>IF(Calc!$A$7="","",Calc!AJ$7)</f>
        <v/>
      </c>
      <c r="AB8" s="20">
        <f>IF(Calc!$A$7="","",Calc!AK$7)</f>
        <v/>
      </c>
      <c r="AC8" s="26">
        <f>IF(Calc!$A$7="","",Calc!AM$7)</f>
        <v/>
      </c>
    </row>
    <row r="9">
      <c r="A9" s="20">
        <f>IF(Calc!$A$8="","",Calc!A$8)</f>
        <v/>
      </c>
      <c r="B9" s="20">
        <f>IF(Calc!$A$8="","",Calc!B$8)</f>
        <v/>
      </c>
      <c r="C9" s="20">
        <f>IF(Calc!$A$8="","",Calc!C$8)</f>
        <v/>
      </c>
      <c r="D9" s="21">
        <f>IF(Calc!$A$8="","",Calc!D$8)</f>
        <v/>
      </c>
      <c r="E9" s="22">
        <f>IF(Calc!$A$8="","",Calc!J$8)</f>
        <v/>
      </c>
      <c r="F9" s="22">
        <f>IF(Calc!$A$8="","",Calc!L$8)</f>
        <v/>
      </c>
      <c r="G9" s="21">
        <f>IF(Calc!$A$8="","",Calc!N$8)</f>
        <v/>
      </c>
      <c r="H9" s="21">
        <f>IF(Calc!$A$8="","",Calc!O$8)</f>
        <v/>
      </c>
      <c r="I9" s="23">
        <f>IF(Calc!$A$8="","",Calc!Q$8)</f>
        <v/>
      </c>
      <c r="J9" s="23">
        <f>IF(Calc!$A$8="","",Calc!R$8)</f>
        <v/>
      </c>
      <c r="K9" s="23">
        <f>IF(Calc!$A$8="","",Calc!T$8)</f>
        <v/>
      </c>
      <c r="L9" s="23">
        <f>IF(Calc!$A$8="","",Calc!U$8)</f>
        <v/>
      </c>
      <c r="M9" s="24">
        <f>IF(Calc!$A$8="","",Calc!V$8)</f>
        <v/>
      </c>
      <c r="N9" s="20">
        <f>IF(Calc!$A$8="","",Calc!W$8)</f>
        <v/>
      </c>
      <c r="O9" s="24">
        <f>IF(Calc!$A$8="","",Calc!X$8)</f>
        <v/>
      </c>
      <c r="P9" s="23">
        <f>IF(Calc!$A$8="","",Calc!S$8)</f>
        <v/>
      </c>
      <c r="Q9" s="23">
        <f>IF(Calc!$A$8="","",Calc!Y$8)</f>
        <v/>
      </c>
      <c r="R9" s="23">
        <f>IF(Calc!$A$8="","",Calc!I$8)</f>
        <v/>
      </c>
      <c r="S9" s="23">
        <f>IF(Calc!$A$8="","",Calc!Z$8)</f>
        <v/>
      </c>
      <c r="T9" s="23">
        <f>IF(Calc!$A$8="","",Calc!AA$8)</f>
        <v/>
      </c>
      <c r="U9" s="25">
        <f>IF(Calc!$A$8="","",Calc!AB$8)</f>
        <v/>
      </c>
      <c r="V9" s="25">
        <f>IF(Calc!$A$8="","",Calc!AC$8)</f>
        <v/>
      </c>
      <c r="W9" s="23">
        <f>IF(Calc!$A$8="","",Calc!AF$8)</f>
        <v/>
      </c>
      <c r="X9" s="23">
        <f>IF(Calc!$A$8="","",Calc!AG$8)</f>
        <v/>
      </c>
      <c r="Y9" s="23">
        <f>IF(Calc!$A$8="","",Calc!AH$8)</f>
        <v/>
      </c>
      <c r="Z9" s="21">
        <f>IF(Calc!$A$8="","",Calc!AI$8)</f>
        <v/>
      </c>
      <c r="AA9" s="20">
        <f>IF(Calc!$A$8="","",Calc!AJ$8)</f>
        <v/>
      </c>
      <c r="AB9" s="20">
        <f>IF(Calc!$A$8="","",Calc!AK$8)</f>
        <v/>
      </c>
      <c r="AC9" s="26">
        <f>IF(Calc!$A$8="","",Calc!AM$8)</f>
        <v/>
      </c>
    </row>
    <row r="10">
      <c r="A10" s="20">
        <f>IF(Calc!$A$9="","",Calc!A$9)</f>
        <v/>
      </c>
      <c r="B10" s="20">
        <f>IF(Calc!$A$9="","",Calc!B$9)</f>
        <v/>
      </c>
      <c r="C10" s="20">
        <f>IF(Calc!$A$9="","",Calc!C$9)</f>
        <v/>
      </c>
      <c r="D10" s="21">
        <f>IF(Calc!$A$9="","",Calc!D$9)</f>
        <v/>
      </c>
      <c r="E10" s="22">
        <f>IF(Calc!$A$9="","",Calc!J$9)</f>
        <v/>
      </c>
      <c r="F10" s="22">
        <f>IF(Calc!$A$9="","",Calc!L$9)</f>
        <v/>
      </c>
      <c r="G10" s="21">
        <f>IF(Calc!$A$9="","",Calc!N$9)</f>
        <v/>
      </c>
      <c r="H10" s="21">
        <f>IF(Calc!$A$9="","",Calc!O$9)</f>
        <v/>
      </c>
      <c r="I10" s="23">
        <f>IF(Calc!$A$9="","",Calc!Q$9)</f>
        <v/>
      </c>
      <c r="J10" s="23">
        <f>IF(Calc!$A$9="","",Calc!R$9)</f>
        <v/>
      </c>
      <c r="K10" s="23">
        <f>IF(Calc!$A$9="","",Calc!T$9)</f>
        <v/>
      </c>
      <c r="L10" s="23">
        <f>IF(Calc!$A$9="","",Calc!U$9)</f>
        <v/>
      </c>
      <c r="M10" s="24">
        <f>IF(Calc!$A$9="","",Calc!V$9)</f>
        <v/>
      </c>
      <c r="N10" s="20">
        <f>IF(Calc!$A$9="","",Calc!W$9)</f>
        <v/>
      </c>
      <c r="O10" s="24">
        <f>IF(Calc!$A$9="","",Calc!X$9)</f>
        <v/>
      </c>
      <c r="P10" s="23">
        <f>IF(Calc!$A$9="","",Calc!S$9)</f>
        <v/>
      </c>
      <c r="Q10" s="23">
        <f>IF(Calc!$A$9="","",Calc!Y$9)</f>
        <v/>
      </c>
      <c r="R10" s="23">
        <f>IF(Calc!$A$9="","",Calc!I$9)</f>
        <v/>
      </c>
      <c r="S10" s="23">
        <f>IF(Calc!$A$9="","",Calc!Z$9)</f>
        <v/>
      </c>
      <c r="T10" s="23">
        <f>IF(Calc!$A$9="","",Calc!AA$9)</f>
        <v/>
      </c>
      <c r="U10" s="25">
        <f>IF(Calc!$A$9="","",Calc!AB$9)</f>
        <v/>
      </c>
      <c r="V10" s="25">
        <f>IF(Calc!$A$9="","",Calc!AC$9)</f>
        <v/>
      </c>
      <c r="W10" s="23">
        <f>IF(Calc!$A$9="","",Calc!AF$9)</f>
        <v/>
      </c>
      <c r="X10" s="23">
        <f>IF(Calc!$A$9="","",Calc!AG$9)</f>
        <v/>
      </c>
      <c r="Y10" s="23">
        <f>IF(Calc!$A$9="","",Calc!AH$9)</f>
        <v/>
      </c>
      <c r="Z10" s="21">
        <f>IF(Calc!$A$9="","",Calc!AI$9)</f>
        <v/>
      </c>
      <c r="AA10" s="20">
        <f>IF(Calc!$A$9="","",Calc!AJ$9)</f>
        <v/>
      </c>
      <c r="AB10" s="20">
        <f>IF(Calc!$A$9="","",Calc!AK$9)</f>
        <v/>
      </c>
      <c r="AC10" s="26">
        <f>IF(Calc!$A$9="","",Calc!AM$9)</f>
        <v/>
      </c>
    </row>
    <row r="11">
      <c r="A11" s="20">
        <f>IF(Calc!$A$10="","",Calc!A$10)</f>
        <v/>
      </c>
      <c r="B11" s="20">
        <f>IF(Calc!$A$10="","",Calc!B$10)</f>
        <v/>
      </c>
      <c r="C11" s="20">
        <f>IF(Calc!$A$10="","",Calc!C$10)</f>
        <v/>
      </c>
      <c r="D11" s="21">
        <f>IF(Calc!$A$10="","",Calc!D$10)</f>
        <v/>
      </c>
      <c r="E11" s="22">
        <f>IF(Calc!$A$10="","",Calc!J$10)</f>
        <v/>
      </c>
      <c r="F11" s="22">
        <f>IF(Calc!$A$10="","",Calc!L$10)</f>
        <v/>
      </c>
      <c r="G11" s="21">
        <f>IF(Calc!$A$10="","",Calc!N$10)</f>
        <v/>
      </c>
      <c r="H11" s="21">
        <f>IF(Calc!$A$10="","",Calc!O$10)</f>
        <v/>
      </c>
      <c r="I11" s="23">
        <f>IF(Calc!$A$10="","",Calc!Q$10)</f>
        <v/>
      </c>
      <c r="J11" s="23">
        <f>IF(Calc!$A$10="","",Calc!R$10)</f>
        <v/>
      </c>
      <c r="K11" s="23">
        <f>IF(Calc!$A$10="","",Calc!T$10)</f>
        <v/>
      </c>
      <c r="L11" s="23">
        <f>IF(Calc!$A$10="","",Calc!U$10)</f>
        <v/>
      </c>
      <c r="M11" s="24">
        <f>IF(Calc!$A$10="","",Calc!V$10)</f>
        <v/>
      </c>
      <c r="N11" s="20">
        <f>IF(Calc!$A$10="","",Calc!W$10)</f>
        <v/>
      </c>
      <c r="O11" s="24">
        <f>IF(Calc!$A$10="","",Calc!X$10)</f>
        <v/>
      </c>
      <c r="P11" s="23">
        <f>IF(Calc!$A$10="","",Calc!S$10)</f>
        <v/>
      </c>
      <c r="Q11" s="23">
        <f>IF(Calc!$A$10="","",Calc!Y$10)</f>
        <v/>
      </c>
      <c r="R11" s="23">
        <f>IF(Calc!$A$10="","",Calc!I$10)</f>
        <v/>
      </c>
      <c r="S11" s="23">
        <f>IF(Calc!$A$10="","",Calc!Z$10)</f>
        <v/>
      </c>
      <c r="T11" s="23">
        <f>IF(Calc!$A$10="","",Calc!AA$10)</f>
        <v/>
      </c>
      <c r="U11" s="25">
        <f>IF(Calc!$A$10="","",Calc!AB$10)</f>
        <v/>
      </c>
      <c r="V11" s="25">
        <f>IF(Calc!$A$10="","",Calc!AC$10)</f>
        <v/>
      </c>
      <c r="W11" s="23">
        <f>IF(Calc!$A$10="","",Calc!AF$10)</f>
        <v/>
      </c>
      <c r="X11" s="23">
        <f>IF(Calc!$A$10="","",Calc!AG$10)</f>
        <v/>
      </c>
      <c r="Y11" s="23">
        <f>IF(Calc!$A$10="","",Calc!AH$10)</f>
        <v/>
      </c>
      <c r="Z11" s="21">
        <f>IF(Calc!$A$10="","",Calc!AI$10)</f>
        <v/>
      </c>
      <c r="AA11" s="20">
        <f>IF(Calc!$A$10="","",Calc!AJ$10)</f>
        <v/>
      </c>
      <c r="AB11" s="20">
        <f>IF(Calc!$A$10="","",Calc!AK$10)</f>
        <v/>
      </c>
      <c r="AC11" s="26">
        <f>IF(Calc!$A$10="","",Calc!AM$10)</f>
        <v/>
      </c>
    </row>
    <row r="12">
      <c r="A12" s="20">
        <f>IF(Calc!$A$11="","",Calc!A$11)</f>
        <v/>
      </c>
      <c r="B12" s="20">
        <f>IF(Calc!$A$11="","",Calc!B$11)</f>
        <v/>
      </c>
      <c r="C12" s="20">
        <f>IF(Calc!$A$11="","",Calc!C$11)</f>
        <v/>
      </c>
      <c r="D12" s="21">
        <f>IF(Calc!$A$11="","",Calc!D$11)</f>
        <v/>
      </c>
      <c r="E12" s="22">
        <f>IF(Calc!$A$11="","",Calc!J$11)</f>
        <v/>
      </c>
      <c r="F12" s="22">
        <f>IF(Calc!$A$11="","",Calc!L$11)</f>
        <v/>
      </c>
      <c r="G12" s="21">
        <f>IF(Calc!$A$11="","",Calc!N$11)</f>
        <v/>
      </c>
      <c r="H12" s="21">
        <f>IF(Calc!$A$11="","",Calc!O$11)</f>
        <v/>
      </c>
      <c r="I12" s="23">
        <f>IF(Calc!$A$11="","",Calc!Q$11)</f>
        <v/>
      </c>
      <c r="J12" s="23">
        <f>IF(Calc!$A$11="","",Calc!R$11)</f>
        <v/>
      </c>
      <c r="K12" s="23">
        <f>IF(Calc!$A$11="","",Calc!T$11)</f>
        <v/>
      </c>
      <c r="L12" s="23">
        <f>IF(Calc!$A$11="","",Calc!U$11)</f>
        <v/>
      </c>
      <c r="M12" s="24">
        <f>IF(Calc!$A$11="","",Calc!V$11)</f>
        <v/>
      </c>
      <c r="N12" s="20">
        <f>IF(Calc!$A$11="","",Calc!W$11)</f>
        <v/>
      </c>
      <c r="O12" s="24">
        <f>IF(Calc!$A$11="","",Calc!X$11)</f>
        <v/>
      </c>
      <c r="P12" s="23">
        <f>IF(Calc!$A$11="","",Calc!S$11)</f>
        <v/>
      </c>
      <c r="Q12" s="23">
        <f>IF(Calc!$A$11="","",Calc!Y$11)</f>
        <v/>
      </c>
      <c r="R12" s="23">
        <f>IF(Calc!$A$11="","",Calc!I$11)</f>
        <v/>
      </c>
      <c r="S12" s="23">
        <f>IF(Calc!$A$11="","",Calc!Z$11)</f>
        <v/>
      </c>
      <c r="T12" s="23">
        <f>IF(Calc!$A$11="","",Calc!AA$11)</f>
        <v/>
      </c>
      <c r="U12" s="25">
        <f>IF(Calc!$A$11="","",Calc!AB$11)</f>
        <v/>
      </c>
      <c r="V12" s="25">
        <f>IF(Calc!$A$11="","",Calc!AC$11)</f>
        <v/>
      </c>
      <c r="W12" s="23">
        <f>IF(Calc!$A$11="","",Calc!AF$11)</f>
        <v/>
      </c>
      <c r="X12" s="23">
        <f>IF(Calc!$A$11="","",Calc!AG$11)</f>
        <v/>
      </c>
      <c r="Y12" s="23">
        <f>IF(Calc!$A$11="","",Calc!AH$11)</f>
        <v/>
      </c>
      <c r="Z12" s="21">
        <f>IF(Calc!$A$11="","",Calc!AI$11)</f>
        <v/>
      </c>
      <c r="AA12" s="20">
        <f>IF(Calc!$A$11="","",Calc!AJ$11)</f>
        <v/>
      </c>
      <c r="AB12" s="20">
        <f>IF(Calc!$A$11="","",Calc!AK$11)</f>
        <v/>
      </c>
      <c r="AC12" s="26">
        <f>IF(Calc!$A$11="","",Calc!AM$11)</f>
        <v/>
      </c>
    </row>
    <row r="13">
      <c r="A13" s="20">
        <f>IF(Calc!$A$12="","",Calc!A$12)</f>
        <v/>
      </c>
      <c r="B13" s="20">
        <f>IF(Calc!$A$12="","",Calc!B$12)</f>
        <v/>
      </c>
      <c r="C13" s="20">
        <f>IF(Calc!$A$12="","",Calc!C$12)</f>
        <v/>
      </c>
      <c r="D13" s="21">
        <f>IF(Calc!$A$12="","",Calc!D$12)</f>
        <v/>
      </c>
      <c r="E13" s="22">
        <f>IF(Calc!$A$12="","",Calc!J$12)</f>
        <v/>
      </c>
      <c r="F13" s="22">
        <f>IF(Calc!$A$12="","",Calc!L$12)</f>
        <v/>
      </c>
      <c r="G13" s="21">
        <f>IF(Calc!$A$12="","",Calc!N$12)</f>
        <v/>
      </c>
      <c r="H13" s="21">
        <f>IF(Calc!$A$12="","",Calc!O$12)</f>
        <v/>
      </c>
      <c r="I13" s="23">
        <f>IF(Calc!$A$12="","",Calc!Q$12)</f>
        <v/>
      </c>
      <c r="J13" s="23">
        <f>IF(Calc!$A$12="","",Calc!R$12)</f>
        <v/>
      </c>
      <c r="K13" s="23">
        <f>IF(Calc!$A$12="","",Calc!T$12)</f>
        <v/>
      </c>
      <c r="L13" s="23">
        <f>IF(Calc!$A$12="","",Calc!U$12)</f>
        <v/>
      </c>
      <c r="M13" s="24">
        <f>IF(Calc!$A$12="","",Calc!V$12)</f>
        <v/>
      </c>
      <c r="N13" s="20">
        <f>IF(Calc!$A$12="","",Calc!W$12)</f>
        <v/>
      </c>
      <c r="O13" s="24">
        <f>IF(Calc!$A$12="","",Calc!X$12)</f>
        <v/>
      </c>
      <c r="P13" s="23">
        <f>IF(Calc!$A$12="","",Calc!S$12)</f>
        <v/>
      </c>
      <c r="Q13" s="23">
        <f>IF(Calc!$A$12="","",Calc!Y$12)</f>
        <v/>
      </c>
      <c r="R13" s="23">
        <f>IF(Calc!$A$12="","",Calc!I$12)</f>
        <v/>
      </c>
      <c r="S13" s="23">
        <f>IF(Calc!$A$12="","",Calc!Z$12)</f>
        <v/>
      </c>
      <c r="T13" s="23">
        <f>IF(Calc!$A$12="","",Calc!AA$12)</f>
        <v/>
      </c>
      <c r="U13" s="25">
        <f>IF(Calc!$A$12="","",Calc!AB$12)</f>
        <v/>
      </c>
      <c r="V13" s="25">
        <f>IF(Calc!$A$12="","",Calc!AC$12)</f>
        <v/>
      </c>
      <c r="W13" s="23">
        <f>IF(Calc!$A$12="","",Calc!AF$12)</f>
        <v/>
      </c>
      <c r="X13" s="23">
        <f>IF(Calc!$A$12="","",Calc!AG$12)</f>
        <v/>
      </c>
      <c r="Y13" s="23">
        <f>IF(Calc!$A$12="","",Calc!AH$12)</f>
        <v/>
      </c>
      <c r="Z13" s="21">
        <f>IF(Calc!$A$12="","",Calc!AI$12)</f>
        <v/>
      </c>
      <c r="AA13" s="20">
        <f>IF(Calc!$A$12="","",Calc!AJ$12)</f>
        <v/>
      </c>
      <c r="AB13" s="20">
        <f>IF(Calc!$A$12="","",Calc!AK$12)</f>
        <v/>
      </c>
      <c r="AC13" s="26">
        <f>IF(Calc!$A$12="","",Calc!AM$12)</f>
        <v/>
      </c>
    </row>
    <row r="14">
      <c r="A14" s="20">
        <f>IF(Calc!$A$13="","",Calc!A$13)</f>
        <v/>
      </c>
      <c r="B14" s="20">
        <f>IF(Calc!$A$13="","",Calc!B$13)</f>
        <v/>
      </c>
      <c r="C14" s="20">
        <f>IF(Calc!$A$13="","",Calc!C$13)</f>
        <v/>
      </c>
      <c r="D14" s="21">
        <f>IF(Calc!$A$13="","",Calc!D$13)</f>
        <v/>
      </c>
      <c r="E14" s="22">
        <f>IF(Calc!$A$13="","",Calc!J$13)</f>
        <v/>
      </c>
      <c r="F14" s="22">
        <f>IF(Calc!$A$13="","",Calc!L$13)</f>
        <v/>
      </c>
      <c r="G14" s="21">
        <f>IF(Calc!$A$13="","",Calc!N$13)</f>
        <v/>
      </c>
      <c r="H14" s="21">
        <f>IF(Calc!$A$13="","",Calc!O$13)</f>
        <v/>
      </c>
      <c r="I14" s="23">
        <f>IF(Calc!$A$13="","",Calc!Q$13)</f>
        <v/>
      </c>
      <c r="J14" s="23">
        <f>IF(Calc!$A$13="","",Calc!R$13)</f>
        <v/>
      </c>
      <c r="K14" s="23">
        <f>IF(Calc!$A$13="","",Calc!T$13)</f>
        <v/>
      </c>
      <c r="L14" s="23">
        <f>IF(Calc!$A$13="","",Calc!U$13)</f>
        <v/>
      </c>
      <c r="M14" s="24">
        <f>IF(Calc!$A$13="","",Calc!V$13)</f>
        <v/>
      </c>
      <c r="N14" s="20">
        <f>IF(Calc!$A$13="","",Calc!W$13)</f>
        <v/>
      </c>
      <c r="O14" s="24">
        <f>IF(Calc!$A$13="","",Calc!X$13)</f>
        <v/>
      </c>
      <c r="P14" s="23">
        <f>IF(Calc!$A$13="","",Calc!S$13)</f>
        <v/>
      </c>
      <c r="Q14" s="23">
        <f>IF(Calc!$A$13="","",Calc!Y$13)</f>
        <v/>
      </c>
      <c r="R14" s="23">
        <f>IF(Calc!$A$13="","",Calc!I$13)</f>
        <v/>
      </c>
      <c r="S14" s="23">
        <f>IF(Calc!$A$13="","",Calc!Z$13)</f>
        <v/>
      </c>
      <c r="T14" s="23">
        <f>IF(Calc!$A$13="","",Calc!AA$13)</f>
        <v/>
      </c>
      <c r="U14" s="25">
        <f>IF(Calc!$A$13="","",Calc!AB$13)</f>
        <v/>
      </c>
      <c r="V14" s="25">
        <f>IF(Calc!$A$13="","",Calc!AC$13)</f>
        <v/>
      </c>
      <c r="W14" s="23">
        <f>IF(Calc!$A$13="","",Calc!AF$13)</f>
        <v/>
      </c>
      <c r="X14" s="23">
        <f>IF(Calc!$A$13="","",Calc!AG$13)</f>
        <v/>
      </c>
      <c r="Y14" s="23">
        <f>IF(Calc!$A$13="","",Calc!AH$13)</f>
        <v/>
      </c>
      <c r="Z14" s="21">
        <f>IF(Calc!$A$13="","",Calc!AI$13)</f>
        <v/>
      </c>
      <c r="AA14" s="20">
        <f>IF(Calc!$A$13="","",Calc!AJ$13)</f>
        <v/>
      </c>
      <c r="AB14" s="20">
        <f>IF(Calc!$A$13="","",Calc!AK$13)</f>
        <v/>
      </c>
      <c r="AC14" s="26">
        <f>IF(Calc!$A$13="","",Calc!AM$13)</f>
        <v/>
      </c>
    </row>
    <row r="15">
      <c r="A15" s="20">
        <f>IF(Calc!$A$14="","",Calc!A$14)</f>
        <v/>
      </c>
      <c r="B15" s="20">
        <f>IF(Calc!$A$14="","",Calc!B$14)</f>
        <v/>
      </c>
      <c r="C15" s="20">
        <f>IF(Calc!$A$14="","",Calc!C$14)</f>
        <v/>
      </c>
      <c r="D15" s="21">
        <f>IF(Calc!$A$14="","",Calc!D$14)</f>
        <v/>
      </c>
      <c r="E15" s="22">
        <f>IF(Calc!$A$14="","",Calc!J$14)</f>
        <v/>
      </c>
      <c r="F15" s="22">
        <f>IF(Calc!$A$14="","",Calc!L$14)</f>
        <v/>
      </c>
      <c r="G15" s="21">
        <f>IF(Calc!$A$14="","",Calc!N$14)</f>
        <v/>
      </c>
      <c r="H15" s="21">
        <f>IF(Calc!$A$14="","",Calc!O$14)</f>
        <v/>
      </c>
      <c r="I15" s="23">
        <f>IF(Calc!$A$14="","",Calc!Q$14)</f>
        <v/>
      </c>
      <c r="J15" s="23">
        <f>IF(Calc!$A$14="","",Calc!R$14)</f>
        <v/>
      </c>
      <c r="K15" s="23">
        <f>IF(Calc!$A$14="","",Calc!T$14)</f>
        <v/>
      </c>
      <c r="L15" s="23">
        <f>IF(Calc!$A$14="","",Calc!U$14)</f>
        <v/>
      </c>
      <c r="M15" s="24">
        <f>IF(Calc!$A$14="","",Calc!V$14)</f>
        <v/>
      </c>
      <c r="N15" s="20">
        <f>IF(Calc!$A$14="","",Calc!W$14)</f>
        <v/>
      </c>
      <c r="O15" s="24">
        <f>IF(Calc!$A$14="","",Calc!X$14)</f>
        <v/>
      </c>
      <c r="P15" s="23">
        <f>IF(Calc!$A$14="","",Calc!S$14)</f>
        <v/>
      </c>
      <c r="Q15" s="23">
        <f>IF(Calc!$A$14="","",Calc!Y$14)</f>
        <v/>
      </c>
      <c r="R15" s="23">
        <f>IF(Calc!$A$14="","",Calc!I$14)</f>
        <v/>
      </c>
      <c r="S15" s="23">
        <f>IF(Calc!$A$14="","",Calc!Z$14)</f>
        <v/>
      </c>
      <c r="T15" s="23">
        <f>IF(Calc!$A$14="","",Calc!AA$14)</f>
        <v/>
      </c>
      <c r="U15" s="25">
        <f>IF(Calc!$A$14="","",Calc!AB$14)</f>
        <v/>
      </c>
      <c r="V15" s="25">
        <f>IF(Calc!$A$14="","",Calc!AC$14)</f>
        <v/>
      </c>
      <c r="W15" s="23">
        <f>IF(Calc!$A$14="","",Calc!AF$14)</f>
        <v/>
      </c>
      <c r="X15" s="23">
        <f>IF(Calc!$A$14="","",Calc!AG$14)</f>
        <v/>
      </c>
      <c r="Y15" s="23">
        <f>IF(Calc!$A$14="","",Calc!AH$14)</f>
        <v/>
      </c>
      <c r="Z15" s="21">
        <f>IF(Calc!$A$14="","",Calc!AI$14)</f>
        <v/>
      </c>
      <c r="AA15" s="20">
        <f>IF(Calc!$A$14="","",Calc!AJ$14)</f>
        <v/>
      </c>
      <c r="AB15" s="20">
        <f>IF(Calc!$A$14="","",Calc!AK$14)</f>
        <v/>
      </c>
      <c r="AC15" s="26">
        <f>IF(Calc!$A$14="","",Calc!AM$14)</f>
        <v/>
      </c>
    </row>
    <row r="16">
      <c r="A16" s="20">
        <f>IF(Calc!$A$15="","",Calc!A$15)</f>
        <v/>
      </c>
      <c r="B16" s="20">
        <f>IF(Calc!$A$15="","",Calc!B$15)</f>
        <v/>
      </c>
      <c r="C16" s="20">
        <f>IF(Calc!$A$15="","",Calc!C$15)</f>
        <v/>
      </c>
      <c r="D16" s="21">
        <f>IF(Calc!$A$15="","",Calc!D$15)</f>
        <v/>
      </c>
      <c r="E16" s="22">
        <f>IF(Calc!$A$15="","",Calc!J$15)</f>
        <v/>
      </c>
      <c r="F16" s="22">
        <f>IF(Calc!$A$15="","",Calc!L$15)</f>
        <v/>
      </c>
      <c r="G16" s="21">
        <f>IF(Calc!$A$15="","",Calc!N$15)</f>
        <v/>
      </c>
      <c r="H16" s="21">
        <f>IF(Calc!$A$15="","",Calc!O$15)</f>
        <v/>
      </c>
      <c r="I16" s="23">
        <f>IF(Calc!$A$15="","",Calc!Q$15)</f>
        <v/>
      </c>
      <c r="J16" s="23">
        <f>IF(Calc!$A$15="","",Calc!R$15)</f>
        <v/>
      </c>
      <c r="K16" s="23">
        <f>IF(Calc!$A$15="","",Calc!T$15)</f>
        <v/>
      </c>
      <c r="L16" s="23">
        <f>IF(Calc!$A$15="","",Calc!U$15)</f>
        <v/>
      </c>
      <c r="M16" s="24">
        <f>IF(Calc!$A$15="","",Calc!V$15)</f>
        <v/>
      </c>
      <c r="N16" s="20">
        <f>IF(Calc!$A$15="","",Calc!W$15)</f>
        <v/>
      </c>
      <c r="O16" s="24">
        <f>IF(Calc!$A$15="","",Calc!X$15)</f>
        <v/>
      </c>
      <c r="P16" s="23">
        <f>IF(Calc!$A$15="","",Calc!S$15)</f>
        <v/>
      </c>
      <c r="Q16" s="23">
        <f>IF(Calc!$A$15="","",Calc!Y$15)</f>
        <v/>
      </c>
      <c r="R16" s="23">
        <f>IF(Calc!$A$15="","",Calc!I$15)</f>
        <v/>
      </c>
      <c r="S16" s="23">
        <f>IF(Calc!$A$15="","",Calc!Z$15)</f>
        <v/>
      </c>
      <c r="T16" s="23">
        <f>IF(Calc!$A$15="","",Calc!AA$15)</f>
        <v/>
      </c>
      <c r="U16" s="25">
        <f>IF(Calc!$A$15="","",Calc!AB$15)</f>
        <v/>
      </c>
      <c r="V16" s="25">
        <f>IF(Calc!$A$15="","",Calc!AC$15)</f>
        <v/>
      </c>
      <c r="W16" s="23">
        <f>IF(Calc!$A$15="","",Calc!AF$15)</f>
        <v/>
      </c>
      <c r="X16" s="23">
        <f>IF(Calc!$A$15="","",Calc!AG$15)</f>
        <v/>
      </c>
      <c r="Y16" s="23">
        <f>IF(Calc!$A$15="","",Calc!AH$15)</f>
        <v/>
      </c>
      <c r="Z16" s="21">
        <f>IF(Calc!$A$15="","",Calc!AI$15)</f>
        <v/>
      </c>
      <c r="AA16" s="20">
        <f>IF(Calc!$A$15="","",Calc!AJ$15)</f>
        <v/>
      </c>
      <c r="AB16" s="20">
        <f>IF(Calc!$A$15="","",Calc!AK$15)</f>
        <v/>
      </c>
      <c r="AC16" s="26">
        <f>IF(Calc!$A$15="","",Calc!AM$15)</f>
        <v/>
      </c>
    </row>
    <row r="17">
      <c r="A17" s="20">
        <f>IF(Calc!$A$16="","",Calc!A$16)</f>
        <v/>
      </c>
      <c r="B17" s="20">
        <f>IF(Calc!$A$16="","",Calc!B$16)</f>
        <v/>
      </c>
      <c r="C17" s="20">
        <f>IF(Calc!$A$16="","",Calc!C$16)</f>
        <v/>
      </c>
      <c r="D17" s="21">
        <f>IF(Calc!$A$16="","",Calc!D$16)</f>
        <v/>
      </c>
      <c r="E17" s="22">
        <f>IF(Calc!$A$16="","",Calc!J$16)</f>
        <v/>
      </c>
      <c r="F17" s="22">
        <f>IF(Calc!$A$16="","",Calc!L$16)</f>
        <v/>
      </c>
      <c r="G17" s="21">
        <f>IF(Calc!$A$16="","",Calc!N$16)</f>
        <v/>
      </c>
      <c r="H17" s="21">
        <f>IF(Calc!$A$16="","",Calc!O$16)</f>
        <v/>
      </c>
      <c r="I17" s="23">
        <f>IF(Calc!$A$16="","",Calc!Q$16)</f>
        <v/>
      </c>
      <c r="J17" s="23">
        <f>IF(Calc!$A$16="","",Calc!R$16)</f>
        <v/>
      </c>
      <c r="K17" s="23">
        <f>IF(Calc!$A$16="","",Calc!T$16)</f>
        <v/>
      </c>
      <c r="L17" s="23">
        <f>IF(Calc!$A$16="","",Calc!U$16)</f>
        <v/>
      </c>
      <c r="M17" s="24">
        <f>IF(Calc!$A$16="","",Calc!V$16)</f>
        <v/>
      </c>
      <c r="N17" s="20">
        <f>IF(Calc!$A$16="","",Calc!W$16)</f>
        <v/>
      </c>
      <c r="O17" s="24">
        <f>IF(Calc!$A$16="","",Calc!X$16)</f>
        <v/>
      </c>
      <c r="P17" s="23">
        <f>IF(Calc!$A$16="","",Calc!S$16)</f>
        <v/>
      </c>
      <c r="Q17" s="23">
        <f>IF(Calc!$A$16="","",Calc!Y$16)</f>
        <v/>
      </c>
      <c r="R17" s="23">
        <f>IF(Calc!$A$16="","",Calc!I$16)</f>
        <v/>
      </c>
      <c r="S17" s="23">
        <f>IF(Calc!$A$16="","",Calc!Z$16)</f>
        <v/>
      </c>
      <c r="T17" s="23">
        <f>IF(Calc!$A$16="","",Calc!AA$16)</f>
        <v/>
      </c>
      <c r="U17" s="25">
        <f>IF(Calc!$A$16="","",Calc!AB$16)</f>
        <v/>
      </c>
      <c r="V17" s="25">
        <f>IF(Calc!$A$16="","",Calc!AC$16)</f>
        <v/>
      </c>
      <c r="W17" s="23">
        <f>IF(Calc!$A$16="","",Calc!AF$16)</f>
        <v/>
      </c>
      <c r="X17" s="23">
        <f>IF(Calc!$A$16="","",Calc!AG$16)</f>
        <v/>
      </c>
      <c r="Y17" s="23">
        <f>IF(Calc!$A$16="","",Calc!AH$16)</f>
        <v/>
      </c>
      <c r="Z17" s="21">
        <f>IF(Calc!$A$16="","",Calc!AI$16)</f>
        <v/>
      </c>
      <c r="AA17" s="20">
        <f>IF(Calc!$A$16="","",Calc!AJ$16)</f>
        <v/>
      </c>
      <c r="AB17" s="20">
        <f>IF(Calc!$A$16="","",Calc!AK$16)</f>
        <v/>
      </c>
      <c r="AC17" s="26">
        <f>IF(Calc!$A$16="","",Calc!AM$16)</f>
        <v/>
      </c>
    </row>
    <row r="18">
      <c r="A18" s="20">
        <f>IF(Calc!$A$17="","",Calc!A$17)</f>
        <v/>
      </c>
      <c r="B18" s="20">
        <f>IF(Calc!$A$17="","",Calc!B$17)</f>
        <v/>
      </c>
      <c r="C18" s="20">
        <f>IF(Calc!$A$17="","",Calc!C$17)</f>
        <v/>
      </c>
      <c r="D18" s="21">
        <f>IF(Calc!$A$17="","",Calc!D$17)</f>
        <v/>
      </c>
      <c r="E18" s="22">
        <f>IF(Calc!$A$17="","",Calc!J$17)</f>
        <v/>
      </c>
      <c r="F18" s="22">
        <f>IF(Calc!$A$17="","",Calc!L$17)</f>
        <v/>
      </c>
      <c r="G18" s="21">
        <f>IF(Calc!$A$17="","",Calc!N$17)</f>
        <v/>
      </c>
      <c r="H18" s="21">
        <f>IF(Calc!$A$17="","",Calc!O$17)</f>
        <v/>
      </c>
      <c r="I18" s="23">
        <f>IF(Calc!$A$17="","",Calc!Q$17)</f>
        <v/>
      </c>
      <c r="J18" s="23">
        <f>IF(Calc!$A$17="","",Calc!R$17)</f>
        <v/>
      </c>
      <c r="K18" s="23">
        <f>IF(Calc!$A$17="","",Calc!T$17)</f>
        <v/>
      </c>
      <c r="L18" s="23">
        <f>IF(Calc!$A$17="","",Calc!U$17)</f>
        <v/>
      </c>
      <c r="M18" s="24">
        <f>IF(Calc!$A$17="","",Calc!V$17)</f>
        <v/>
      </c>
      <c r="N18" s="20">
        <f>IF(Calc!$A$17="","",Calc!W$17)</f>
        <v/>
      </c>
      <c r="O18" s="24">
        <f>IF(Calc!$A$17="","",Calc!X$17)</f>
        <v/>
      </c>
      <c r="P18" s="23">
        <f>IF(Calc!$A$17="","",Calc!S$17)</f>
        <v/>
      </c>
      <c r="Q18" s="23">
        <f>IF(Calc!$A$17="","",Calc!Y$17)</f>
        <v/>
      </c>
      <c r="R18" s="23">
        <f>IF(Calc!$A$17="","",Calc!I$17)</f>
        <v/>
      </c>
      <c r="S18" s="23">
        <f>IF(Calc!$A$17="","",Calc!Z$17)</f>
        <v/>
      </c>
      <c r="T18" s="23">
        <f>IF(Calc!$A$17="","",Calc!AA$17)</f>
        <v/>
      </c>
      <c r="U18" s="25">
        <f>IF(Calc!$A$17="","",Calc!AB$17)</f>
        <v/>
      </c>
      <c r="V18" s="25">
        <f>IF(Calc!$A$17="","",Calc!AC$17)</f>
        <v/>
      </c>
      <c r="W18" s="23">
        <f>IF(Calc!$A$17="","",Calc!AF$17)</f>
        <v/>
      </c>
      <c r="X18" s="23">
        <f>IF(Calc!$A$17="","",Calc!AG$17)</f>
        <v/>
      </c>
      <c r="Y18" s="23">
        <f>IF(Calc!$A$17="","",Calc!AH$17)</f>
        <v/>
      </c>
      <c r="Z18" s="21">
        <f>IF(Calc!$A$17="","",Calc!AI$17)</f>
        <v/>
      </c>
      <c r="AA18" s="20">
        <f>IF(Calc!$A$17="","",Calc!AJ$17)</f>
        <v/>
      </c>
      <c r="AB18" s="20">
        <f>IF(Calc!$A$17="","",Calc!AK$17)</f>
        <v/>
      </c>
      <c r="AC18" s="26">
        <f>IF(Calc!$A$17="","",Calc!AM$17)</f>
        <v/>
      </c>
    </row>
    <row r="19">
      <c r="A19" s="20">
        <f>IF(Calc!$A$18="","",Calc!A$18)</f>
        <v/>
      </c>
      <c r="B19" s="20">
        <f>IF(Calc!$A$18="","",Calc!B$18)</f>
        <v/>
      </c>
      <c r="C19" s="20">
        <f>IF(Calc!$A$18="","",Calc!C$18)</f>
        <v/>
      </c>
      <c r="D19" s="21">
        <f>IF(Calc!$A$18="","",Calc!D$18)</f>
        <v/>
      </c>
      <c r="E19" s="22">
        <f>IF(Calc!$A$18="","",Calc!J$18)</f>
        <v/>
      </c>
      <c r="F19" s="22">
        <f>IF(Calc!$A$18="","",Calc!L$18)</f>
        <v/>
      </c>
      <c r="G19" s="21">
        <f>IF(Calc!$A$18="","",Calc!N$18)</f>
        <v/>
      </c>
      <c r="H19" s="21">
        <f>IF(Calc!$A$18="","",Calc!O$18)</f>
        <v/>
      </c>
      <c r="I19" s="23">
        <f>IF(Calc!$A$18="","",Calc!Q$18)</f>
        <v/>
      </c>
      <c r="J19" s="23">
        <f>IF(Calc!$A$18="","",Calc!R$18)</f>
        <v/>
      </c>
      <c r="K19" s="23">
        <f>IF(Calc!$A$18="","",Calc!T$18)</f>
        <v/>
      </c>
      <c r="L19" s="23">
        <f>IF(Calc!$A$18="","",Calc!U$18)</f>
        <v/>
      </c>
      <c r="M19" s="24">
        <f>IF(Calc!$A$18="","",Calc!V$18)</f>
        <v/>
      </c>
      <c r="N19" s="20">
        <f>IF(Calc!$A$18="","",Calc!W$18)</f>
        <v/>
      </c>
      <c r="O19" s="24">
        <f>IF(Calc!$A$18="","",Calc!X$18)</f>
        <v/>
      </c>
      <c r="P19" s="23">
        <f>IF(Calc!$A$18="","",Calc!S$18)</f>
        <v/>
      </c>
      <c r="Q19" s="23">
        <f>IF(Calc!$A$18="","",Calc!Y$18)</f>
        <v/>
      </c>
      <c r="R19" s="23">
        <f>IF(Calc!$A$18="","",Calc!I$18)</f>
        <v/>
      </c>
      <c r="S19" s="23">
        <f>IF(Calc!$A$18="","",Calc!Z$18)</f>
        <v/>
      </c>
      <c r="T19" s="23">
        <f>IF(Calc!$A$18="","",Calc!AA$18)</f>
        <v/>
      </c>
      <c r="U19" s="25">
        <f>IF(Calc!$A$18="","",Calc!AB$18)</f>
        <v/>
      </c>
      <c r="V19" s="25">
        <f>IF(Calc!$A$18="","",Calc!AC$18)</f>
        <v/>
      </c>
      <c r="W19" s="23">
        <f>IF(Calc!$A$18="","",Calc!AF$18)</f>
        <v/>
      </c>
      <c r="X19" s="23">
        <f>IF(Calc!$A$18="","",Calc!AG$18)</f>
        <v/>
      </c>
      <c r="Y19" s="23">
        <f>IF(Calc!$A$18="","",Calc!AH$18)</f>
        <v/>
      </c>
      <c r="Z19" s="21">
        <f>IF(Calc!$A$18="","",Calc!AI$18)</f>
        <v/>
      </c>
      <c r="AA19" s="20">
        <f>IF(Calc!$A$18="","",Calc!AJ$18)</f>
        <v/>
      </c>
      <c r="AB19" s="20">
        <f>IF(Calc!$A$18="","",Calc!AK$18)</f>
        <v/>
      </c>
      <c r="AC19" s="26">
        <f>IF(Calc!$A$18="","",Calc!AM$18)</f>
        <v/>
      </c>
    </row>
    <row r="20">
      <c r="A20" s="20">
        <f>IF(Calc!$A$19="","",Calc!A$19)</f>
        <v/>
      </c>
      <c r="B20" s="20">
        <f>IF(Calc!$A$19="","",Calc!B$19)</f>
        <v/>
      </c>
      <c r="C20" s="20">
        <f>IF(Calc!$A$19="","",Calc!C$19)</f>
        <v/>
      </c>
      <c r="D20" s="21">
        <f>IF(Calc!$A$19="","",Calc!D$19)</f>
        <v/>
      </c>
      <c r="E20" s="22">
        <f>IF(Calc!$A$19="","",Calc!J$19)</f>
        <v/>
      </c>
      <c r="F20" s="22">
        <f>IF(Calc!$A$19="","",Calc!L$19)</f>
        <v/>
      </c>
      <c r="G20" s="21">
        <f>IF(Calc!$A$19="","",Calc!N$19)</f>
        <v/>
      </c>
      <c r="H20" s="21">
        <f>IF(Calc!$A$19="","",Calc!O$19)</f>
        <v/>
      </c>
      <c r="I20" s="23">
        <f>IF(Calc!$A$19="","",Calc!Q$19)</f>
        <v/>
      </c>
      <c r="J20" s="23">
        <f>IF(Calc!$A$19="","",Calc!R$19)</f>
        <v/>
      </c>
      <c r="K20" s="23">
        <f>IF(Calc!$A$19="","",Calc!T$19)</f>
        <v/>
      </c>
      <c r="L20" s="23">
        <f>IF(Calc!$A$19="","",Calc!U$19)</f>
        <v/>
      </c>
      <c r="M20" s="24">
        <f>IF(Calc!$A$19="","",Calc!V$19)</f>
        <v/>
      </c>
      <c r="N20" s="20">
        <f>IF(Calc!$A$19="","",Calc!W$19)</f>
        <v/>
      </c>
      <c r="O20" s="24">
        <f>IF(Calc!$A$19="","",Calc!X$19)</f>
        <v/>
      </c>
      <c r="P20" s="23">
        <f>IF(Calc!$A$19="","",Calc!S$19)</f>
        <v/>
      </c>
      <c r="Q20" s="23">
        <f>IF(Calc!$A$19="","",Calc!Y$19)</f>
        <v/>
      </c>
      <c r="R20" s="23">
        <f>IF(Calc!$A$19="","",Calc!I$19)</f>
        <v/>
      </c>
      <c r="S20" s="23">
        <f>IF(Calc!$A$19="","",Calc!Z$19)</f>
        <v/>
      </c>
      <c r="T20" s="23">
        <f>IF(Calc!$A$19="","",Calc!AA$19)</f>
        <v/>
      </c>
      <c r="U20" s="25">
        <f>IF(Calc!$A$19="","",Calc!AB$19)</f>
        <v/>
      </c>
      <c r="V20" s="25">
        <f>IF(Calc!$A$19="","",Calc!AC$19)</f>
        <v/>
      </c>
      <c r="W20" s="23">
        <f>IF(Calc!$A$19="","",Calc!AF$19)</f>
        <v/>
      </c>
      <c r="X20" s="23">
        <f>IF(Calc!$A$19="","",Calc!AG$19)</f>
        <v/>
      </c>
      <c r="Y20" s="23">
        <f>IF(Calc!$A$19="","",Calc!AH$19)</f>
        <v/>
      </c>
      <c r="Z20" s="21">
        <f>IF(Calc!$A$19="","",Calc!AI$19)</f>
        <v/>
      </c>
      <c r="AA20" s="20">
        <f>IF(Calc!$A$19="","",Calc!AJ$19)</f>
        <v/>
      </c>
      <c r="AB20" s="20">
        <f>IF(Calc!$A$19="","",Calc!AK$19)</f>
        <v/>
      </c>
      <c r="AC20" s="26">
        <f>IF(Calc!$A$19="","",Calc!AM$19)</f>
        <v/>
      </c>
    </row>
    <row r="21">
      <c r="A21" s="20">
        <f>IF(Calc!$A$20="","",Calc!A$20)</f>
        <v/>
      </c>
      <c r="B21" s="20">
        <f>IF(Calc!$A$20="","",Calc!B$20)</f>
        <v/>
      </c>
      <c r="C21" s="20">
        <f>IF(Calc!$A$20="","",Calc!C$20)</f>
        <v/>
      </c>
      <c r="D21" s="21">
        <f>IF(Calc!$A$20="","",Calc!D$20)</f>
        <v/>
      </c>
      <c r="E21" s="22">
        <f>IF(Calc!$A$20="","",Calc!J$20)</f>
        <v/>
      </c>
      <c r="F21" s="22">
        <f>IF(Calc!$A$20="","",Calc!L$20)</f>
        <v/>
      </c>
      <c r="G21" s="21">
        <f>IF(Calc!$A$20="","",Calc!N$20)</f>
        <v/>
      </c>
      <c r="H21" s="21">
        <f>IF(Calc!$A$20="","",Calc!O$20)</f>
        <v/>
      </c>
      <c r="I21" s="23">
        <f>IF(Calc!$A$20="","",Calc!Q$20)</f>
        <v/>
      </c>
      <c r="J21" s="23">
        <f>IF(Calc!$A$20="","",Calc!R$20)</f>
        <v/>
      </c>
      <c r="K21" s="23">
        <f>IF(Calc!$A$20="","",Calc!T$20)</f>
        <v/>
      </c>
      <c r="L21" s="23">
        <f>IF(Calc!$A$20="","",Calc!U$20)</f>
        <v/>
      </c>
      <c r="M21" s="24">
        <f>IF(Calc!$A$20="","",Calc!V$20)</f>
        <v/>
      </c>
      <c r="N21" s="20">
        <f>IF(Calc!$A$20="","",Calc!W$20)</f>
        <v/>
      </c>
      <c r="O21" s="24">
        <f>IF(Calc!$A$20="","",Calc!X$20)</f>
        <v/>
      </c>
      <c r="P21" s="23">
        <f>IF(Calc!$A$20="","",Calc!S$20)</f>
        <v/>
      </c>
      <c r="Q21" s="23">
        <f>IF(Calc!$A$20="","",Calc!Y$20)</f>
        <v/>
      </c>
      <c r="R21" s="23">
        <f>IF(Calc!$A$20="","",Calc!I$20)</f>
        <v/>
      </c>
      <c r="S21" s="23">
        <f>IF(Calc!$A$20="","",Calc!Z$20)</f>
        <v/>
      </c>
      <c r="T21" s="23">
        <f>IF(Calc!$A$20="","",Calc!AA$20)</f>
        <v/>
      </c>
      <c r="U21" s="25">
        <f>IF(Calc!$A$20="","",Calc!AB$20)</f>
        <v/>
      </c>
      <c r="V21" s="25">
        <f>IF(Calc!$A$20="","",Calc!AC$20)</f>
        <v/>
      </c>
      <c r="W21" s="23">
        <f>IF(Calc!$A$20="","",Calc!AF$20)</f>
        <v/>
      </c>
      <c r="X21" s="23">
        <f>IF(Calc!$A$20="","",Calc!AG$20)</f>
        <v/>
      </c>
      <c r="Y21" s="23">
        <f>IF(Calc!$A$20="","",Calc!AH$20)</f>
        <v/>
      </c>
      <c r="Z21" s="21">
        <f>IF(Calc!$A$20="","",Calc!AI$20)</f>
        <v/>
      </c>
      <c r="AA21" s="20">
        <f>IF(Calc!$A$20="","",Calc!AJ$20)</f>
        <v/>
      </c>
      <c r="AB21" s="20">
        <f>IF(Calc!$A$20="","",Calc!AK$20)</f>
        <v/>
      </c>
      <c r="AC21" s="26">
        <f>IF(Calc!$A$20="","",Calc!AM$20)</f>
        <v/>
      </c>
    </row>
    <row r="22">
      <c r="A22" s="20">
        <f>IF(Calc!$A$21="","",Calc!A$21)</f>
        <v/>
      </c>
      <c r="B22" s="20">
        <f>IF(Calc!$A$21="","",Calc!B$21)</f>
        <v/>
      </c>
      <c r="C22" s="20">
        <f>IF(Calc!$A$21="","",Calc!C$21)</f>
        <v/>
      </c>
      <c r="D22" s="21">
        <f>IF(Calc!$A$21="","",Calc!D$21)</f>
        <v/>
      </c>
      <c r="E22" s="22">
        <f>IF(Calc!$A$21="","",Calc!J$21)</f>
        <v/>
      </c>
      <c r="F22" s="22">
        <f>IF(Calc!$A$21="","",Calc!L$21)</f>
        <v/>
      </c>
      <c r="G22" s="21">
        <f>IF(Calc!$A$21="","",Calc!N$21)</f>
        <v/>
      </c>
      <c r="H22" s="21">
        <f>IF(Calc!$A$21="","",Calc!O$21)</f>
        <v/>
      </c>
      <c r="I22" s="23">
        <f>IF(Calc!$A$21="","",Calc!Q$21)</f>
        <v/>
      </c>
      <c r="J22" s="23">
        <f>IF(Calc!$A$21="","",Calc!R$21)</f>
        <v/>
      </c>
      <c r="K22" s="23">
        <f>IF(Calc!$A$21="","",Calc!T$21)</f>
        <v/>
      </c>
      <c r="L22" s="23">
        <f>IF(Calc!$A$21="","",Calc!U$21)</f>
        <v/>
      </c>
      <c r="M22" s="24">
        <f>IF(Calc!$A$21="","",Calc!V$21)</f>
        <v/>
      </c>
      <c r="N22" s="20">
        <f>IF(Calc!$A$21="","",Calc!W$21)</f>
        <v/>
      </c>
      <c r="O22" s="24">
        <f>IF(Calc!$A$21="","",Calc!X$21)</f>
        <v/>
      </c>
      <c r="P22" s="23">
        <f>IF(Calc!$A$21="","",Calc!S$21)</f>
        <v/>
      </c>
      <c r="Q22" s="23">
        <f>IF(Calc!$A$21="","",Calc!Y$21)</f>
        <v/>
      </c>
      <c r="R22" s="23">
        <f>IF(Calc!$A$21="","",Calc!I$21)</f>
        <v/>
      </c>
      <c r="S22" s="23">
        <f>IF(Calc!$A$21="","",Calc!Z$21)</f>
        <v/>
      </c>
      <c r="T22" s="23">
        <f>IF(Calc!$A$21="","",Calc!AA$21)</f>
        <v/>
      </c>
      <c r="U22" s="25">
        <f>IF(Calc!$A$21="","",Calc!AB$21)</f>
        <v/>
      </c>
      <c r="V22" s="25">
        <f>IF(Calc!$A$21="","",Calc!AC$21)</f>
        <v/>
      </c>
      <c r="W22" s="23">
        <f>IF(Calc!$A$21="","",Calc!AF$21)</f>
        <v/>
      </c>
      <c r="X22" s="23">
        <f>IF(Calc!$A$21="","",Calc!AG$21)</f>
        <v/>
      </c>
      <c r="Y22" s="23">
        <f>IF(Calc!$A$21="","",Calc!AH$21)</f>
        <v/>
      </c>
      <c r="Z22" s="21">
        <f>IF(Calc!$A$21="","",Calc!AI$21)</f>
        <v/>
      </c>
      <c r="AA22" s="20">
        <f>IF(Calc!$A$21="","",Calc!AJ$21)</f>
        <v/>
      </c>
      <c r="AB22" s="20">
        <f>IF(Calc!$A$21="","",Calc!AK$21)</f>
        <v/>
      </c>
      <c r="AC22" s="26">
        <f>IF(Calc!$A$21="","",Calc!AM$21)</f>
        <v/>
      </c>
    </row>
    <row r="24">
      <c r="A24" s="27" t="inlineStr">
        <is>
          <t>加速度(pp) ＝ 最新季 QoQ − 上一季 QoQ。QoQ ＝ 本季營收 ÷ 上一季營收 − 1（季度成長率）。正值代表這一季的成長速度比上一季快。</t>
        </is>
      </c>
    </row>
    <row r="25">
      <c r="A25" s="27" t="inlineStr">
        <is>
          <t>ROE 顯示 N/M 代表股東權益為負（大量庫藏股或累積虧損），此時 ROE 沒有比較意義。殖利率顯示「不配息」代表該檔近四季沒有配息紀錄。</t>
        </is>
      </c>
    </row>
    <row r="26">
      <c r="A26" s="27" t="inlineStr">
        <is>
          <t>資料來源：yfinance / yahooquery / Alpha Vantage / SEC EDGAR</t>
        </is>
      </c>
    </row>
  </sheetData>
  <autoFilter ref="A2:AC22"/>
  <mergeCells count="7">
    <mergeCell ref="A1:D1"/>
    <mergeCell ref="W1:Y1"/>
    <mergeCell ref="K1:R1"/>
    <mergeCell ref="E1:H1"/>
    <mergeCell ref="Z1:AC1"/>
    <mergeCell ref="I1:J1"/>
    <mergeCell ref="S1:V1"/>
  </mergeCells>
  <conditionalFormatting sqref="O3:O22">
    <cfRule type="colorScale" priority="1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M3:M22">
    <cfRule type="colorScale" priority="2">
      <colorScale>
        <cfvo type="num" val="-30"/>
        <cfvo type="num" val="0"/>
        <cfvo type="num" val="30"/>
        <color rgb="00F8696B"/>
        <color rgb="00FFFFFF"/>
        <color rgb="0063BE7B"/>
      </colorScale>
    </cfRule>
  </conditionalFormatting>
  <conditionalFormatting sqref="V3:V22">
    <cfRule type="colorScale" priority="3">
      <colorScale>
        <cfvo type="num" val="-200"/>
        <cfvo type="num" val="0"/>
        <cfvo type="num" val="200"/>
        <color rgb="00F8696B"/>
        <color rgb="00FFFFFF"/>
        <color rgb="0063BE7B"/>
      </colorScale>
    </cfRule>
  </conditionalFormatting>
  <conditionalFormatting sqref="U3:U22">
    <cfRule type="colorScale" priority="4">
      <colorScale>
        <cfvo type="num" val="-200"/>
        <cfvo type="num" val="0"/>
        <cfvo type="num" val="200"/>
        <color rgb="00F8696B"/>
        <color rgb="00FFFFFF"/>
        <color rgb="0063BE7B"/>
      </colorScale>
    </cfRule>
  </conditionalFormatting>
  <conditionalFormatting sqref="K3:K22">
    <cfRule type="colorScale" priority="5">
      <colorScale>
        <cfvo type="min"/>
        <cfvo type="max"/>
        <color rgb="00FFFFFF"/>
        <color rgb="0063BE7B"/>
      </colorScale>
    </cfRule>
  </conditionalFormatting>
  <conditionalFormatting sqref="P3:P22">
    <cfRule type="colorScale" priority="6">
      <colorScale>
        <cfvo type="min"/>
        <cfvo type="max"/>
        <color rgb="00FFFFFF"/>
        <color rgb="0063BE7B"/>
      </colorScale>
    </cfRule>
  </conditionalFormatting>
  <conditionalFormatting sqref="I3:I22">
    <cfRule type="colorScale" priority="7">
      <colorScale>
        <cfvo type="min"/>
        <cfvo type="max"/>
        <color rgb="00FFFFFF"/>
        <color rgb="0063BE7B"/>
      </colorScale>
    </cfRule>
  </conditionalFormatting>
  <conditionalFormatting sqref="W3:W22">
    <cfRule type="colorScale" priority="8">
      <colorScale>
        <cfvo type="min"/>
        <cfvo type="max"/>
        <color rgb="00FFFFFF"/>
        <color rgb="0063BE7B"/>
      </colorScale>
    </cfRule>
    <cfRule type="cellIs" priority="15" operator="equal" dxfId="0">
      <formula>"N/M"</formula>
    </cfRule>
  </conditionalFormatting>
  <conditionalFormatting sqref="G3:G22">
    <cfRule type="cellIs" priority="9" operator="lessThan" dxfId="1">
      <formula>1.5</formula>
    </cfRule>
  </conditionalFormatting>
  <conditionalFormatting sqref="H3:H22">
    <cfRule type="cellIs" priority="10" operator="lessThan" dxfId="1">
      <formula>1.5</formula>
    </cfRule>
  </conditionalFormatting>
  <conditionalFormatting sqref="N3:N22">
    <cfRule type="cellIs" priority="11" operator="equal" dxfId="1">
      <formula>"成長且加速"</formula>
    </cfRule>
    <cfRule type="cellIs" priority="12" operator="equal" dxfId="2">
      <formula>"成長但減速"</formula>
    </cfRule>
    <cfRule type="cellIs" priority="13" operator="equal" dxfId="2">
      <formula>"衰退但收斂"</formula>
    </cfRule>
    <cfRule type="cellIs" priority="14" operator="equal" dxfId="3">
      <formula>"衰退且惡化"</formula>
    </cfRule>
  </conditionalFormatting>
  <conditionalFormatting sqref="A3:AC22">
    <cfRule type="expression" priority="16" dxfId="4">
      <formula>$C3="池子"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" customWidth="1" min="3" max="3"/>
    <col width="18" customWidth="1" min="4" max="4"/>
    <col width="12" customWidth="1" min="5" max="5"/>
    <col width="3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hidden="1" width="13" customWidth="1" min="26" max="26"/>
  </cols>
  <sheetData>
    <row r="1">
      <c r="A1" s="1" t="inlineStr">
        <is>
          <t>個股卡</t>
        </is>
      </c>
      <c r="Z1">
        <f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>
      <c r="A2" s="28" t="inlineStr">
        <is>
          <t>選擇股票 →</t>
        </is>
      </c>
      <c r="B2" s="29" t="inlineStr">
        <is>
          <t>AAPL</t>
        </is>
      </c>
      <c r="D2" s="30">
        <f>IF($B$2="","",IFERROR(INDEX(Calc!$B$2:$B$100,MATCH($B$2,Calc!$A$2:$A$100,0)),""))</f>
        <v/>
      </c>
      <c r="G2" s="31">
        <f>IF($B$2="","",IFERROR(INDEX(Calc!$C$2:$C$100,MATCH($B$2,Calc!$A$2:$A$100,0)),""))</f>
        <v/>
      </c>
    </row>
    <row r="3">
      <c r="C3" s="27" t="inlineStr">
        <is>
          <t>← 這個下拉同時驅動「年度檢視」與「季度檢視」兩頁</t>
        </is>
      </c>
    </row>
    <row r="4">
      <c r="A4" s="32" t="inlineStr">
        <is>
          <t>股價</t>
        </is>
      </c>
      <c r="B4" s="33">
        <f>IF($B$2="","",IFERROR(INDEX(Calc!$D$2:$D$100,MATCH($B$2,Calc!$A$2:$A$100,0)),""))</f>
        <v/>
      </c>
      <c r="D4" s="32" t="inlineStr">
        <is>
          <t>分析師家數</t>
        </is>
      </c>
      <c r="E4" s="34">
        <f>IF($B$2="","",IFERROR(INDEX(Calc!$AL$2:$AL$100,MATCH($B$2,Calc!$A$2:$A$100,0)),""))</f>
        <v/>
      </c>
      <c r="G4" s="32" t="inlineStr">
        <is>
          <t>下次財報日</t>
        </is>
      </c>
      <c r="H4" s="35">
        <f>IF($B$2="","",IFERROR(INDEX(Calc!$AM$2:$AM$100,MATCH($B$2,Calc!$A$2:$A$100,0)),""))</f>
        <v/>
      </c>
      <c r="I4" s="32" t="inlineStr">
        <is>
          <t>資料日期</t>
        </is>
      </c>
      <c r="J4" s="35">
        <f>IF($B$2="","",IFERROR(INDEX(Calc!$AN$2:$AN$100,MATCH($B$2,Calc!$A$2:$A$100,0)),""))</f>
        <v/>
      </c>
    </row>
    <row r="6">
      <c r="A6" s="36" t="inlineStr">
        <is>
          <t>估值 · 殖利率</t>
        </is>
      </c>
      <c r="D6" s="36" t="inlineStr">
        <is>
          <t>成長</t>
        </is>
      </c>
      <c r="G6" s="36" t="inlineStr">
        <is>
          <t>毛利率 · ROE</t>
        </is>
      </c>
    </row>
    <row r="7">
      <c r="A7" s="2" t="inlineStr">
        <is>
          <t>PE_TTM</t>
        </is>
      </c>
      <c r="B7" s="37">
        <f>IF($B$2="","",IFERROR(INDEX(Calc!$J$2:$J$100,MATCH($B$2,Calc!$A$2:$A$100,0)),""))</f>
        <v/>
      </c>
      <c r="D7" s="2" t="inlineStr">
        <is>
          <t>營收QoQ 最新季</t>
        </is>
      </c>
      <c r="E7" s="38">
        <f>IF($B$2="","",IFERROR(INDEX(Calc!$T$2:$T$100,MATCH($B$2,Calc!$A$2:$A$100,0)),""))</f>
        <v/>
      </c>
      <c r="G7" s="2" t="inlineStr">
        <is>
          <t>毛利率_TTM</t>
        </is>
      </c>
      <c r="H7" s="38">
        <f>IF($B$2="","",IFERROR(INDEX(Calc!$Z$2:$Z$100,MATCH($B$2,Calc!$A$2:$A$100,0)),""))</f>
        <v/>
      </c>
    </row>
    <row r="8">
      <c r="A8" s="2" t="inlineStr">
        <is>
          <t>PE Forward</t>
        </is>
      </c>
      <c r="B8" s="37">
        <f>IF($B$2="","",IFERROR(INDEX(Calc!$L$2:$L$100,MATCH($B$2,Calc!$A$2:$A$100,0)),""))</f>
        <v/>
      </c>
      <c r="D8" s="2" t="inlineStr">
        <is>
          <t xml:space="preserve">  上一季 QoQ</t>
        </is>
      </c>
      <c r="E8" s="38">
        <f>IF($B$2="","",IFERROR(INDEX(Calc!$U$2:$U$100,MATCH($B$2,Calc!$A$2:$A$100,0)),""))</f>
        <v/>
      </c>
      <c r="G8" s="2" t="inlineStr">
        <is>
          <t xml:space="preserve">  5 年平均</t>
        </is>
      </c>
      <c r="H8" s="38">
        <f>IF($B$2="","",IFERROR(INDEX(Calc!$AA$2:$AA$100,MATCH($B$2,Calc!$A$2:$A$100,0)),""))</f>
        <v/>
      </c>
    </row>
    <row r="9">
      <c r="A9" s="2" t="inlineStr">
        <is>
          <t>PEG_T</t>
        </is>
      </c>
      <c r="B9" s="39">
        <f>IF($B$2="","",IFERROR(INDEX(Calc!$N$2:$N$100,MATCH($B$2,Calc!$A$2:$A$100,0)),""))</f>
        <v/>
      </c>
      <c r="D9" s="2" t="inlineStr">
        <is>
          <t xml:space="preserve">  加速度 (pp)</t>
        </is>
      </c>
      <c r="E9" s="40">
        <f>IF($B$2="","",IFERROR(INDEX(Calc!$V$2:$V$100,MATCH($B$2,Calc!$A$2:$A$100,0)),""))</f>
        <v/>
      </c>
      <c r="G9" s="2" t="inlineStr">
        <is>
          <t xml:space="preserve">  差距 (bps)</t>
        </is>
      </c>
      <c r="H9" s="41">
        <f>IF($B$2="","",IFERROR(INDEX(Calc!$AB$2:$AB$100,MATCH($B$2,Calc!$A$2:$A$100,0)),""))</f>
        <v/>
      </c>
    </row>
    <row r="10">
      <c r="A10" s="2" t="inlineStr">
        <is>
          <t>PEG_F</t>
        </is>
      </c>
      <c r="B10" s="39">
        <f>IF($B$2="","",IFERROR(INDEX(Calc!$O$2:$O$100,MATCH($B$2,Calc!$A$2:$A$100,0)),""))</f>
        <v/>
      </c>
      <c r="D10" s="2" t="inlineStr">
        <is>
          <t xml:space="preserve">  動能判讀</t>
        </is>
      </c>
      <c r="E10" s="42">
        <f>IF($B$2="","",IFERROR(INDEX(Calc!$W$2:$W$100,MATCH($B$2,Calc!$A$2:$A$100,0)),""))</f>
        <v/>
      </c>
      <c r="G10" s="2" t="inlineStr">
        <is>
          <t xml:space="preserve">  ΔGM_YoY (bps)</t>
        </is>
      </c>
      <c r="H10" s="41">
        <f>IF($B$2="","",IFERROR(INDEX(Calc!$AC$2:$AC$100,MATCH($B$2,Calc!$A$2:$A$100,0)),""))</f>
        <v/>
      </c>
    </row>
    <row r="11">
      <c r="A11" s="2" t="inlineStr">
        <is>
          <t>EPS_TTM (Adj)</t>
        </is>
      </c>
      <c r="B11" s="39">
        <f>IF($B$2="","",IFERROR(INDEX(Calc!$F$2:$F$100,MATCH($B$2,Calc!$A$2:$A$100,0)),""))</f>
        <v/>
      </c>
      <c r="D11" s="2" t="inlineStr">
        <is>
          <t xml:space="preserve">  同期加速度 (pp)</t>
        </is>
      </c>
      <c r="E11" s="40">
        <f>IF($B$2="","",IFERROR(INDEX(Calc!$X$2:$X$100,MATCH($B$2,Calc!$A$2:$A$100,0)),""))</f>
        <v/>
      </c>
      <c r="G11" s="2" t="inlineStr">
        <is>
          <t>ROE_TTM</t>
        </is>
      </c>
      <c r="H11" s="38">
        <f>IF($B$2="","",IFERROR(INDEX(Calc!$AF$2:$AF$100,MATCH($B$2,Calc!$A$2:$A$100,0)),""))</f>
        <v/>
      </c>
    </row>
    <row r="12">
      <c r="A12" s="2" t="inlineStr">
        <is>
          <t>EPS Forward</t>
        </is>
      </c>
      <c r="B12" s="39">
        <f>IF($B$2="","",IFERROR(INDEX(Calc!$H$2:$H$100,MATCH($B$2,Calc!$A$2:$A$100,0)),""))</f>
        <v/>
      </c>
      <c r="D12" s="2" t="inlineStr">
        <is>
          <t>營收YoY 最新季</t>
        </is>
      </c>
      <c r="E12" s="38">
        <f>IF($B$2="","",IFERROR(INDEX(Calc!$S$2:$S$100,MATCH($B$2,Calc!$A$2:$A$100,0)),""))</f>
        <v/>
      </c>
      <c r="G12" s="2" t="inlineStr">
        <is>
          <t xml:space="preserve">  5 年平均</t>
        </is>
      </c>
      <c r="H12" s="38">
        <f>IF($B$2="","",IFERROR(INDEX(Calc!$AG$2:$AG$100,MATCH($B$2,Calc!$A$2:$A$100,0)),""))</f>
        <v/>
      </c>
    </row>
    <row r="13">
      <c r="A13" s="2" t="inlineStr">
        <is>
          <t>殖利率</t>
        </is>
      </c>
      <c r="B13" s="38">
        <f>IF($B$2="","",IFERROR(INDEX(Calc!$Q$2:$Q$100,MATCH($B$2,Calc!$A$2:$A$100,0)),""))</f>
        <v/>
      </c>
      <c r="D13" s="2" t="inlineStr">
        <is>
          <t>EPS_YoY 最新季</t>
        </is>
      </c>
      <c r="E13" s="38">
        <f>IF($B$2="","",IFERROR(INDEX(Calc!$Y$2:$Y$100,MATCH($B$2,Calc!$A$2:$A$100,0)),""))</f>
        <v/>
      </c>
      <c r="G13" s="2" t="inlineStr">
        <is>
          <t>ROE Forward</t>
        </is>
      </c>
      <c r="H13" s="38">
        <f>IF($B$2="","",IFERROR(INDEX(Calc!$AH$2:$AH$100,MATCH($B$2,Calc!$A$2:$A$100,0)),""))</f>
        <v/>
      </c>
    </row>
    <row r="14">
      <c r="A14" s="2" t="inlineStr">
        <is>
          <t>每股配息 TTM</t>
        </is>
      </c>
      <c r="B14" s="39">
        <f>IF($B$2="","",IFERROR(INDEX(Calc!$P$2:$P$100,MATCH($B$2,Calc!$A$2:$A$100,0)),""))</f>
        <v/>
      </c>
      <c r="D14" s="2" t="inlineStr">
        <is>
          <t>EPS成長_F (F1→F2)</t>
        </is>
      </c>
      <c r="E14" s="38">
        <f>IF($B$2="","",IFERROR(INDEX(Calc!$M$2:$M$100,MATCH($B$2,Calc!$A$2:$A$100,0)),""))</f>
        <v/>
      </c>
      <c r="G14" s="2" t="inlineStr">
        <is>
          <t>每股淨值</t>
        </is>
      </c>
      <c r="H14" s="39">
        <f>IF($B$2="","",IFERROR(INDEX(Calc!$AD$2:$AD$100,MATCH($B$2,Calc!$A$2:$A$100,0)),""))</f>
        <v/>
      </c>
    </row>
    <row r="15">
      <c r="D15" s="2" t="inlineStr">
        <is>
          <t>當季EPS預估</t>
        </is>
      </c>
      <c r="E15" s="39">
        <f>IF($B$2="","",IFERROR(INDEX(Calc!$AI$2:$AI$100,MATCH($B$2,Calc!$A$2:$A$100,0)),""))</f>
        <v/>
      </c>
    </row>
    <row r="16">
      <c r="A16" s="4" t="inlineStr">
        <is>
          <t>旗標</t>
        </is>
      </c>
      <c r="B16" s="43">
        <f>IF($B$2="","",IF(LEN($Z$1)=0,"✓ 目前沒有觸發任何旗標",$Z$1))</f>
        <v/>
      </c>
    </row>
  </sheetData>
  <mergeCells count="5">
    <mergeCell ref="D2:F2"/>
    <mergeCell ref="D6:E6"/>
    <mergeCell ref="B16:L16"/>
    <mergeCell ref="G6:H6"/>
    <mergeCell ref="A6:B6"/>
  </mergeCells>
  <dataValidations count="1">
    <dataValidation sqref="B2" showDropDown="0" showInputMessage="0" showErrorMessage="0" allowBlank="0" type="list">
      <formula1>=Tickers!$A$2:$A$100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13" customWidth="1" min="3" max="3"/>
    <col width="10" customWidth="1" min="4" max="4"/>
    <col width="10" customWidth="1" min="5" max="5"/>
    <col width="13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9" customWidth="1" min="13" max="13"/>
    <col width="9" customWidth="1" min="14" max="14"/>
    <col hidden="1" width="13" customWidth="1" min="26" max="26"/>
  </cols>
  <sheetData>
    <row r="1">
      <c r="A1" s="1" t="inlineStr">
        <is>
          <t>年度檢視  ·  近六財年逐年指標</t>
        </is>
      </c>
      <c r="Z1">
        <f>IF(Stock_Card!$B$2="","",IFERROR(SUMIFS(Raw_Q!$C$2:$C$600,Raw_Q!$A$2:$A$600,Stock_Card!$B$2,Raw_Q!$P$2:$P$600,0),""))</f>
        <v/>
      </c>
    </row>
    <row r="2">
      <c r="A2" s="44" t="inlineStr">
        <is>
          <t>股票</t>
        </is>
      </c>
      <c r="B2" s="45">
        <f>Stock_Card!$B$2</f>
        <v/>
      </c>
      <c r="C2" s="27" t="inlineStr">
        <is>
          <t>← 在 Stock_Card 換股票，這一頁與「季度檢視」同步。每一列＝一個完整財年，全部由 Raw_Q 的季度資料 rollup 而來。</t>
        </is>
      </c>
    </row>
    <row r="4" ht="32" customHeight="1">
      <c r="A4" s="19" t="inlineStr">
        <is>
          <t>財年</t>
        </is>
      </c>
      <c r="B4" s="19" t="inlineStr">
        <is>
          <t>實際季數</t>
        </is>
      </c>
      <c r="C4" s="19" t="inlineStr">
        <is>
          <t>營收($M)</t>
        </is>
      </c>
      <c r="D4" s="19" t="inlineStr">
        <is>
          <t>營收YoY</t>
        </is>
      </c>
      <c r="E4" s="19" t="inlineStr">
        <is>
          <t>毛利率</t>
        </is>
      </c>
      <c r="F4" s="19" t="inlineStr">
        <is>
          <t>毛利率變化(bps)</t>
        </is>
      </c>
      <c r="G4" s="19" t="inlineStr">
        <is>
          <t>EPS(Adj)</t>
        </is>
      </c>
      <c r="H4" s="19" t="inlineStr">
        <is>
          <t>EPS YoY</t>
        </is>
      </c>
      <c r="I4" s="19" t="inlineStr">
        <is>
          <t>ROE</t>
        </is>
      </c>
      <c r="J4" s="19" t="inlineStr">
        <is>
          <t>每股配息</t>
        </is>
      </c>
      <c r="K4" s="19" t="inlineStr">
        <is>
          <t>年末股價</t>
        </is>
      </c>
      <c r="L4" s="19" t="inlineStr">
        <is>
          <t>殖利率</t>
        </is>
      </c>
      <c r="M4" s="19" t="inlineStr">
        <is>
          <t>PE</t>
        </is>
      </c>
      <c r="N4" s="19" t="inlineStr">
        <is>
          <t>PEG_T</t>
        </is>
      </c>
    </row>
    <row r="5">
      <c r="A5" s="46">
        <f>IF(Stock_Card!$B$2="","",IFERROR($Z$1-5,""))</f>
        <v/>
      </c>
      <c r="B5" s="47">
        <f>IF(Stock_Card!$B$2="","",COUNTIFS(Raw_Q!$A$2:$A$600,Stock_Card!$B$2,Raw_Q!$C$2:$C$600,$A5,Raw_Q!$F$2:$F$600,"N"))</f>
        <v/>
      </c>
      <c r="C5" s="48">
        <f>IF($B5&gt;=4,SUMIFS(Raw_Q!$I$2:$I$600,Raw_Q!$A$2:$A$600,Stock_Card!$B$2,Raw_Q!$C$2:$C$600,$A5,Raw_Q!$F$2:$F$600,"N"),"")</f>
        <v/>
      </c>
      <c r="D5" s="49">
        <f>IFERROR(IF(AND(ISNUMBER(C5),ISNUMBER(C4)),C5/C4-1,""),"")</f>
        <v/>
      </c>
      <c r="E5" s="49">
        <f>IF($B5&gt;=4,IFERROR(SUMIFS(Raw_Q!$J$2:$J$600,Raw_Q!$A$2:$A$600,Stock_Card!$B$2,Raw_Q!$C$2:$C$600,$A5,Raw_Q!$F$2:$F$600,"N")/C5,""),"")</f>
        <v/>
      </c>
      <c r="F5" s="50">
        <f>IFERROR(IF(AND(ISNUMBER(E5),ISNUMBER(E4)),(E5-E4)*10000,""),"")</f>
        <v/>
      </c>
      <c r="G5" s="51">
        <f>IF($B5&gt;=4,SUMIFS(Raw_Q!$K$2:$K$600,Raw_Q!$A$2:$A$600,Stock_Card!$B$2,Raw_Q!$C$2:$C$600,$A5,Raw_Q!$F$2:$F$600,"N"),"")</f>
        <v/>
      </c>
      <c r="H5" s="49">
        <f>IFERROR(IF(AND(ISNUMBER(G5),ISNUMBER(G4)),G5/G4-1,""),"")</f>
        <v/>
      </c>
      <c r="I5" s="49">
        <f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/>
      </c>
      <c r="J5" s="51">
        <f>IF($B5&gt;=4,SUMIFS(Raw_Q!$N$2:$N$600,Raw_Q!$A$2:$A$600,Stock_Card!$B$2,Raw_Q!$C$2:$C$600,$A5,Raw_Q!$F$2:$F$600,"N"),"")</f>
        <v/>
      </c>
      <c r="K5" s="51">
        <f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/>
      </c>
      <c r="L5" s="49">
        <f>IFERROR(IF(OR(NOT(ISNUMBER(K5)),NOT(ISNUMBER(J5)),J5=0),"",J5/K5),"")</f>
        <v/>
      </c>
      <c r="M5" s="52">
        <f>IFERROR(IF(OR(NOT(ISNUMBER(K5)),NOT(ISNUMBER(G5)),G5&lt;=0),"",K5/G5),"")</f>
        <v/>
      </c>
      <c r="N5" s="51">
        <f>IFERROR(IF(OR(NOT(ISNUMBER(M5)),NOT(ISNUMBER(H5))),"",IF(H5&lt;Config!$B$6,"N/M",M5/(H5*100))),"")</f>
        <v/>
      </c>
    </row>
    <row r="6">
      <c r="A6" s="46">
        <f>IF(Stock_Card!$B$2="","",IFERROR($Z$1-4,""))</f>
        <v/>
      </c>
      <c r="B6" s="47">
        <f>IF(Stock_Card!$B$2="","",COUNTIFS(Raw_Q!$A$2:$A$600,Stock_Card!$B$2,Raw_Q!$C$2:$C$600,$A6,Raw_Q!$F$2:$F$600,"N"))</f>
        <v/>
      </c>
      <c r="C6" s="48">
        <f>IF($B6&gt;=4,SUMIFS(Raw_Q!$I$2:$I$600,Raw_Q!$A$2:$A$600,Stock_Card!$B$2,Raw_Q!$C$2:$C$600,$A6,Raw_Q!$F$2:$F$600,"N"),"")</f>
        <v/>
      </c>
      <c r="D6" s="49">
        <f>IFERROR(IF(AND(ISNUMBER(C6),ISNUMBER(C5)),C6/C5-1,""),"")</f>
        <v/>
      </c>
      <c r="E6" s="49">
        <f>IF($B6&gt;=4,IFERROR(SUMIFS(Raw_Q!$J$2:$J$600,Raw_Q!$A$2:$A$600,Stock_Card!$B$2,Raw_Q!$C$2:$C$600,$A6,Raw_Q!$F$2:$F$600,"N")/C6,""),"")</f>
        <v/>
      </c>
      <c r="F6" s="50">
        <f>IFERROR(IF(AND(ISNUMBER(E6),ISNUMBER(E5)),(E6-E5)*10000,""),"")</f>
        <v/>
      </c>
      <c r="G6" s="51">
        <f>IF($B6&gt;=4,SUMIFS(Raw_Q!$K$2:$K$600,Raw_Q!$A$2:$A$600,Stock_Card!$B$2,Raw_Q!$C$2:$C$600,$A6,Raw_Q!$F$2:$F$600,"N"),"")</f>
        <v/>
      </c>
      <c r="H6" s="49">
        <f>IFERROR(IF(AND(ISNUMBER(G6),ISNUMBER(G5)),G6/G5-1,""),"")</f>
        <v/>
      </c>
      <c r="I6" s="49">
        <f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/>
      </c>
      <c r="J6" s="51">
        <f>IF($B6&gt;=4,SUMIFS(Raw_Q!$N$2:$N$600,Raw_Q!$A$2:$A$600,Stock_Card!$B$2,Raw_Q!$C$2:$C$600,$A6,Raw_Q!$F$2:$F$600,"N"),"")</f>
        <v/>
      </c>
      <c r="K6" s="51">
        <f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/>
      </c>
      <c r="L6" s="49">
        <f>IFERROR(IF(OR(NOT(ISNUMBER(K6)),NOT(ISNUMBER(J6)),J6=0),"",J6/K6),"")</f>
        <v/>
      </c>
      <c r="M6" s="52">
        <f>IFERROR(IF(OR(NOT(ISNUMBER(K6)),NOT(ISNUMBER(G6)),G6&lt;=0),"",K6/G6),"")</f>
        <v/>
      </c>
      <c r="N6" s="51">
        <f>IFERROR(IF(OR(NOT(ISNUMBER(M6)),NOT(ISNUMBER(H6))),"",IF(H6&lt;Config!$B$6,"N/M",M6/(H6*100))),"")</f>
        <v/>
      </c>
    </row>
    <row r="7">
      <c r="A7" s="46">
        <f>IF(Stock_Card!$B$2="","",IFERROR($Z$1-3,""))</f>
        <v/>
      </c>
      <c r="B7" s="47">
        <f>IF(Stock_Card!$B$2="","",COUNTIFS(Raw_Q!$A$2:$A$600,Stock_Card!$B$2,Raw_Q!$C$2:$C$600,$A7,Raw_Q!$F$2:$F$600,"N"))</f>
        <v/>
      </c>
      <c r="C7" s="48">
        <f>IF($B7&gt;=4,SUMIFS(Raw_Q!$I$2:$I$600,Raw_Q!$A$2:$A$600,Stock_Card!$B$2,Raw_Q!$C$2:$C$600,$A7,Raw_Q!$F$2:$F$600,"N"),"")</f>
        <v/>
      </c>
      <c r="D7" s="49">
        <f>IFERROR(IF(AND(ISNUMBER(C7),ISNUMBER(C6)),C7/C6-1,""),"")</f>
        <v/>
      </c>
      <c r="E7" s="49">
        <f>IF($B7&gt;=4,IFERROR(SUMIFS(Raw_Q!$J$2:$J$600,Raw_Q!$A$2:$A$600,Stock_Card!$B$2,Raw_Q!$C$2:$C$600,$A7,Raw_Q!$F$2:$F$600,"N")/C7,""),"")</f>
        <v/>
      </c>
      <c r="F7" s="50">
        <f>IFERROR(IF(AND(ISNUMBER(E7),ISNUMBER(E6)),(E7-E6)*10000,""),"")</f>
        <v/>
      </c>
      <c r="G7" s="51">
        <f>IF($B7&gt;=4,SUMIFS(Raw_Q!$K$2:$K$600,Raw_Q!$A$2:$A$600,Stock_Card!$B$2,Raw_Q!$C$2:$C$600,$A7,Raw_Q!$F$2:$F$600,"N"),"")</f>
        <v/>
      </c>
      <c r="H7" s="49">
        <f>IFERROR(IF(AND(ISNUMBER(G7),ISNUMBER(G6)),G7/G6-1,""),"")</f>
        <v/>
      </c>
      <c r="I7" s="49">
        <f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/>
      </c>
      <c r="J7" s="51">
        <f>IF($B7&gt;=4,SUMIFS(Raw_Q!$N$2:$N$600,Raw_Q!$A$2:$A$600,Stock_Card!$B$2,Raw_Q!$C$2:$C$600,$A7,Raw_Q!$F$2:$F$600,"N"),"")</f>
        <v/>
      </c>
      <c r="K7" s="51">
        <f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/>
      </c>
      <c r="L7" s="49">
        <f>IFERROR(IF(OR(NOT(ISNUMBER(K7)),NOT(ISNUMBER(J7)),J7=0),"",J7/K7),"")</f>
        <v/>
      </c>
      <c r="M7" s="52">
        <f>IFERROR(IF(OR(NOT(ISNUMBER(K7)),NOT(ISNUMBER(G7)),G7&lt;=0),"",K7/G7),"")</f>
        <v/>
      </c>
      <c r="N7" s="51">
        <f>IFERROR(IF(OR(NOT(ISNUMBER(M7)),NOT(ISNUMBER(H7))),"",IF(H7&lt;Config!$B$6,"N/M",M7/(H7*100))),"")</f>
        <v/>
      </c>
    </row>
    <row r="8">
      <c r="A8" s="46">
        <f>IF(Stock_Card!$B$2="","",IFERROR($Z$1-2,""))</f>
        <v/>
      </c>
      <c r="B8" s="47">
        <f>IF(Stock_Card!$B$2="","",COUNTIFS(Raw_Q!$A$2:$A$600,Stock_Card!$B$2,Raw_Q!$C$2:$C$600,$A8,Raw_Q!$F$2:$F$600,"N"))</f>
        <v/>
      </c>
      <c r="C8" s="48">
        <f>IF($B8&gt;=4,SUMIFS(Raw_Q!$I$2:$I$600,Raw_Q!$A$2:$A$600,Stock_Card!$B$2,Raw_Q!$C$2:$C$600,$A8,Raw_Q!$F$2:$F$600,"N"),"")</f>
        <v/>
      </c>
      <c r="D8" s="49">
        <f>IFERROR(IF(AND(ISNUMBER(C8),ISNUMBER(C7)),C8/C7-1,""),"")</f>
        <v/>
      </c>
      <c r="E8" s="49">
        <f>IF($B8&gt;=4,IFERROR(SUMIFS(Raw_Q!$J$2:$J$600,Raw_Q!$A$2:$A$600,Stock_Card!$B$2,Raw_Q!$C$2:$C$600,$A8,Raw_Q!$F$2:$F$600,"N")/C8,""),"")</f>
        <v/>
      </c>
      <c r="F8" s="50">
        <f>IFERROR(IF(AND(ISNUMBER(E8),ISNUMBER(E7)),(E8-E7)*10000,""),"")</f>
        <v/>
      </c>
      <c r="G8" s="51">
        <f>IF($B8&gt;=4,SUMIFS(Raw_Q!$K$2:$K$600,Raw_Q!$A$2:$A$600,Stock_Card!$B$2,Raw_Q!$C$2:$C$600,$A8,Raw_Q!$F$2:$F$600,"N"),"")</f>
        <v/>
      </c>
      <c r="H8" s="49">
        <f>IFERROR(IF(AND(ISNUMBER(G8),ISNUMBER(G7)),G8/G7-1,""),"")</f>
        <v/>
      </c>
      <c r="I8" s="49">
        <f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/>
      </c>
      <c r="J8" s="51">
        <f>IF($B8&gt;=4,SUMIFS(Raw_Q!$N$2:$N$600,Raw_Q!$A$2:$A$600,Stock_Card!$B$2,Raw_Q!$C$2:$C$600,$A8,Raw_Q!$F$2:$F$600,"N"),"")</f>
        <v/>
      </c>
      <c r="K8" s="51">
        <f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/>
      </c>
      <c r="L8" s="49">
        <f>IFERROR(IF(OR(NOT(ISNUMBER(K8)),NOT(ISNUMBER(J8)),J8=0),"",J8/K8),"")</f>
        <v/>
      </c>
      <c r="M8" s="52">
        <f>IFERROR(IF(OR(NOT(ISNUMBER(K8)),NOT(ISNUMBER(G8)),G8&lt;=0),"",K8/G8),"")</f>
        <v/>
      </c>
      <c r="N8" s="51">
        <f>IFERROR(IF(OR(NOT(ISNUMBER(M8)),NOT(ISNUMBER(H8))),"",IF(H8&lt;Config!$B$6,"N/M",M8/(H8*100))),"")</f>
        <v/>
      </c>
    </row>
    <row r="9">
      <c r="A9" s="46">
        <f>IF(Stock_Card!$B$2="","",IFERROR($Z$1-1,""))</f>
        <v/>
      </c>
      <c r="B9" s="47">
        <f>IF(Stock_Card!$B$2="","",COUNTIFS(Raw_Q!$A$2:$A$600,Stock_Card!$B$2,Raw_Q!$C$2:$C$600,$A9,Raw_Q!$F$2:$F$600,"N"))</f>
        <v/>
      </c>
      <c r="C9" s="48">
        <f>IF($B9&gt;=4,SUMIFS(Raw_Q!$I$2:$I$600,Raw_Q!$A$2:$A$600,Stock_Card!$B$2,Raw_Q!$C$2:$C$600,$A9,Raw_Q!$F$2:$F$600,"N"),"")</f>
        <v/>
      </c>
      <c r="D9" s="49">
        <f>IFERROR(IF(AND(ISNUMBER(C9),ISNUMBER(C8)),C9/C8-1,""),"")</f>
        <v/>
      </c>
      <c r="E9" s="49">
        <f>IF($B9&gt;=4,IFERROR(SUMIFS(Raw_Q!$J$2:$J$600,Raw_Q!$A$2:$A$600,Stock_Card!$B$2,Raw_Q!$C$2:$C$600,$A9,Raw_Q!$F$2:$F$600,"N")/C9,""),"")</f>
        <v/>
      </c>
      <c r="F9" s="50">
        <f>IFERROR(IF(AND(ISNUMBER(E9),ISNUMBER(E8)),(E9-E8)*10000,""),"")</f>
        <v/>
      </c>
      <c r="G9" s="51">
        <f>IF($B9&gt;=4,SUMIFS(Raw_Q!$K$2:$K$600,Raw_Q!$A$2:$A$600,Stock_Card!$B$2,Raw_Q!$C$2:$C$600,$A9,Raw_Q!$F$2:$F$600,"N"),"")</f>
        <v/>
      </c>
      <c r="H9" s="49">
        <f>IFERROR(IF(AND(ISNUMBER(G9),ISNUMBER(G8)),G9/G8-1,""),"")</f>
        <v/>
      </c>
      <c r="I9" s="49">
        <f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/>
      </c>
      <c r="J9" s="51">
        <f>IF($B9&gt;=4,SUMIFS(Raw_Q!$N$2:$N$600,Raw_Q!$A$2:$A$600,Stock_Card!$B$2,Raw_Q!$C$2:$C$600,$A9,Raw_Q!$F$2:$F$600,"N"),"")</f>
        <v/>
      </c>
      <c r="K9" s="51">
        <f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/>
      </c>
      <c r="L9" s="49">
        <f>IFERROR(IF(OR(NOT(ISNUMBER(K9)),NOT(ISNUMBER(J9)),J9=0),"",J9/K9),"")</f>
        <v/>
      </c>
      <c r="M9" s="52">
        <f>IFERROR(IF(OR(NOT(ISNUMBER(K9)),NOT(ISNUMBER(G9)),G9&lt;=0),"",K9/G9),"")</f>
        <v/>
      </c>
      <c r="N9" s="51">
        <f>IFERROR(IF(OR(NOT(ISNUMBER(M9)),NOT(ISNUMBER(H9))),"",IF(H9&lt;Config!$B$6,"N/M",M9/(H9*100))),"")</f>
        <v/>
      </c>
    </row>
    <row r="10">
      <c r="A10" s="46">
        <f>IF(Stock_Card!$B$2="","",IFERROR($Z$1-0,""))</f>
        <v/>
      </c>
      <c r="B10" s="47">
        <f>IF(Stock_Card!$B$2="","",COUNTIFS(Raw_Q!$A$2:$A$600,Stock_Card!$B$2,Raw_Q!$C$2:$C$600,$A10,Raw_Q!$F$2:$F$600,"N"))</f>
        <v/>
      </c>
      <c r="C10" s="48">
        <f>IF($B10&gt;=4,SUMIFS(Raw_Q!$I$2:$I$600,Raw_Q!$A$2:$A$600,Stock_Card!$B$2,Raw_Q!$C$2:$C$600,$A10,Raw_Q!$F$2:$F$600,"N"),"")</f>
        <v/>
      </c>
      <c r="D10" s="49">
        <f>IFERROR(IF(AND(ISNUMBER(C10),ISNUMBER(C9)),C10/C9-1,""),"")</f>
        <v/>
      </c>
      <c r="E10" s="49">
        <f>IF($B10&gt;=4,IFERROR(SUMIFS(Raw_Q!$J$2:$J$600,Raw_Q!$A$2:$A$600,Stock_Card!$B$2,Raw_Q!$C$2:$C$600,$A10,Raw_Q!$F$2:$F$600,"N")/C10,""),"")</f>
        <v/>
      </c>
      <c r="F10" s="50">
        <f>IFERROR(IF(AND(ISNUMBER(E10),ISNUMBER(E9)),(E10-E9)*10000,""),"")</f>
        <v/>
      </c>
      <c r="G10" s="51">
        <f>IF($B10&gt;=4,SUMIFS(Raw_Q!$K$2:$K$600,Raw_Q!$A$2:$A$600,Stock_Card!$B$2,Raw_Q!$C$2:$C$600,$A10,Raw_Q!$F$2:$F$600,"N"),"")</f>
        <v/>
      </c>
      <c r="H10" s="49">
        <f>IFERROR(IF(AND(ISNUMBER(G10),ISNUMBER(G9)),G10/G9-1,""),"")</f>
        <v/>
      </c>
      <c r="I10" s="49">
        <f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>
        <f>IF($B10&gt;=4,SUMIFS(Raw_Q!$N$2:$N$600,Raw_Q!$A$2:$A$600,Stock_Card!$B$2,Raw_Q!$C$2:$C$600,$A10,Raw_Q!$F$2:$F$600,"N"),"")</f>
        <v/>
      </c>
      <c r="K10" s="51">
        <f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>
        <f>IFERROR(IF(OR(NOT(ISNUMBER(K10)),NOT(ISNUMBER(J10)),J10=0),"",J10/K10),"")</f>
        <v/>
      </c>
      <c r="M10" s="52">
        <f>IFERROR(IF(OR(NOT(ISNUMBER(K10)),NOT(ISNUMBER(G10)),G10&lt;=0),"",K10/G10),"")</f>
        <v/>
      </c>
      <c r="N10" s="51">
        <f>IFERROR(IF(OR(NOT(ISNUMBER(M10)),NOT(ISNUMBER(H10))),"",IF(H10&lt;Config!$B$6,"N/M",M10/(H10*100))),"")</f>
        <v/>
      </c>
    </row>
    <row r="11">
      <c r="A11" s="27" t="inlineStr">
        <is>
          <t>↓ 以下兩列是「現況」，不是年度值。F 欄在 TTM 列是「最新毛利率 − 5 年平均」。</t>
        </is>
      </c>
    </row>
    <row r="12">
      <c r="A12" s="53" t="inlineStr">
        <is>
          <t>TTM / 最新季</t>
        </is>
      </c>
      <c r="B12" s="54" t="n"/>
      <c r="C12" s="55">
        <f>IF(Stock_Card!$B$2="","",IFERROR(INDEX(Calc!$E$2:$E$100,MATCH(Stock_Card!$B$2,Calc!$A$2:$A$100,0)),""))</f>
        <v/>
      </c>
      <c r="D12" s="56">
        <f>IF(Stock_Card!$B$2="","",IFERROR(INDEX(Calc!$S$2:$S$100,MATCH(Stock_Card!$B$2,Calc!$A$2:$A$100,0)),""))</f>
        <v/>
      </c>
      <c r="E12" s="56">
        <f>IF(Stock_Card!$B$2="","",IFERROR(INDEX(Calc!$Z$2:$Z$100,MATCH(Stock_Card!$B$2,Calc!$A$2:$A$100,0)),""))</f>
        <v/>
      </c>
      <c r="F12" s="57">
        <f>IF(Stock_Card!$B$2="","",IFERROR(INDEX(Calc!$AB$2:$AB$100,MATCH(Stock_Card!$B$2,Calc!$A$2:$A$100,0)),""))</f>
        <v/>
      </c>
      <c r="G12" s="58">
        <f>IF(Stock_Card!$B$2="","",IFERROR(INDEX(Calc!$F$2:$F$100,MATCH(Stock_Card!$B$2,Calc!$A$2:$A$100,0)),""))</f>
        <v/>
      </c>
      <c r="H12" s="56">
        <f>IF(Stock_Card!$B$2="","",IFERROR(INDEX(Calc!$I$2:$I$100,MATCH(Stock_Card!$B$2,Calc!$A$2:$A$100,0)),""))</f>
        <v/>
      </c>
      <c r="I12" s="56">
        <f>IF(Stock_Card!$B$2="","",IFERROR(INDEX(Calc!$AF$2:$AF$100,MATCH(Stock_Card!$B$2,Calc!$A$2:$A$100,0)),""))</f>
        <v/>
      </c>
      <c r="J12" s="58">
        <f>IF(Stock_Card!$B$2="","",IFERROR(INDEX(Calc!$P$2:$P$100,MATCH(Stock_Card!$B$2,Calc!$A$2:$A$100,0)),""))</f>
        <v/>
      </c>
      <c r="K12" s="58">
        <f>IF(Stock_Card!$B$2="","",IFERROR(INDEX(Calc!$D$2:$D$100,MATCH(Stock_Card!$B$2,Calc!$A$2:$A$100,0)),""))</f>
        <v/>
      </c>
      <c r="L12" s="56">
        <f>IF(Stock_Card!$B$2="","",IFERROR(INDEX(Calc!$Q$2:$Q$100,MATCH(Stock_Card!$B$2,Calc!$A$2:$A$100,0)),""))</f>
        <v/>
      </c>
      <c r="M12" s="59">
        <f>IF(Stock_Card!$B$2="","",IFERROR(INDEX(Calc!$J$2:$J$100,MATCH(Stock_Card!$B$2,Calc!$A$2:$A$100,0)),""))</f>
        <v/>
      </c>
      <c r="N12" s="58">
        <f>IF(Stock_Card!$B$2="","",IFERROR(INDEX(Calc!$N$2:$N$100,MATCH(Stock_Card!$B$2,Calc!$A$2:$A$100,0)),""))</f>
        <v/>
      </c>
    </row>
    <row r="13">
      <c r="A13" s="53" t="inlineStr">
        <is>
          <t>Forward（分析師共識）</t>
        </is>
      </c>
      <c r="B13" s="54" t="n"/>
      <c r="C13" s="54" t="n"/>
      <c r="D13" s="54" t="n"/>
      <c r="E13" s="54" t="n"/>
      <c r="F13" s="54" t="n"/>
      <c r="G13" s="58">
        <f>IF(Stock_Card!$B$2="","",IFERROR(INDEX(Calc!$H$2:$H$100,MATCH(Stock_Card!$B$2,Calc!$A$2:$A$100,0)),""))</f>
        <v/>
      </c>
      <c r="H13" s="56">
        <f>IF(Stock_Card!$B$2="","",IFERROR(INDEX(Calc!$M$2:$M$100,MATCH(Stock_Card!$B$2,Calc!$A$2:$A$100,0)),""))</f>
        <v/>
      </c>
      <c r="I13" s="56">
        <f>IF(Stock_Card!$B$2="","",IFERROR(INDEX(Calc!$AH$2:$AH$100,MATCH(Stock_Card!$B$2,Calc!$A$2:$A$100,0)),""))</f>
        <v/>
      </c>
      <c r="J13" s="54" t="n"/>
      <c r="K13" s="54" t="n"/>
      <c r="L13" s="54" t="n"/>
      <c r="M13" s="59">
        <f>IF(Stock_Card!$B$2="","",IFERROR(INDEX(Calc!$L$2:$L$100,MATCH(Stock_Card!$B$2,Calc!$A$2:$A$100,0)),""))</f>
        <v/>
      </c>
      <c r="N13" s="58">
        <f>IF(Stock_Card!$B$2="","",IFERROR(INDEX(Calc!$O$2:$O$100,MATCH(Stock_Card!$B$2,Calc!$A$2:$A$100,0)),""))</f>
        <v/>
      </c>
    </row>
    <row r="15">
      <c r="A15" s="4" t="inlineStr">
        <is>
          <t>近五年摘要</t>
        </is>
      </c>
    </row>
    <row r="16">
      <c r="A16" s="2" t="inlineStr">
        <is>
          <t>5 年平均毛利率</t>
        </is>
      </c>
      <c r="C16" s="60">
        <f>IF(Stock_Card!$B$2="","",IFERROR(AVERAGE(E5:E9),""))</f>
        <v/>
      </c>
      <c r="D16" s="27" t="inlineStr">
        <is>
          <t>五個完整財年的算術平均</t>
        </is>
      </c>
    </row>
    <row r="17">
      <c r="A17" s="2" t="inlineStr">
        <is>
          <t>最新毛利率 − 5 年平均 (bps)</t>
        </is>
      </c>
      <c r="C17" s="61">
        <f>IF(Stock_Card!$B$2="","",IFERROR((E12-AVERAGE(E5:E9))*10000,""))</f>
        <v/>
      </c>
      <c r="D17" s="27" t="inlineStr">
        <is>
          <t>正值＝目前毛利率高於五年常態</t>
        </is>
      </c>
    </row>
    <row r="18">
      <c r="A18" s="2" t="inlineStr">
        <is>
          <t>5 年平均 ROE</t>
        </is>
      </c>
      <c r="C18" s="60">
        <f>IF(Stock_Card!$B$2="","",IFERROR(AVERAGE(I5:I9),""))</f>
        <v/>
      </c>
      <c r="D18" s="27" t="inlineStr">
        <is>
          <t>N/M 的年度會被自動略過</t>
        </is>
      </c>
    </row>
    <row r="19">
      <c r="A19" s="2" t="inlineStr">
        <is>
          <t>5 年平均殖利率</t>
        </is>
      </c>
      <c r="C19" s="60">
        <f>IF(Stock_Card!$B$2="","",IFERROR(AVERAGE(L5:L9),""))</f>
        <v/>
      </c>
      <c r="D19" s="27" t="inlineStr">
        <is>
          <t>以各財年年末股價計算</t>
        </is>
      </c>
    </row>
    <row r="22">
      <c r="A22" s="27" t="inlineStr">
        <is>
          <t>PE 與殖利率都用「該財年年末股價」計算，不是用今天的股價除歷史數字——後者沒有估值意義。這需要 Raw_Q 的 price_at_end 欄。</t>
        </is>
      </c>
    </row>
    <row r="23">
      <c r="A23" s="27" t="inlineStr">
        <is>
          <t>PEG_T ＝ 當年 PE ÷ 當年 EPS 成長率，是「市場當時為已實現成長付了多少」；PEG_F ＝ 前瞻 PE ÷ 預估成長率，才是估值指標。兩者不要混著解讀。</t>
        </is>
      </c>
    </row>
    <row r="24">
      <c r="A24" s="27" t="inlineStr">
        <is>
          <t>年度層刻意不放加速度——加速度是季度層的訊號（這一季有沒有比上一季快），放在年度層會遲鈍到失去意義。</t>
        </is>
      </c>
    </row>
  </sheetData>
  <mergeCells count="10">
    <mergeCell ref="D19:I19"/>
    <mergeCell ref="A16:B16"/>
    <mergeCell ref="A19:B19"/>
    <mergeCell ref="D18:I18"/>
    <mergeCell ref="D17:I17"/>
    <mergeCell ref="A13:B13"/>
    <mergeCell ref="A17:B17"/>
    <mergeCell ref="A18:B18"/>
    <mergeCell ref="D16:I16"/>
    <mergeCell ref="A12:B12"/>
  </mergeCells>
  <conditionalFormatting sqref="F5:F10">
    <cfRule type="colorScale" priority="1">
      <colorScale>
        <cfvo type="num" val="-200"/>
        <cfvo type="num" val="0"/>
        <cfvo type="num" val="200"/>
        <color rgb="00F8696B"/>
        <color rgb="00FFFFFF"/>
        <color rgb="0063BE7B"/>
      </colorScale>
    </cfRule>
  </conditionalFormatting>
  <conditionalFormatting sqref="D5:D10">
    <cfRule type="colorScale" priority="2">
      <colorScale>
        <cfvo type="min"/>
        <cfvo type="max"/>
        <color rgb="00FFFFFF"/>
        <color rgb="0063BE7B"/>
      </colorScale>
    </cfRule>
  </conditionalFormatting>
  <conditionalFormatting sqref="L5:L10">
    <cfRule type="colorScale" priority="3">
      <colorScale>
        <cfvo type="min"/>
        <cfvo type="max"/>
        <color rgb="00FFFFFF"/>
        <color rgb="0063BE7B"/>
      </colorScale>
    </cfRule>
  </conditionalFormatting>
  <conditionalFormatting sqref="M5:M10">
    <cfRule type="colorScale" priority="4">
      <colorScale>
        <cfvo type="min"/>
        <cfvo type="max"/>
        <color rgb="0063BE7B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1" customWidth="1" min="5" max="5"/>
    <col width="11" customWidth="1" min="6" max="6"/>
    <col width="13" customWidth="1" min="7" max="7"/>
    <col width="13" customWidth="1" min="8" max="8"/>
    <col width="10" customWidth="1" min="9" max="9"/>
    <col width="10" customWidth="1" min="10" max="10"/>
    <col width="12" customWidth="1" min="11" max="11"/>
    <col width="10" customWidth="1" min="12" max="12"/>
    <col width="10" customWidth="1" min="13" max="13"/>
    <col width="10" customWidth="1" min="14" max="14"/>
    <col width="9" customWidth="1" min="15" max="15"/>
    <col hidden="1" width="13" customWidth="1" min="26" max="26"/>
  </cols>
  <sheetData>
    <row r="1">
      <c r="A1" s="1" t="inlineStr">
        <is>
          <t>季度檢視  ·  近 12 季 + 當季預估</t>
        </is>
      </c>
      <c r="Z1">
        <f>IF(Stock_Card!$B$2="","",IFERROR(SUMIFS(Raw_Q!$C$2:$C$600,Raw_Q!$A$2:$A$600,Stock_Card!$B$2,Raw_Q!$P$2:$P$600,0),""))</f>
        <v/>
      </c>
    </row>
    <row r="2">
      <c r="A2" s="44" t="inlineStr">
        <is>
          <t>股票</t>
        </is>
      </c>
      <c r="B2" s="45">
        <f>Stock_Card!$B$2</f>
        <v/>
      </c>
      <c r="C2" s="27" t="inlineStr">
        <is>
          <t>← 與 Stock_Card / 年度檢視 同步。每一列＝一個財季。加速度只做在這一層。</t>
        </is>
      </c>
    </row>
    <row r="4" ht="32" customHeight="1">
      <c r="A4" s="19" t="inlineStr">
        <is>
          <t>期別</t>
        </is>
      </c>
      <c r="B4" s="19" t="inlineStr">
        <is>
          <t>期末日</t>
        </is>
      </c>
      <c r="C4" s="19" t="inlineStr">
        <is>
          <t>營收($M)</t>
        </is>
      </c>
      <c r="D4" s="19" t="inlineStr">
        <is>
          <t>營收QoQ</t>
        </is>
      </c>
      <c r="E4" s="19" t="inlineStr">
        <is>
          <t>上一季QoQ</t>
        </is>
      </c>
      <c r="F4" s="19" t="inlineStr">
        <is>
          <t>加速度(pp)</t>
        </is>
      </c>
      <c r="G4" s="19" t="inlineStr">
        <is>
          <t>動能判讀</t>
        </is>
      </c>
      <c r="H4" s="19" t="inlineStr">
        <is>
          <t>同期加速度(pp)</t>
        </is>
      </c>
      <c r="I4" s="19" t="inlineStr">
        <is>
          <t>營收YoY</t>
        </is>
      </c>
      <c r="J4" s="19" t="inlineStr">
        <is>
          <t>毛利率</t>
        </is>
      </c>
      <c r="K4" s="19" t="inlineStr">
        <is>
          <t>ΔGM_YoY(bps)</t>
        </is>
      </c>
      <c r="L4" s="19" t="inlineStr">
        <is>
          <t>EPS(Adj)</t>
        </is>
      </c>
      <c r="M4" s="19" t="inlineStr">
        <is>
          <t>EPS YoY</t>
        </is>
      </c>
      <c r="N4" s="19" t="inlineStr">
        <is>
          <t>每股配息</t>
        </is>
      </c>
      <c r="O4" s="19" t="inlineStr">
        <is>
          <t>狀態</t>
        </is>
      </c>
    </row>
    <row r="5">
      <c r="A5" s="62">
        <f>IF(Stock_Card!$B$2="","",IFERROR(INDEX(Raw_Q!$B$2:$B$600,MATCH(Stock_Card!$B$2&amp;"|"&amp;12,Raw_Q!$Q$2:$Q$600,0)),""))</f>
        <v/>
      </c>
      <c r="B5" s="63">
        <f>IF(Stock_Card!$B$2="","",IFERROR(IF(SUMIFS(Raw_Q!$E$2:$E$600,Raw_Q!$A$2:$A$600,Stock_Card!$B$2,Raw_Q!$P$2:$P$600,12)=0,"",SUMIFS(Raw_Q!$E$2:$E$600,Raw_Q!$A$2:$A$600,Stock_Card!$B$2,Raw_Q!$P$2:$P$600,12)),""))</f>
        <v/>
      </c>
      <c r="C5" s="48">
        <f>IF(Stock_Card!$B$2="","",IFERROR(SUMIFS(Raw_Q!$I$2:$I$600,Raw_Q!$A$2:$A$600,Stock_Card!$B$2,Raw_Q!$P$2:$P$600,12),""))</f>
        <v/>
      </c>
      <c r="D5" s="49">
        <f>IF(Stock_Card!$B$2="","",IFERROR((SUMIFS(Raw_Q!$I$2:$I$600,Raw_Q!$A$2:$A$600,Stock_Card!$B$2,Raw_Q!$P$2:$P$600,12)/SUMIFS(Raw_Q!$I$2:$I$600,Raw_Q!$A$2:$A$600,Stock_Card!$B$2,Raw_Q!$P$2:$P$600,13)-1),""))</f>
        <v/>
      </c>
      <c r="E5" s="49">
        <f>IF(Stock_Card!$B$2="","",IFERROR((SUMIFS(Raw_Q!$I$2:$I$600,Raw_Q!$A$2:$A$600,Stock_Card!$B$2,Raw_Q!$P$2:$P$600,13)/SUMIFS(Raw_Q!$I$2:$I$600,Raw_Q!$A$2:$A$600,Stock_Card!$B$2,Raw_Q!$P$2:$P$600,14)-1),""))</f>
        <v/>
      </c>
      <c r="F5" s="64">
        <f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/>
      </c>
      <c r="G5" s="62">
        <f>IF(Stock_Card!$B$2="","",IFERROR(IF(NOT(ISNUMBER(D5)),"",IF(D5&gt;0,IF(F5&gt;0,"成長且加速","成長但減速"),IF(F5&gt;0,"衰退但收斂","衰退且惡化"))),""))</f>
        <v/>
      </c>
      <c r="H5" s="64">
        <f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/>
      </c>
      <c r="I5" s="49">
        <f>IF(Stock_Card!$B$2="","",IFERROR((SUMIFS(Raw_Q!$I$2:$I$600,Raw_Q!$A$2:$A$600,Stock_Card!$B$2,Raw_Q!$P$2:$P$600,12)/SUMIFS(Raw_Q!$I$2:$I$600,Raw_Q!$A$2:$A$600,Stock_Card!$B$2,Raw_Q!$P$2:$P$600,16)-1),""))</f>
        <v/>
      </c>
      <c r="J5" s="49">
        <f>IF(Stock_Card!$B$2="","",IFERROR(SUMIFS(Raw_Q!$J$2:$J$600,Raw_Q!$A$2:$A$600,Stock_Card!$B$2,Raw_Q!$P$2:$P$600,12)/SUMIFS(Raw_Q!$I$2:$I$600,Raw_Q!$A$2:$A$600,Stock_Card!$B$2,Raw_Q!$P$2:$P$600,12),""))</f>
        <v/>
      </c>
      <c r="K5" s="50">
        <f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/>
      </c>
      <c r="L5" s="51">
        <f>IF(Stock_Card!$B$2="","",IFERROR(SUMIFS(Raw_Q!$K$2:$K$600,Raw_Q!$A$2:$A$600,Stock_Card!$B$2,Raw_Q!$P$2:$P$600,12),""))</f>
        <v/>
      </c>
      <c r="M5" s="49">
        <f>IF(Stock_Card!$B$2="","",IFERROR((SUMIFS(Raw_Q!$K$2:$K$600,Raw_Q!$A$2:$A$600,Stock_Card!$B$2,Raw_Q!$P$2:$P$600,12)/SUMIFS(Raw_Q!$K$2:$K$600,Raw_Q!$A$2:$A$600,Stock_Card!$B$2,Raw_Q!$P$2:$P$600,16)-1),""))</f>
        <v/>
      </c>
      <c r="N5" s="51">
        <f>IF(Stock_Card!$B$2="","",IFERROR(SUMIFS(Raw_Q!$N$2:$N$600,Raw_Q!$A$2:$A$600,Stock_Card!$B$2,Raw_Q!$P$2:$P$600,12),""))</f>
        <v/>
      </c>
      <c r="O5" s="62">
        <f>IF(Stock_Card!$B$2="","",IF(12=0,"預估","實際"))</f>
        <v/>
      </c>
    </row>
    <row r="6">
      <c r="A6" s="62">
        <f>IF(Stock_Card!$B$2="","",IFERROR(INDEX(Raw_Q!$B$2:$B$600,MATCH(Stock_Card!$B$2&amp;"|"&amp;11,Raw_Q!$Q$2:$Q$600,0)),""))</f>
        <v/>
      </c>
      <c r="B6" s="63">
        <f>IF(Stock_Card!$B$2="","",IFERROR(IF(SUMIFS(Raw_Q!$E$2:$E$600,Raw_Q!$A$2:$A$600,Stock_Card!$B$2,Raw_Q!$P$2:$P$600,11)=0,"",SUMIFS(Raw_Q!$E$2:$E$600,Raw_Q!$A$2:$A$600,Stock_Card!$B$2,Raw_Q!$P$2:$P$600,11)),""))</f>
        <v/>
      </c>
      <c r="C6" s="48">
        <f>IF(Stock_Card!$B$2="","",IFERROR(SUMIFS(Raw_Q!$I$2:$I$600,Raw_Q!$A$2:$A$600,Stock_Card!$B$2,Raw_Q!$P$2:$P$600,11),""))</f>
        <v/>
      </c>
      <c r="D6" s="49">
        <f>IF(Stock_Card!$B$2="","",IFERROR((SUMIFS(Raw_Q!$I$2:$I$600,Raw_Q!$A$2:$A$600,Stock_Card!$B$2,Raw_Q!$P$2:$P$600,11)/SUMIFS(Raw_Q!$I$2:$I$600,Raw_Q!$A$2:$A$600,Stock_Card!$B$2,Raw_Q!$P$2:$P$600,12)-1),""))</f>
        <v/>
      </c>
      <c r="E6" s="49">
        <f>IF(Stock_Card!$B$2="","",IFERROR((SUMIFS(Raw_Q!$I$2:$I$600,Raw_Q!$A$2:$A$600,Stock_Card!$B$2,Raw_Q!$P$2:$P$600,12)/SUMIFS(Raw_Q!$I$2:$I$600,Raw_Q!$A$2:$A$600,Stock_Card!$B$2,Raw_Q!$P$2:$P$600,13)-1),""))</f>
        <v/>
      </c>
      <c r="F6" s="64">
        <f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/>
      </c>
      <c r="G6" s="62">
        <f>IF(Stock_Card!$B$2="","",IFERROR(IF(NOT(ISNUMBER(D6)),"",IF(D6&gt;0,IF(F6&gt;0,"成長且加速","成長但減速"),IF(F6&gt;0,"衰退但收斂","衰退且惡化"))),""))</f>
        <v/>
      </c>
      <c r="H6" s="64">
        <f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/>
      </c>
      <c r="I6" s="49">
        <f>IF(Stock_Card!$B$2="","",IFERROR((SUMIFS(Raw_Q!$I$2:$I$600,Raw_Q!$A$2:$A$600,Stock_Card!$B$2,Raw_Q!$P$2:$P$600,11)/SUMIFS(Raw_Q!$I$2:$I$600,Raw_Q!$A$2:$A$600,Stock_Card!$B$2,Raw_Q!$P$2:$P$600,15)-1),""))</f>
        <v/>
      </c>
      <c r="J6" s="49">
        <f>IF(Stock_Card!$B$2="","",IFERROR(SUMIFS(Raw_Q!$J$2:$J$600,Raw_Q!$A$2:$A$600,Stock_Card!$B$2,Raw_Q!$P$2:$P$600,11)/SUMIFS(Raw_Q!$I$2:$I$600,Raw_Q!$A$2:$A$600,Stock_Card!$B$2,Raw_Q!$P$2:$P$600,11),""))</f>
        <v/>
      </c>
      <c r="K6" s="50">
        <f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/>
      </c>
      <c r="L6" s="51">
        <f>IF(Stock_Card!$B$2="","",IFERROR(SUMIFS(Raw_Q!$K$2:$K$600,Raw_Q!$A$2:$A$600,Stock_Card!$B$2,Raw_Q!$P$2:$P$600,11),""))</f>
        <v/>
      </c>
      <c r="M6" s="49">
        <f>IF(Stock_Card!$B$2="","",IFERROR((SUMIFS(Raw_Q!$K$2:$K$600,Raw_Q!$A$2:$A$600,Stock_Card!$B$2,Raw_Q!$P$2:$P$600,11)/SUMIFS(Raw_Q!$K$2:$K$600,Raw_Q!$A$2:$A$600,Stock_Card!$B$2,Raw_Q!$P$2:$P$600,15)-1),""))</f>
        <v/>
      </c>
      <c r="N6" s="51">
        <f>IF(Stock_Card!$B$2="","",IFERROR(SUMIFS(Raw_Q!$N$2:$N$600,Raw_Q!$A$2:$A$600,Stock_Card!$B$2,Raw_Q!$P$2:$P$600,11),""))</f>
        <v/>
      </c>
      <c r="O6" s="62">
        <f>IF(Stock_Card!$B$2="","",IF(11=0,"預估","實際"))</f>
        <v/>
      </c>
    </row>
    <row r="7">
      <c r="A7" s="62">
        <f>IF(Stock_Card!$B$2="","",IFERROR(INDEX(Raw_Q!$B$2:$B$600,MATCH(Stock_Card!$B$2&amp;"|"&amp;10,Raw_Q!$Q$2:$Q$600,0)),""))</f>
        <v/>
      </c>
      <c r="B7" s="63">
        <f>IF(Stock_Card!$B$2="","",IFERROR(IF(SUMIFS(Raw_Q!$E$2:$E$600,Raw_Q!$A$2:$A$600,Stock_Card!$B$2,Raw_Q!$P$2:$P$600,10)=0,"",SUMIFS(Raw_Q!$E$2:$E$600,Raw_Q!$A$2:$A$600,Stock_Card!$B$2,Raw_Q!$P$2:$P$600,10)),""))</f>
        <v/>
      </c>
      <c r="C7" s="48">
        <f>IF(Stock_Card!$B$2="","",IFERROR(SUMIFS(Raw_Q!$I$2:$I$600,Raw_Q!$A$2:$A$600,Stock_Card!$B$2,Raw_Q!$P$2:$P$600,10),""))</f>
        <v/>
      </c>
      <c r="D7" s="49">
        <f>IF(Stock_Card!$B$2="","",IFERROR((SUMIFS(Raw_Q!$I$2:$I$600,Raw_Q!$A$2:$A$600,Stock_Card!$B$2,Raw_Q!$P$2:$P$600,10)/SUMIFS(Raw_Q!$I$2:$I$600,Raw_Q!$A$2:$A$600,Stock_Card!$B$2,Raw_Q!$P$2:$P$600,11)-1),""))</f>
        <v/>
      </c>
      <c r="E7" s="49">
        <f>IF(Stock_Card!$B$2="","",IFERROR((SUMIFS(Raw_Q!$I$2:$I$600,Raw_Q!$A$2:$A$600,Stock_Card!$B$2,Raw_Q!$P$2:$P$600,11)/SUMIFS(Raw_Q!$I$2:$I$600,Raw_Q!$A$2:$A$600,Stock_Card!$B$2,Raw_Q!$P$2:$P$600,12)-1),""))</f>
        <v/>
      </c>
      <c r="F7" s="64">
        <f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/>
      </c>
      <c r="G7" s="62">
        <f>IF(Stock_Card!$B$2="","",IFERROR(IF(NOT(ISNUMBER(D7)),"",IF(D7&gt;0,IF(F7&gt;0,"成長且加速","成長但減速"),IF(F7&gt;0,"衰退但收斂","衰退且惡化"))),""))</f>
        <v/>
      </c>
      <c r="H7" s="64">
        <f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/>
      </c>
      <c r="I7" s="49">
        <f>IF(Stock_Card!$B$2="","",IFERROR((SUMIFS(Raw_Q!$I$2:$I$600,Raw_Q!$A$2:$A$600,Stock_Card!$B$2,Raw_Q!$P$2:$P$600,10)/SUMIFS(Raw_Q!$I$2:$I$600,Raw_Q!$A$2:$A$600,Stock_Card!$B$2,Raw_Q!$P$2:$P$600,14)-1),""))</f>
        <v/>
      </c>
      <c r="J7" s="49">
        <f>IF(Stock_Card!$B$2="","",IFERROR(SUMIFS(Raw_Q!$J$2:$J$600,Raw_Q!$A$2:$A$600,Stock_Card!$B$2,Raw_Q!$P$2:$P$600,10)/SUMIFS(Raw_Q!$I$2:$I$600,Raw_Q!$A$2:$A$600,Stock_Card!$B$2,Raw_Q!$P$2:$P$600,10),""))</f>
        <v/>
      </c>
      <c r="K7" s="50">
        <f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/>
      </c>
      <c r="L7" s="51">
        <f>IF(Stock_Card!$B$2="","",IFERROR(SUMIFS(Raw_Q!$K$2:$K$600,Raw_Q!$A$2:$A$600,Stock_Card!$B$2,Raw_Q!$P$2:$P$600,10),""))</f>
        <v/>
      </c>
      <c r="M7" s="49">
        <f>IF(Stock_Card!$B$2="","",IFERROR((SUMIFS(Raw_Q!$K$2:$K$600,Raw_Q!$A$2:$A$600,Stock_Card!$B$2,Raw_Q!$P$2:$P$600,10)/SUMIFS(Raw_Q!$K$2:$K$600,Raw_Q!$A$2:$A$600,Stock_Card!$B$2,Raw_Q!$P$2:$P$600,14)-1),""))</f>
        <v/>
      </c>
      <c r="N7" s="51">
        <f>IF(Stock_Card!$B$2="","",IFERROR(SUMIFS(Raw_Q!$N$2:$N$600,Raw_Q!$A$2:$A$600,Stock_Card!$B$2,Raw_Q!$P$2:$P$600,10),""))</f>
        <v/>
      </c>
      <c r="O7" s="62">
        <f>IF(Stock_Card!$B$2="","",IF(10=0,"預估","實際"))</f>
        <v/>
      </c>
    </row>
    <row r="8">
      <c r="A8" s="62">
        <f>IF(Stock_Card!$B$2="","",IFERROR(INDEX(Raw_Q!$B$2:$B$600,MATCH(Stock_Card!$B$2&amp;"|"&amp;9,Raw_Q!$Q$2:$Q$600,0)),""))</f>
        <v/>
      </c>
      <c r="B8" s="63">
        <f>IF(Stock_Card!$B$2="","",IFERROR(IF(SUMIFS(Raw_Q!$E$2:$E$600,Raw_Q!$A$2:$A$600,Stock_Card!$B$2,Raw_Q!$P$2:$P$600,9)=0,"",SUMIFS(Raw_Q!$E$2:$E$600,Raw_Q!$A$2:$A$600,Stock_Card!$B$2,Raw_Q!$P$2:$P$600,9)),""))</f>
        <v/>
      </c>
      <c r="C8" s="48">
        <f>IF(Stock_Card!$B$2="","",IFERROR(SUMIFS(Raw_Q!$I$2:$I$600,Raw_Q!$A$2:$A$600,Stock_Card!$B$2,Raw_Q!$P$2:$P$600,9),""))</f>
        <v/>
      </c>
      <c r="D8" s="49">
        <f>IF(Stock_Card!$B$2="","",IFERROR((SUMIFS(Raw_Q!$I$2:$I$600,Raw_Q!$A$2:$A$600,Stock_Card!$B$2,Raw_Q!$P$2:$P$600,9)/SUMIFS(Raw_Q!$I$2:$I$600,Raw_Q!$A$2:$A$600,Stock_Card!$B$2,Raw_Q!$P$2:$P$600,10)-1),""))</f>
        <v/>
      </c>
      <c r="E8" s="49">
        <f>IF(Stock_Card!$B$2="","",IFERROR((SUMIFS(Raw_Q!$I$2:$I$600,Raw_Q!$A$2:$A$600,Stock_Card!$B$2,Raw_Q!$P$2:$P$600,10)/SUMIFS(Raw_Q!$I$2:$I$600,Raw_Q!$A$2:$A$600,Stock_Card!$B$2,Raw_Q!$P$2:$P$600,11)-1),""))</f>
        <v/>
      </c>
      <c r="F8" s="64">
        <f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/>
      </c>
      <c r="G8" s="62">
        <f>IF(Stock_Card!$B$2="","",IFERROR(IF(NOT(ISNUMBER(D8)),"",IF(D8&gt;0,IF(F8&gt;0,"成長且加速","成長但減速"),IF(F8&gt;0,"衰退但收斂","衰退且惡化"))),""))</f>
        <v/>
      </c>
      <c r="H8" s="64">
        <f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/>
      </c>
      <c r="I8" s="49">
        <f>IF(Stock_Card!$B$2="","",IFERROR((SUMIFS(Raw_Q!$I$2:$I$600,Raw_Q!$A$2:$A$600,Stock_Card!$B$2,Raw_Q!$P$2:$P$600,9)/SUMIFS(Raw_Q!$I$2:$I$600,Raw_Q!$A$2:$A$600,Stock_Card!$B$2,Raw_Q!$P$2:$P$600,13)-1),""))</f>
        <v/>
      </c>
      <c r="J8" s="49">
        <f>IF(Stock_Card!$B$2="","",IFERROR(SUMIFS(Raw_Q!$J$2:$J$600,Raw_Q!$A$2:$A$600,Stock_Card!$B$2,Raw_Q!$P$2:$P$600,9)/SUMIFS(Raw_Q!$I$2:$I$600,Raw_Q!$A$2:$A$600,Stock_Card!$B$2,Raw_Q!$P$2:$P$600,9),""))</f>
        <v/>
      </c>
      <c r="K8" s="50">
        <f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/>
      </c>
      <c r="L8" s="51">
        <f>IF(Stock_Card!$B$2="","",IFERROR(SUMIFS(Raw_Q!$K$2:$K$600,Raw_Q!$A$2:$A$600,Stock_Card!$B$2,Raw_Q!$P$2:$P$600,9),""))</f>
        <v/>
      </c>
      <c r="M8" s="49">
        <f>IF(Stock_Card!$B$2="","",IFERROR((SUMIFS(Raw_Q!$K$2:$K$600,Raw_Q!$A$2:$A$600,Stock_Card!$B$2,Raw_Q!$P$2:$P$600,9)/SUMIFS(Raw_Q!$K$2:$K$600,Raw_Q!$A$2:$A$600,Stock_Card!$B$2,Raw_Q!$P$2:$P$600,13)-1),""))</f>
        <v/>
      </c>
      <c r="N8" s="51">
        <f>IF(Stock_Card!$B$2="","",IFERROR(SUMIFS(Raw_Q!$N$2:$N$600,Raw_Q!$A$2:$A$600,Stock_Card!$B$2,Raw_Q!$P$2:$P$600,9),""))</f>
        <v/>
      </c>
      <c r="O8" s="62">
        <f>IF(Stock_Card!$B$2="","",IF(9=0,"預估","實際"))</f>
        <v/>
      </c>
    </row>
    <row r="9">
      <c r="A9" s="62">
        <f>IF(Stock_Card!$B$2="","",IFERROR(INDEX(Raw_Q!$B$2:$B$600,MATCH(Stock_Card!$B$2&amp;"|"&amp;8,Raw_Q!$Q$2:$Q$600,0)),""))</f>
        <v/>
      </c>
      <c r="B9" s="63">
        <f>IF(Stock_Card!$B$2="","",IFERROR(IF(SUMIFS(Raw_Q!$E$2:$E$600,Raw_Q!$A$2:$A$600,Stock_Card!$B$2,Raw_Q!$P$2:$P$600,8)=0,"",SUMIFS(Raw_Q!$E$2:$E$600,Raw_Q!$A$2:$A$600,Stock_Card!$B$2,Raw_Q!$P$2:$P$600,8)),""))</f>
        <v/>
      </c>
      <c r="C9" s="48">
        <f>IF(Stock_Card!$B$2="","",IFERROR(SUMIFS(Raw_Q!$I$2:$I$600,Raw_Q!$A$2:$A$600,Stock_Card!$B$2,Raw_Q!$P$2:$P$600,8),""))</f>
        <v/>
      </c>
      <c r="D9" s="49">
        <f>IF(Stock_Card!$B$2="","",IFERROR((SUMIFS(Raw_Q!$I$2:$I$600,Raw_Q!$A$2:$A$600,Stock_Card!$B$2,Raw_Q!$P$2:$P$600,8)/SUMIFS(Raw_Q!$I$2:$I$600,Raw_Q!$A$2:$A$600,Stock_Card!$B$2,Raw_Q!$P$2:$P$600,9)-1),""))</f>
        <v/>
      </c>
      <c r="E9" s="49">
        <f>IF(Stock_Card!$B$2="","",IFERROR((SUMIFS(Raw_Q!$I$2:$I$600,Raw_Q!$A$2:$A$600,Stock_Card!$B$2,Raw_Q!$P$2:$P$600,9)/SUMIFS(Raw_Q!$I$2:$I$600,Raw_Q!$A$2:$A$600,Stock_Card!$B$2,Raw_Q!$P$2:$P$600,10)-1),""))</f>
        <v/>
      </c>
      <c r="F9" s="64">
        <f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/>
      </c>
      <c r="G9" s="62">
        <f>IF(Stock_Card!$B$2="","",IFERROR(IF(NOT(ISNUMBER(D9)),"",IF(D9&gt;0,IF(F9&gt;0,"成長且加速","成長但減速"),IF(F9&gt;0,"衰退但收斂","衰退且惡化"))),""))</f>
        <v/>
      </c>
      <c r="H9" s="64">
        <f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/>
      </c>
      <c r="I9" s="49">
        <f>IF(Stock_Card!$B$2="","",IFERROR((SUMIFS(Raw_Q!$I$2:$I$600,Raw_Q!$A$2:$A$600,Stock_Card!$B$2,Raw_Q!$P$2:$P$600,8)/SUMIFS(Raw_Q!$I$2:$I$600,Raw_Q!$A$2:$A$600,Stock_Card!$B$2,Raw_Q!$P$2:$P$600,12)-1),""))</f>
        <v/>
      </c>
      <c r="J9" s="49">
        <f>IF(Stock_Card!$B$2="","",IFERROR(SUMIFS(Raw_Q!$J$2:$J$600,Raw_Q!$A$2:$A$600,Stock_Card!$B$2,Raw_Q!$P$2:$P$600,8)/SUMIFS(Raw_Q!$I$2:$I$600,Raw_Q!$A$2:$A$600,Stock_Card!$B$2,Raw_Q!$P$2:$P$600,8),""))</f>
        <v/>
      </c>
      <c r="K9" s="50">
        <f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/>
      </c>
      <c r="L9" s="51">
        <f>IF(Stock_Card!$B$2="","",IFERROR(SUMIFS(Raw_Q!$K$2:$K$600,Raw_Q!$A$2:$A$600,Stock_Card!$B$2,Raw_Q!$P$2:$P$600,8),""))</f>
        <v/>
      </c>
      <c r="M9" s="49">
        <f>IF(Stock_Card!$B$2="","",IFERROR((SUMIFS(Raw_Q!$K$2:$K$600,Raw_Q!$A$2:$A$600,Stock_Card!$B$2,Raw_Q!$P$2:$P$600,8)/SUMIFS(Raw_Q!$K$2:$K$600,Raw_Q!$A$2:$A$600,Stock_Card!$B$2,Raw_Q!$P$2:$P$600,12)-1),""))</f>
        <v/>
      </c>
      <c r="N9" s="51">
        <f>IF(Stock_Card!$B$2="","",IFERROR(SUMIFS(Raw_Q!$N$2:$N$600,Raw_Q!$A$2:$A$600,Stock_Card!$B$2,Raw_Q!$P$2:$P$600,8),""))</f>
        <v/>
      </c>
      <c r="O9" s="62">
        <f>IF(Stock_Card!$B$2="","",IF(8=0,"預估","實際"))</f>
        <v/>
      </c>
    </row>
    <row r="10">
      <c r="A10" s="62">
        <f>IF(Stock_Card!$B$2="","",IFERROR(INDEX(Raw_Q!$B$2:$B$600,MATCH(Stock_Card!$B$2&amp;"|"&amp;7,Raw_Q!$Q$2:$Q$600,0)),""))</f>
        <v/>
      </c>
      <c r="B10" s="63">
        <f>IF(Stock_Card!$B$2="","",IFERROR(IF(SUMIFS(Raw_Q!$E$2:$E$600,Raw_Q!$A$2:$A$600,Stock_Card!$B$2,Raw_Q!$P$2:$P$600,7)=0,"",SUMIFS(Raw_Q!$E$2:$E$600,Raw_Q!$A$2:$A$600,Stock_Card!$B$2,Raw_Q!$P$2:$P$600,7)),""))</f>
        <v/>
      </c>
      <c r="C10" s="48">
        <f>IF(Stock_Card!$B$2="","",IFERROR(SUMIFS(Raw_Q!$I$2:$I$600,Raw_Q!$A$2:$A$600,Stock_Card!$B$2,Raw_Q!$P$2:$P$600,7),""))</f>
        <v/>
      </c>
      <c r="D10" s="49">
        <f>IF(Stock_Card!$B$2="","",IFERROR((SUMIFS(Raw_Q!$I$2:$I$600,Raw_Q!$A$2:$A$600,Stock_Card!$B$2,Raw_Q!$P$2:$P$600,7)/SUMIFS(Raw_Q!$I$2:$I$600,Raw_Q!$A$2:$A$600,Stock_Card!$B$2,Raw_Q!$P$2:$P$600,8)-1),""))</f>
        <v/>
      </c>
      <c r="E10" s="49">
        <f>IF(Stock_Card!$B$2="","",IFERROR((SUMIFS(Raw_Q!$I$2:$I$600,Raw_Q!$A$2:$A$600,Stock_Card!$B$2,Raw_Q!$P$2:$P$600,8)/SUMIFS(Raw_Q!$I$2:$I$600,Raw_Q!$A$2:$A$600,Stock_Card!$B$2,Raw_Q!$P$2:$P$600,9)-1),""))</f>
        <v/>
      </c>
      <c r="F10" s="64">
        <f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/>
      </c>
      <c r="G10" s="62">
        <f>IF(Stock_Card!$B$2="","",IFERROR(IF(NOT(ISNUMBER(D10)),"",IF(D10&gt;0,IF(F10&gt;0,"成長且加速","成長但減速"),IF(F10&gt;0,"衰退但收斂","衰退且惡化"))),""))</f>
        <v/>
      </c>
      <c r="H10" s="64">
        <f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/>
      </c>
      <c r="I10" s="49">
        <f>IF(Stock_Card!$B$2="","",IFERROR((SUMIFS(Raw_Q!$I$2:$I$600,Raw_Q!$A$2:$A$600,Stock_Card!$B$2,Raw_Q!$P$2:$P$600,7)/SUMIFS(Raw_Q!$I$2:$I$600,Raw_Q!$A$2:$A$600,Stock_Card!$B$2,Raw_Q!$P$2:$P$600,11)-1),""))</f>
        <v/>
      </c>
      <c r="J10" s="49">
        <f>IF(Stock_Card!$B$2="","",IFERROR(SUMIFS(Raw_Q!$J$2:$J$600,Raw_Q!$A$2:$A$600,Stock_Card!$B$2,Raw_Q!$P$2:$P$600,7)/SUMIFS(Raw_Q!$I$2:$I$600,Raw_Q!$A$2:$A$600,Stock_Card!$B$2,Raw_Q!$P$2:$P$600,7),""))</f>
        <v/>
      </c>
      <c r="K10" s="50">
        <f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/>
      </c>
      <c r="L10" s="51">
        <f>IF(Stock_Card!$B$2="","",IFERROR(SUMIFS(Raw_Q!$K$2:$K$600,Raw_Q!$A$2:$A$600,Stock_Card!$B$2,Raw_Q!$P$2:$P$600,7),""))</f>
        <v/>
      </c>
      <c r="M10" s="49">
        <f>IF(Stock_Card!$B$2="","",IFERROR((SUMIFS(Raw_Q!$K$2:$K$600,Raw_Q!$A$2:$A$600,Stock_Card!$B$2,Raw_Q!$P$2:$P$600,7)/SUMIFS(Raw_Q!$K$2:$K$600,Raw_Q!$A$2:$A$600,Stock_Card!$B$2,Raw_Q!$P$2:$P$600,11)-1),""))</f>
        <v/>
      </c>
      <c r="N10" s="51">
        <f>IF(Stock_Card!$B$2="","",IFERROR(SUMIFS(Raw_Q!$N$2:$N$600,Raw_Q!$A$2:$A$600,Stock_Card!$B$2,Raw_Q!$P$2:$P$600,7),""))</f>
        <v/>
      </c>
      <c r="O10" s="62">
        <f>IF(Stock_Card!$B$2="","",IF(7=0,"預估","實際"))</f>
        <v/>
      </c>
    </row>
    <row r="11">
      <c r="A11" s="62">
        <f>IF(Stock_Card!$B$2="","",IFERROR(INDEX(Raw_Q!$B$2:$B$600,MATCH(Stock_Card!$B$2&amp;"|"&amp;6,Raw_Q!$Q$2:$Q$600,0)),""))</f>
        <v/>
      </c>
      <c r="B11" s="63">
        <f>IF(Stock_Card!$B$2="","",IFERROR(IF(SUMIFS(Raw_Q!$E$2:$E$600,Raw_Q!$A$2:$A$600,Stock_Card!$B$2,Raw_Q!$P$2:$P$600,6)=0,"",SUMIFS(Raw_Q!$E$2:$E$600,Raw_Q!$A$2:$A$600,Stock_Card!$B$2,Raw_Q!$P$2:$P$600,6)),""))</f>
        <v/>
      </c>
      <c r="C11" s="48">
        <f>IF(Stock_Card!$B$2="","",IFERROR(SUMIFS(Raw_Q!$I$2:$I$600,Raw_Q!$A$2:$A$600,Stock_Card!$B$2,Raw_Q!$P$2:$P$600,6),""))</f>
        <v/>
      </c>
      <c r="D11" s="49">
        <f>IF(Stock_Card!$B$2="","",IFERROR((SUMIFS(Raw_Q!$I$2:$I$600,Raw_Q!$A$2:$A$600,Stock_Card!$B$2,Raw_Q!$P$2:$P$600,6)/SUMIFS(Raw_Q!$I$2:$I$600,Raw_Q!$A$2:$A$600,Stock_Card!$B$2,Raw_Q!$P$2:$P$600,7)-1),""))</f>
        <v/>
      </c>
      <c r="E11" s="49">
        <f>IF(Stock_Card!$B$2="","",IFERROR((SUMIFS(Raw_Q!$I$2:$I$600,Raw_Q!$A$2:$A$600,Stock_Card!$B$2,Raw_Q!$P$2:$P$600,7)/SUMIFS(Raw_Q!$I$2:$I$600,Raw_Q!$A$2:$A$600,Stock_Card!$B$2,Raw_Q!$P$2:$P$600,8)-1),""))</f>
        <v/>
      </c>
      <c r="F11" s="64">
        <f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/>
      </c>
      <c r="G11" s="62">
        <f>IF(Stock_Card!$B$2="","",IFERROR(IF(NOT(ISNUMBER(D11)),"",IF(D11&gt;0,IF(F11&gt;0,"成長且加速","成長但減速"),IF(F11&gt;0,"衰退但收斂","衰退且惡化"))),""))</f>
        <v/>
      </c>
      <c r="H11" s="64">
        <f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/>
      </c>
      <c r="I11" s="49">
        <f>IF(Stock_Card!$B$2="","",IFERROR((SUMIFS(Raw_Q!$I$2:$I$600,Raw_Q!$A$2:$A$600,Stock_Card!$B$2,Raw_Q!$P$2:$P$600,6)/SUMIFS(Raw_Q!$I$2:$I$600,Raw_Q!$A$2:$A$600,Stock_Card!$B$2,Raw_Q!$P$2:$P$600,10)-1),""))</f>
        <v/>
      </c>
      <c r="J11" s="49">
        <f>IF(Stock_Card!$B$2="","",IFERROR(SUMIFS(Raw_Q!$J$2:$J$600,Raw_Q!$A$2:$A$600,Stock_Card!$B$2,Raw_Q!$P$2:$P$600,6)/SUMIFS(Raw_Q!$I$2:$I$600,Raw_Q!$A$2:$A$600,Stock_Card!$B$2,Raw_Q!$P$2:$P$600,6),""))</f>
        <v/>
      </c>
      <c r="K11" s="50">
        <f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/>
      </c>
      <c r="L11" s="51">
        <f>IF(Stock_Card!$B$2="","",IFERROR(SUMIFS(Raw_Q!$K$2:$K$600,Raw_Q!$A$2:$A$600,Stock_Card!$B$2,Raw_Q!$P$2:$P$600,6),""))</f>
        <v/>
      </c>
      <c r="M11" s="49">
        <f>IF(Stock_Card!$B$2="","",IFERROR((SUMIFS(Raw_Q!$K$2:$K$600,Raw_Q!$A$2:$A$600,Stock_Card!$B$2,Raw_Q!$P$2:$P$600,6)/SUMIFS(Raw_Q!$K$2:$K$600,Raw_Q!$A$2:$A$600,Stock_Card!$B$2,Raw_Q!$P$2:$P$600,10)-1),""))</f>
        <v/>
      </c>
      <c r="N11" s="51">
        <f>IF(Stock_Card!$B$2="","",IFERROR(SUMIFS(Raw_Q!$N$2:$N$600,Raw_Q!$A$2:$A$600,Stock_Card!$B$2,Raw_Q!$P$2:$P$600,6),""))</f>
        <v/>
      </c>
      <c r="O11" s="62">
        <f>IF(Stock_Card!$B$2="","",IF(6=0,"預估","實際"))</f>
        <v/>
      </c>
    </row>
    <row r="12">
      <c r="A12" s="62">
        <f>IF(Stock_Card!$B$2="","",IFERROR(INDEX(Raw_Q!$B$2:$B$600,MATCH(Stock_Card!$B$2&amp;"|"&amp;5,Raw_Q!$Q$2:$Q$600,0)),""))</f>
        <v/>
      </c>
      <c r="B12" s="63">
        <f>IF(Stock_Card!$B$2="","",IFERROR(IF(SUMIFS(Raw_Q!$E$2:$E$600,Raw_Q!$A$2:$A$600,Stock_Card!$B$2,Raw_Q!$P$2:$P$600,5)=0,"",SUMIFS(Raw_Q!$E$2:$E$600,Raw_Q!$A$2:$A$600,Stock_Card!$B$2,Raw_Q!$P$2:$P$600,5)),""))</f>
        <v/>
      </c>
      <c r="C12" s="48">
        <f>IF(Stock_Card!$B$2="","",IFERROR(SUMIFS(Raw_Q!$I$2:$I$600,Raw_Q!$A$2:$A$600,Stock_Card!$B$2,Raw_Q!$P$2:$P$600,5),""))</f>
        <v/>
      </c>
      <c r="D12" s="49">
        <f>IF(Stock_Card!$B$2="","",IFERROR((SUMIFS(Raw_Q!$I$2:$I$600,Raw_Q!$A$2:$A$600,Stock_Card!$B$2,Raw_Q!$P$2:$P$600,5)/SUMIFS(Raw_Q!$I$2:$I$600,Raw_Q!$A$2:$A$600,Stock_Card!$B$2,Raw_Q!$P$2:$P$600,6)-1),""))</f>
        <v/>
      </c>
      <c r="E12" s="49">
        <f>IF(Stock_Card!$B$2="","",IFERROR((SUMIFS(Raw_Q!$I$2:$I$600,Raw_Q!$A$2:$A$600,Stock_Card!$B$2,Raw_Q!$P$2:$P$600,6)/SUMIFS(Raw_Q!$I$2:$I$600,Raw_Q!$A$2:$A$600,Stock_Card!$B$2,Raw_Q!$P$2:$P$600,7)-1),""))</f>
        <v/>
      </c>
      <c r="F12" s="64">
        <f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/>
      </c>
      <c r="G12" s="62">
        <f>IF(Stock_Card!$B$2="","",IFERROR(IF(NOT(ISNUMBER(D12)),"",IF(D12&gt;0,IF(F12&gt;0,"成長且加速","成長但減速"),IF(F12&gt;0,"衰退但收斂","衰退且惡化"))),""))</f>
        <v/>
      </c>
      <c r="H12" s="64">
        <f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/>
      </c>
      <c r="I12" s="49">
        <f>IF(Stock_Card!$B$2="","",IFERROR((SUMIFS(Raw_Q!$I$2:$I$600,Raw_Q!$A$2:$A$600,Stock_Card!$B$2,Raw_Q!$P$2:$P$600,5)/SUMIFS(Raw_Q!$I$2:$I$600,Raw_Q!$A$2:$A$600,Stock_Card!$B$2,Raw_Q!$P$2:$P$600,9)-1),""))</f>
        <v/>
      </c>
      <c r="J12" s="49">
        <f>IF(Stock_Card!$B$2="","",IFERROR(SUMIFS(Raw_Q!$J$2:$J$600,Raw_Q!$A$2:$A$600,Stock_Card!$B$2,Raw_Q!$P$2:$P$600,5)/SUMIFS(Raw_Q!$I$2:$I$600,Raw_Q!$A$2:$A$600,Stock_Card!$B$2,Raw_Q!$P$2:$P$600,5),""))</f>
        <v/>
      </c>
      <c r="K12" s="50">
        <f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/>
      </c>
      <c r="L12" s="51">
        <f>IF(Stock_Card!$B$2="","",IFERROR(SUMIFS(Raw_Q!$K$2:$K$600,Raw_Q!$A$2:$A$600,Stock_Card!$B$2,Raw_Q!$P$2:$P$600,5),""))</f>
        <v/>
      </c>
      <c r="M12" s="49">
        <f>IF(Stock_Card!$B$2="","",IFERROR((SUMIFS(Raw_Q!$K$2:$K$600,Raw_Q!$A$2:$A$600,Stock_Card!$B$2,Raw_Q!$P$2:$P$600,5)/SUMIFS(Raw_Q!$K$2:$K$600,Raw_Q!$A$2:$A$600,Stock_Card!$B$2,Raw_Q!$P$2:$P$600,9)-1),""))</f>
        <v/>
      </c>
      <c r="N12" s="51">
        <f>IF(Stock_Card!$B$2="","",IFERROR(SUMIFS(Raw_Q!$N$2:$N$600,Raw_Q!$A$2:$A$600,Stock_Card!$B$2,Raw_Q!$P$2:$P$600,5),""))</f>
        <v/>
      </c>
      <c r="O12" s="62">
        <f>IF(Stock_Card!$B$2="","",IF(5=0,"預估","實際"))</f>
        <v/>
      </c>
    </row>
    <row r="13">
      <c r="A13" s="62">
        <f>IF(Stock_Card!$B$2="","",IFERROR(INDEX(Raw_Q!$B$2:$B$600,MATCH(Stock_Card!$B$2&amp;"|"&amp;4,Raw_Q!$Q$2:$Q$600,0)),""))</f>
        <v/>
      </c>
      <c r="B13" s="63">
        <f>IF(Stock_Card!$B$2="","",IFERROR(IF(SUMIFS(Raw_Q!$E$2:$E$600,Raw_Q!$A$2:$A$600,Stock_Card!$B$2,Raw_Q!$P$2:$P$600,4)=0,"",SUMIFS(Raw_Q!$E$2:$E$600,Raw_Q!$A$2:$A$600,Stock_Card!$B$2,Raw_Q!$P$2:$P$600,4)),""))</f>
        <v/>
      </c>
      <c r="C13" s="48">
        <f>IF(Stock_Card!$B$2="","",IFERROR(SUMIFS(Raw_Q!$I$2:$I$600,Raw_Q!$A$2:$A$600,Stock_Card!$B$2,Raw_Q!$P$2:$P$600,4),""))</f>
        <v/>
      </c>
      <c r="D13" s="49">
        <f>IF(Stock_Card!$B$2="","",IFERROR((SUMIFS(Raw_Q!$I$2:$I$600,Raw_Q!$A$2:$A$600,Stock_Card!$B$2,Raw_Q!$P$2:$P$600,4)/SUMIFS(Raw_Q!$I$2:$I$600,Raw_Q!$A$2:$A$600,Stock_Card!$B$2,Raw_Q!$P$2:$P$600,5)-1),""))</f>
        <v/>
      </c>
      <c r="E13" s="49">
        <f>IF(Stock_Card!$B$2="","",IFERROR((SUMIFS(Raw_Q!$I$2:$I$600,Raw_Q!$A$2:$A$600,Stock_Card!$B$2,Raw_Q!$P$2:$P$600,5)/SUMIFS(Raw_Q!$I$2:$I$600,Raw_Q!$A$2:$A$600,Stock_Card!$B$2,Raw_Q!$P$2:$P$600,6)-1),""))</f>
        <v/>
      </c>
      <c r="F13" s="64">
        <f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/>
      </c>
      <c r="G13" s="62">
        <f>IF(Stock_Card!$B$2="","",IFERROR(IF(NOT(ISNUMBER(D13)),"",IF(D13&gt;0,IF(F13&gt;0,"成長且加速","成長但減速"),IF(F13&gt;0,"衰退但收斂","衰退且惡化"))),""))</f>
        <v/>
      </c>
      <c r="H13" s="64">
        <f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/>
      </c>
      <c r="I13" s="49">
        <f>IF(Stock_Card!$B$2="","",IFERROR((SUMIFS(Raw_Q!$I$2:$I$600,Raw_Q!$A$2:$A$600,Stock_Card!$B$2,Raw_Q!$P$2:$P$600,4)/SUMIFS(Raw_Q!$I$2:$I$600,Raw_Q!$A$2:$A$600,Stock_Card!$B$2,Raw_Q!$P$2:$P$600,8)-1),""))</f>
        <v/>
      </c>
      <c r="J13" s="49">
        <f>IF(Stock_Card!$B$2="","",IFERROR(SUMIFS(Raw_Q!$J$2:$J$600,Raw_Q!$A$2:$A$600,Stock_Card!$B$2,Raw_Q!$P$2:$P$600,4)/SUMIFS(Raw_Q!$I$2:$I$600,Raw_Q!$A$2:$A$600,Stock_Card!$B$2,Raw_Q!$P$2:$P$600,4),""))</f>
        <v/>
      </c>
      <c r="K13" s="50">
        <f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/>
      </c>
      <c r="L13" s="51">
        <f>IF(Stock_Card!$B$2="","",IFERROR(SUMIFS(Raw_Q!$K$2:$K$600,Raw_Q!$A$2:$A$600,Stock_Card!$B$2,Raw_Q!$P$2:$P$600,4),""))</f>
        <v/>
      </c>
      <c r="M13" s="49">
        <f>IF(Stock_Card!$B$2="","",IFERROR((SUMIFS(Raw_Q!$K$2:$K$600,Raw_Q!$A$2:$A$600,Stock_Card!$B$2,Raw_Q!$P$2:$P$600,4)/SUMIFS(Raw_Q!$K$2:$K$600,Raw_Q!$A$2:$A$600,Stock_Card!$B$2,Raw_Q!$P$2:$P$600,8)-1),""))</f>
        <v/>
      </c>
      <c r="N13" s="51">
        <f>IF(Stock_Card!$B$2="","",IFERROR(SUMIFS(Raw_Q!$N$2:$N$600,Raw_Q!$A$2:$A$600,Stock_Card!$B$2,Raw_Q!$P$2:$P$600,4),""))</f>
        <v/>
      </c>
      <c r="O13" s="62">
        <f>IF(Stock_Card!$B$2="","",IF(4=0,"預估","實際"))</f>
        <v/>
      </c>
    </row>
    <row r="14">
      <c r="A14" s="62">
        <f>IF(Stock_Card!$B$2="","",IFERROR(INDEX(Raw_Q!$B$2:$B$600,MATCH(Stock_Card!$B$2&amp;"|"&amp;3,Raw_Q!$Q$2:$Q$600,0)),""))</f>
        <v/>
      </c>
      <c r="B14" s="63">
        <f>IF(Stock_Card!$B$2="","",IFERROR(IF(SUMIFS(Raw_Q!$E$2:$E$600,Raw_Q!$A$2:$A$600,Stock_Card!$B$2,Raw_Q!$P$2:$P$600,3)=0,"",SUMIFS(Raw_Q!$E$2:$E$600,Raw_Q!$A$2:$A$600,Stock_Card!$B$2,Raw_Q!$P$2:$P$600,3)),""))</f>
        <v/>
      </c>
      <c r="C14" s="48">
        <f>IF(Stock_Card!$B$2="","",IFERROR(SUMIFS(Raw_Q!$I$2:$I$600,Raw_Q!$A$2:$A$600,Stock_Card!$B$2,Raw_Q!$P$2:$P$600,3),""))</f>
        <v/>
      </c>
      <c r="D14" s="49">
        <f>IF(Stock_Card!$B$2="","",IFERROR((SUMIFS(Raw_Q!$I$2:$I$600,Raw_Q!$A$2:$A$600,Stock_Card!$B$2,Raw_Q!$P$2:$P$600,3)/SUMIFS(Raw_Q!$I$2:$I$600,Raw_Q!$A$2:$A$600,Stock_Card!$B$2,Raw_Q!$P$2:$P$600,4)-1),""))</f>
        <v/>
      </c>
      <c r="E14" s="49">
        <f>IF(Stock_Card!$B$2="","",IFERROR((SUMIFS(Raw_Q!$I$2:$I$600,Raw_Q!$A$2:$A$600,Stock_Card!$B$2,Raw_Q!$P$2:$P$600,4)/SUMIFS(Raw_Q!$I$2:$I$600,Raw_Q!$A$2:$A$600,Stock_Card!$B$2,Raw_Q!$P$2:$P$600,5)-1),""))</f>
        <v/>
      </c>
      <c r="F14" s="64">
        <f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/>
      </c>
      <c r="G14" s="62">
        <f>IF(Stock_Card!$B$2="","",IFERROR(IF(NOT(ISNUMBER(D14)),"",IF(D14&gt;0,IF(F14&gt;0,"成長且加速","成長但減速"),IF(F14&gt;0,"衰退但收斂","衰退且惡化"))),""))</f>
        <v/>
      </c>
      <c r="H14" s="64">
        <f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/>
      </c>
      <c r="I14" s="49">
        <f>IF(Stock_Card!$B$2="","",IFERROR((SUMIFS(Raw_Q!$I$2:$I$600,Raw_Q!$A$2:$A$600,Stock_Card!$B$2,Raw_Q!$P$2:$P$600,3)/SUMIFS(Raw_Q!$I$2:$I$600,Raw_Q!$A$2:$A$600,Stock_Card!$B$2,Raw_Q!$P$2:$P$600,7)-1),""))</f>
        <v/>
      </c>
      <c r="J14" s="49">
        <f>IF(Stock_Card!$B$2="","",IFERROR(SUMIFS(Raw_Q!$J$2:$J$600,Raw_Q!$A$2:$A$600,Stock_Card!$B$2,Raw_Q!$P$2:$P$600,3)/SUMIFS(Raw_Q!$I$2:$I$600,Raw_Q!$A$2:$A$600,Stock_Card!$B$2,Raw_Q!$P$2:$P$600,3),""))</f>
        <v/>
      </c>
      <c r="K14" s="50">
        <f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/>
      </c>
      <c r="L14" s="51">
        <f>IF(Stock_Card!$B$2="","",IFERROR(SUMIFS(Raw_Q!$K$2:$K$600,Raw_Q!$A$2:$A$600,Stock_Card!$B$2,Raw_Q!$P$2:$P$600,3),""))</f>
        <v/>
      </c>
      <c r="M14" s="49">
        <f>IF(Stock_Card!$B$2="","",IFERROR((SUMIFS(Raw_Q!$K$2:$K$600,Raw_Q!$A$2:$A$600,Stock_Card!$B$2,Raw_Q!$P$2:$P$600,3)/SUMIFS(Raw_Q!$K$2:$K$600,Raw_Q!$A$2:$A$600,Stock_Card!$B$2,Raw_Q!$P$2:$P$600,7)-1),""))</f>
        <v/>
      </c>
      <c r="N14" s="51">
        <f>IF(Stock_Card!$B$2="","",IFERROR(SUMIFS(Raw_Q!$N$2:$N$600,Raw_Q!$A$2:$A$600,Stock_Card!$B$2,Raw_Q!$P$2:$P$600,3),""))</f>
        <v/>
      </c>
      <c r="O14" s="62">
        <f>IF(Stock_Card!$B$2="","",IF(3=0,"預估","實際"))</f>
        <v/>
      </c>
    </row>
    <row r="15">
      <c r="A15" s="62">
        <f>IF(Stock_Card!$B$2="","",IFERROR(INDEX(Raw_Q!$B$2:$B$600,MATCH(Stock_Card!$B$2&amp;"|"&amp;2,Raw_Q!$Q$2:$Q$600,0)),""))</f>
        <v/>
      </c>
      <c r="B15" s="63">
        <f>IF(Stock_Card!$B$2="","",IFERROR(IF(SUMIFS(Raw_Q!$E$2:$E$600,Raw_Q!$A$2:$A$600,Stock_Card!$B$2,Raw_Q!$P$2:$P$600,2)=0,"",SUMIFS(Raw_Q!$E$2:$E$600,Raw_Q!$A$2:$A$600,Stock_Card!$B$2,Raw_Q!$P$2:$P$600,2)),""))</f>
        <v/>
      </c>
      <c r="C15" s="48">
        <f>IF(Stock_Card!$B$2="","",IFERROR(SUMIFS(Raw_Q!$I$2:$I$600,Raw_Q!$A$2:$A$600,Stock_Card!$B$2,Raw_Q!$P$2:$P$600,2),""))</f>
        <v/>
      </c>
      <c r="D15" s="49">
        <f>IF(Stock_Card!$B$2="","",IFERROR((SUMIFS(Raw_Q!$I$2:$I$600,Raw_Q!$A$2:$A$600,Stock_Card!$B$2,Raw_Q!$P$2:$P$600,2)/SUMIFS(Raw_Q!$I$2:$I$600,Raw_Q!$A$2:$A$600,Stock_Card!$B$2,Raw_Q!$P$2:$P$600,3)-1),""))</f>
        <v/>
      </c>
      <c r="E15" s="49">
        <f>IF(Stock_Card!$B$2="","",IFERROR((SUMIFS(Raw_Q!$I$2:$I$600,Raw_Q!$A$2:$A$600,Stock_Card!$B$2,Raw_Q!$P$2:$P$600,3)/SUMIFS(Raw_Q!$I$2:$I$600,Raw_Q!$A$2:$A$600,Stock_Card!$B$2,Raw_Q!$P$2:$P$600,4)-1),""))</f>
        <v/>
      </c>
      <c r="F15" s="64">
        <f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/>
      </c>
      <c r="G15" s="62">
        <f>IF(Stock_Card!$B$2="","",IFERROR(IF(NOT(ISNUMBER(D15)),"",IF(D15&gt;0,IF(F15&gt;0,"成長且加速","成長但減速"),IF(F15&gt;0,"衰退但收斂","衰退且惡化"))),""))</f>
        <v/>
      </c>
      <c r="H15" s="64">
        <f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/>
      </c>
      <c r="I15" s="49">
        <f>IF(Stock_Card!$B$2="","",IFERROR((SUMIFS(Raw_Q!$I$2:$I$600,Raw_Q!$A$2:$A$600,Stock_Card!$B$2,Raw_Q!$P$2:$P$600,2)/SUMIFS(Raw_Q!$I$2:$I$600,Raw_Q!$A$2:$A$600,Stock_Card!$B$2,Raw_Q!$P$2:$P$600,6)-1),""))</f>
        <v/>
      </c>
      <c r="J15" s="49">
        <f>IF(Stock_Card!$B$2="","",IFERROR(SUMIFS(Raw_Q!$J$2:$J$600,Raw_Q!$A$2:$A$600,Stock_Card!$B$2,Raw_Q!$P$2:$P$600,2)/SUMIFS(Raw_Q!$I$2:$I$600,Raw_Q!$A$2:$A$600,Stock_Card!$B$2,Raw_Q!$P$2:$P$600,2),""))</f>
        <v/>
      </c>
      <c r="K15" s="50">
        <f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/>
      </c>
      <c r="L15" s="51">
        <f>IF(Stock_Card!$B$2="","",IFERROR(SUMIFS(Raw_Q!$K$2:$K$600,Raw_Q!$A$2:$A$600,Stock_Card!$B$2,Raw_Q!$P$2:$P$600,2),""))</f>
        <v/>
      </c>
      <c r="M15" s="49">
        <f>IF(Stock_Card!$B$2="","",IFERROR((SUMIFS(Raw_Q!$K$2:$K$600,Raw_Q!$A$2:$A$600,Stock_Card!$B$2,Raw_Q!$P$2:$P$600,2)/SUMIFS(Raw_Q!$K$2:$K$600,Raw_Q!$A$2:$A$600,Stock_Card!$B$2,Raw_Q!$P$2:$P$600,6)-1),""))</f>
        <v/>
      </c>
      <c r="N15" s="51">
        <f>IF(Stock_Card!$B$2="","",IFERROR(SUMIFS(Raw_Q!$N$2:$N$600,Raw_Q!$A$2:$A$600,Stock_Card!$B$2,Raw_Q!$P$2:$P$600,2),""))</f>
        <v/>
      </c>
      <c r="O15" s="62">
        <f>IF(Stock_Card!$B$2="","",IF(2=0,"預估","實際"))</f>
        <v/>
      </c>
    </row>
    <row r="16">
      <c r="A16" s="62">
        <f>IF(Stock_Card!$B$2="","",IFERROR(INDEX(Raw_Q!$B$2:$B$600,MATCH(Stock_Card!$B$2&amp;"|"&amp;1,Raw_Q!$Q$2:$Q$600,0)),""))</f>
        <v/>
      </c>
      <c r="B16" s="63">
        <f>IF(Stock_Card!$B$2="","",IFERROR(IF(SUMIFS(Raw_Q!$E$2:$E$600,Raw_Q!$A$2:$A$600,Stock_Card!$B$2,Raw_Q!$P$2:$P$600,1)=0,"",SUMIFS(Raw_Q!$E$2:$E$600,Raw_Q!$A$2:$A$600,Stock_Card!$B$2,Raw_Q!$P$2:$P$600,1)),""))</f>
        <v/>
      </c>
      <c r="C16" s="48">
        <f>IF(Stock_Card!$B$2="","",IFERROR(SUMIFS(Raw_Q!$I$2:$I$600,Raw_Q!$A$2:$A$600,Stock_Card!$B$2,Raw_Q!$P$2:$P$600,1),""))</f>
        <v/>
      </c>
      <c r="D16" s="49">
        <f>IF(Stock_Card!$B$2="","",IFERROR((SUMIFS(Raw_Q!$I$2:$I$600,Raw_Q!$A$2:$A$600,Stock_Card!$B$2,Raw_Q!$P$2:$P$600,1)/SUMIFS(Raw_Q!$I$2:$I$600,Raw_Q!$A$2:$A$600,Stock_Card!$B$2,Raw_Q!$P$2:$P$600,2)-1),""))</f>
        <v/>
      </c>
      <c r="E16" s="49">
        <f>IF(Stock_Card!$B$2="","",IFERROR((SUMIFS(Raw_Q!$I$2:$I$600,Raw_Q!$A$2:$A$600,Stock_Card!$B$2,Raw_Q!$P$2:$P$600,2)/SUMIFS(Raw_Q!$I$2:$I$600,Raw_Q!$A$2:$A$600,Stock_Card!$B$2,Raw_Q!$P$2:$P$600,3)-1),""))</f>
        <v/>
      </c>
      <c r="F16" s="64">
        <f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/>
      </c>
      <c r="G16" s="62">
        <f>IF(Stock_Card!$B$2="","",IFERROR(IF(NOT(ISNUMBER(D16)),"",IF(D16&gt;0,IF(F16&gt;0,"成長且加速","成長但減速"),IF(F16&gt;0,"衰退但收斂","衰退且惡化"))),""))</f>
        <v/>
      </c>
      <c r="H16" s="64">
        <f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/>
      </c>
      <c r="I16" s="49">
        <f>IF(Stock_Card!$B$2="","",IFERROR((SUMIFS(Raw_Q!$I$2:$I$600,Raw_Q!$A$2:$A$600,Stock_Card!$B$2,Raw_Q!$P$2:$P$600,1)/SUMIFS(Raw_Q!$I$2:$I$600,Raw_Q!$A$2:$A$600,Stock_Card!$B$2,Raw_Q!$P$2:$P$600,5)-1),""))</f>
        <v/>
      </c>
      <c r="J16" s="49">
        <f>IF(Stock_Card!$B$2="","",IFERROR(SUMIFS(Raw_Q!$J$2:$J$600,Raw_Q!$A$2:$A$600,Stock_Card!$B$2,Raw_Q!$P$2:$P$600,1)/SUMIFS(Raw_Q!$I$2:$I$600,Raw_Q!$A$2:$A$600,Stock_Card!$B$2,Raw_Q!$P$2:$P$600,1),""))</f>
        <v/>
      </c>
      <c r="K16" s="50">
        <f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/>
      </c>
      <c r="L16" s="51">
        <f>IF(Stock_Card!$B$2="","",IFERROR(SUMIFS(Raw_Q!$K$2:$K$600,Raw_Q!$A$2:$A$600,Stock_Card!$B$2,Raw_Q!$P$2:$P$600,1),""))</f>
        <v/>
      </c>
      <c r="M16" s="49">
        <f>IF(Stock_Card!$B$2="","",IFERROR((SUMIFS(Raw_Q!$K$2:$K$600,Raw_Q!$A$2:$A$600,Stock_Card!$B$2,Raw_Q!$P$2:$P$600,1)/SUMIFS(Raw_Q!$K$2:$K$600,Raw_Q!$A$2:$A$600,Stock_Card!$B$2,Raw_Q!$P$2:$P$600,5)-1),""))</f>
        <v/>
      </c>
      <c r="N16" s="51">
        <f>IF(Stock_Card!$B$2="","",IFERROR(SUMIFS(Raw_Q!$N$2:$N$600,Raw_Q!$A$2:$A$600,Stock_Card!$B$2,Raw_Q!$P$2:$P$600,1),""))</f>
        <v/>
      </c>
      <c r="O16" s="62">
        <f>IF(Stock_Card!$B$2="","",IF(1=0,"預估","實際"))</f>
        <v/>
      </c>
    </row>
    <row r="17">
      <c r="A17" s="62">
        <f>IF(Stock_Card!$B$2="","",IFERROR(INDEX(Raw_Q!$B$2:$B$600,MATCH(Stock_Card!$B$2&amp;"|"&amp;0,Raw_Q!$Q$2:$Q$600,0)),""))</f>
        <v/>
      </c>
      <c r="B17" s="63">
        <f>IF(Stock_Card!$B$2="","",IFERROR(IF(SUMIFS(Raw_Q!$E$2:$E$600,Raw_Q!$A$2:$A$600,Stock_Card!$B$2,Raw_Q!$P$2:$P$600,0)=0,"",SUMIFS(Raw_Q!$E$2:$E$600,Raw_Q!$A$2:$A$600,Stock_Card!$B$2,Raw_Q!$P$2:$P$600,0)),""))</f>
        <v/>
      </c>
      <c r="C17" s="48">
        <f>IF(Stock_Card!$B$2="","",IFERROR(SUMIFS(Raw_Q!$I$2:$I$600,Raw_Q!$A$2:$A$600,Stock_Card!$B$2,Raw_Q!$P$2:$P$600,0),""))</f>
        <v/>
      </c>
      <c r="D17" s="49">
        <f>IF(Stock_Card!$B$2="","",IFERROR((SUMIFS(Raw_Q!$I$2:$I$600,Raw_Q!$A$2:$A$600,Stock_Card!$B$2,Raw_Q!$P$2:$P$600,0)/SUMIFS(Raw_Q!$I$2:$I$600,Raw_Q!$A$2:$A$600,Stock_Card!$B$2,Raw_Q!$P$2:$P$600,1)-1),""))</f>
        <v/>
      </c>
      <c r="E17" s="49">
        <f>IF(Stock_Card!$B$2="","",IFERROR((SUMIFS(Raw_Q!$I$2:$I$600,Raw_Q!$A$2:$A$600,Stock_Card!$B$2,Raw_Q!$P$2:$P$600,1)/SUMIFS(Raw_Q!$I$2:$I$600,Raw_Q!$A$2:$A$600,Stock_Card!$B$2,Raw_Q!$P$2:$P$600,2)-1),""))</f>
        <v/>
      </c>
      <c r="F17" s="64">
        <f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/>
      </c>
      <c r="G17" s="62">
        <f>IF(Stock_Card!$B$2="","",IFERROR(IF(NOT(ISNUMBER(D17)),"",IF(D17&gt;0,IF(F17&gt;0,"成長且加速","成長但減速"),IF(F17&gt;0,"衰退但收斂","衰退且惡化"))),""))</f>
        <v/>
      </c>
      <c r="H17" s="64">
        <f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/>
      </c>
      <c r="I17" s="49">
        <f>IF(Stock_Card!$B$2="","",IFERROR((SUMIFS(Raw_Q!$I$2:$I$600,Raw_Q!$A$2:$A$600,Stock_Card!$B$2,Raw_Q!$P$2:$P$600,0)/SUMIFS(Raw_Q!$I$2:$I$600,Raw_Q!$A$2:$A$600,Stock_Card!$B$2,Raw_Q!$P$2:$P$600,4)-1),""))</f>
        <v/>
      </c>
      <c r="J17" s="49">
        <f>IF(Stock_Card!$B$2="","",IFERROR(SUMIFS(Raw_Q!$J$2:$J$600,Raw_Q!$A$2:$A$600,Stock_Card!$B$2,Raw_Q!$P$2:$P$600,0)/SUMIFS(Raw_Q!$I$2:$I$600,Raw_Q!$A$2:$A$600,Stock_Card!$B$2,Raw_Q!$P$2:$P$600,0),""))</f>
        <v/>
      </c>
      <c r="K17" s="50">
        <f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>
        <f>IF(Stock_Card!$B$2="","",IFERROR(SUMIFS(Raw_Q!$K$2:$K$600,Raw_Q!$A$2:$A$600,Stock_Card!$B$2,Raw_Q!$P$2:$P$600,0),""))</f>
        <v/>
      </c>
      <c r="M17" s="49">
        <f>IF(Stock_Card!$B$2="","",IFERROR((SUMIFS(Raw_Q!$K$2:$K$600,Raw_Q!$A$2:$A$600,Stock_Card!$B$2,Raw_Q!$P$2:$P$600,0)/SUMIFS(Raw_Q!$K$2:$K$600,Raw_Q!$A$2:$A$600,Stock_Card!$B$2,Raw_Q!$P$2:$P$600,4)-1),""))</f>
        <v/>
      </c>
      <c r="N17" s="51">
        <f>IF(Stock_Card!$B$2="","",IFERROR(SUMIFS(Raw_Q!$N$2:$N$600,Raw_Q!$A$2:$A$600,Stock_Card!$B$2,Raw_Q!$P$2:$P$600,0),""))</f>
        <v/>
      </c>
      <c r="O17" s="62">
        <f>IF(Stock_Card!$B$2="","",IF(0=0,"預估","實際"))</f>
        <v/>
      </c>
    </row>
    <row r="18">
      <c r="A18" s="27" t="inlineStr">
        <is>
          <t>營收QoQ（季度成長率）＝ 本季營收 ÷ 上一季營收 − 1。加速度(pp) ＝ 本季QoQ − 上一季QoQ。注意：加速度是「成長率的變化」，不是營收的變化——營收在衰退但衰退幅度縮小時，加速度一樣是正的。「動能判讀」欄就是為了讓正負號不再誤導。</t>
        </is>
      </c>
    </row>
    <row r="19">
      <c r="A19" s="27" t="inlineStr">
        <is>
          <t>⚠ 加速度(pp) 會被季節性主宰：旺季那一季 QoQ 天生就高、淡季天生就低，所以這一欄每年會在同一季出現同樣的大幅震盪，那是季節性不是動能。同期加速度(pp) ＝ 本季QoQ − 去年同一財季的QoQ：一樣是在比「季度成長率」，但拿去年同一季當基準，季節性自動抵消，剩下的才是真正的動能變化。最後一列黃底＝當季預估。</t>
        </is>
      </c>
    </row>
    <row r="21">
      <c r="A21" s="27" t="inlineStr">
        <is>
          <t>以下兩張矩陣同一欄＝同一個財季。長條排列會把旺季誤讀成成長，排成矩陣才看得出季節性與真實趨勢。黃底斜體＝當季預估。</t>
        </is>
      </c>
    </row>
    <row r="22">
      <c r="A22" s="4" t="inlineStr">
        <is>
          <t>EPS (Adjusted)  ·  年 × 季矩陣</t>
        </is>
      </c>
    </row>
    <row r="23" ht="32" customHeight="1">
      <c r="A23" s="19" t="inlineStr">
        <is>
          <t>財年</t>
        </is>
      </c>
      <c r="B23" s="19" t="inlineStr">
        <is>
          <t>Q1</t>
        </is>
      </c>
      <c r="C23" s="19" t="inlineStr">
        <is>
          <t>Q2</t>
        </is>
      </c>
      <c r="D23" s="19" t="inlineStr">
        <is>
          <t>Q3</t>
        </is>
      </c>
      <c r="E23" s="19" t="inlineStr">
        <is>
          <t>Q4</t>
        </is>
      </c>
      <c r="F23" s="19" t="inlineStr">
        <is>
          <t>FY 合計</t>
        </is>
      </c>
      <c r="G23" s="19" t="inlineStr">
        <is>
          <t>FY YoY</t>
        </is>
      </c>
    </row>
    <row r="24">
      <c r="A24" s="46">
        <f>IF(Stock_Card!$B$2="","",IFERROR($Z$1-4,""))</f>
        <v/>
      </c>
      <c r="B24" s="65">
        <f>IF(Stock_Card!$B$2="","",IF(COUNTIFS(Raw_Q!$A$2:$A$600,Stock_Card!$B$2,Raw_Q!$C$2:$C$600,$A24,Raw_Q!$D$2:$D$600,1)=0,"",SUMIFS(Raw_Q!$K$2:$K$600,Raw_Q!$A$2:$A$600,Stock_Card!$B$2,Raw_Q!$C$2:$C$600,$A24,Raw_Q!$D$2:$D$600,1)))</f>
        <v/>
      </c>
      <c r="C24" s="65">
        <f>IF(Stock_Card!$B$2="","",IF(COUNTIFS(Raw_Q!$A$2:$A$600,Stock_Card!$B$2,Raw_Q!$C$2:$C$600,$A24,Raw_Q!$D$2:$D$600,2)=0,"",SUMIFS(Raw_Q!$K$2:$K$600,Raw_Q!$A$2:$A$600,Stock_Card!$B$2,Raw_Q!$C$2:$C$600,$A24,Raw_Q!$D$2:$D$600,2)))</f>
        <v/>
      </c>
      <c r="D24" s="65">
        <f>IF(Stock_Card!$B$2="","",IF(COUNTIFS(Raw_Q!$A$2:$A$600,Stock_Card!$B$2,Raw_Q!$C$2:$C$600,$A24,Raw_Q!$D$2:$D$600,3)=0,"",SUMIFS(Raw_Q!$K$2:$K$600,Raw_Q!$A$2:$A$600,Stock_Card!$B$2,Raw_Q!$C$2:$C$600,$A24,Raw_Q!$D$2:$D$600,3)))</f>
        <v/>
      </c>
      <c r="E24" s="65">
        <f>IF(Stock_Card!$B$2="","",IF(COUNTIFS(Raw_Q!$A$2:$A$600,Stock_Card!$B$2,Raw_Q!$C$2:$C$600,$A24,Raw_Q!$D$2:$D$600,4)=0,"",SUMIFS(Raw_Q!$K$2:$K$600,Raw_Q!$A$2:$A$600,Stock_Card!$B$2,Raw_Q!$C$2:$C$600,$A24,Raw_Q!$D$2:$D$600,4)))</f>
        <v/>
      </c>
      <c r="F24" s="66">
        <f>IF(Stock_Card!$B$2="","",IF(COUNTIFS(Raw_Q!$A$2:$A$600,Stock_Card!$B$2,Raw_Q!$C$2:$C$600,$A24)&lt;4,"未滿4季",SUM(B24:E24)))</f>
        <v/>
      </c>
    </row>
    <row r="25">
      <c r="A25" s="46">
        <f>IF(Stock_Card!$B$2="","",IFERROR($Z$1-3,""))</f>
        <v/>
      </c>
      <c r="B25" s="65">
        <f>IF(Stock_Card!$B$2="","",IF(COUNTIFS(Raw_Q!$A$2:$A$600,Stock_Card!$B$2,Raw_Q!$C$2:$C$600,$A25,Raw_Q!$D$2:$D$600,1)=0,"",SUMIFS(Raw_Q!$K$2:$K$600,Raw_Q!$A$2:$A$600,Stock_Card!$B$2,Raw_Q!$C$2:$C$600,$A25,Raw_Q!$D$2:$D$600,1)))</f>
        <v/>
      </c>
      <c r="C25" s="65">
        <f>IF(Stock_Card!$B$2="","",IF(COUNTIFS(Raw_Q!$A$2:$A$600,Stock_Card!$B$2,Raw_Q!$C$2:$C$600,$A25,Raw_Q!$D$2:$D$600,2)=0,"",SUMIFS(Raw_Q!$K$2:$K$600,Raw_Q!$A$2:$A$600,Stock_Card!$B$2,Raw_Q!$C$2:$C$600,$A25,Raw_Q!$D$2:$D$600,2)))</f>
        <v/>
      </c>
      <c r="D25" s="65">
        <f>IF(Stock_Card!$B$2="","",IF(COUNTIFS(Raw_Q!$A$2:$A$600,Stock_Card!$B$2,Raw_Q!$C$2:$C$600,$A25,Raw_Q!$D$2:$D$600,3)=0,"",SUMIFS(Raw_Q!$K$2:$K$600,Raw_Q!$A$2:$A$600,Stock_Card!$B$2,Raw_Q!$C$2:$C$600,$A25,Raw_Q!$D$2:$D$600,3)))</f>
        <v/>
      </c>
      <c r="E25" s="65">
        <f>IF(Stock_Card!$B$2="","",IF(COUNTIFS(Raw_Q!$A$2:$A$600,Stock_Card!$B$2,Raw_Q!$C$2:$C$600,$A25,Raw_Q!$D$2:$D$600,4)=0,"",SUMIFS(Raw_Q!$K$2:$K$600,Raw_Q!$A$2:$A$600,Stock_Card!$B$2,Raw_Q!$C$2:$C$600,$A25,Raw_Q!$D$2:$D$600,4)))</f>
        <v/>
      </c>
      <c r="F25" s="66">
        <f>IF(Stock_Card!$B$2="","",IF(COUNTIFS(Raw_Q!$A$2:$A$600,Stock_Card!$B$2,Raw_Q!$C$2:$C$600,$A25)&lt;4,"未滿4季",SUM(B25:E25)))</f>
        <v/>
      </c>
      <c r="G25" s="49">
        <f>IFERROR(IF(OR(NOT(ISNUMBER(F25)),NOT(ISNUMBER(F24))),"",F25/F24-1),"")</f>
        <v/>
      </c>
    </row>
    <row r="26">
      <c r="A26" s="46">
        <f>IF(Stock_Card!$B$2="","",IFERROR($Z$1-2,""))</f>
        <v/>
      </c>
      <c r="B26" s="65">
        <f>IF(Stock_Card!$B$2="","",IF(COUNTIFS(Raw_Q!$A$2:$A$600,Stock_Card!$B$2,Raw_Q!$C$2:$C$600,$A26,Raw_Q!$D$2:$D$600,1)=0,"",SUMIFS(Raw_Q!$K$2:$K$600,Raw_Q!$A$2:$A$600,Stock_Card!$B$2,Raw_Q!$C$2:$C$600,$A26,Raw_Q!$D$2:$D$600,1)))</f>
        <v/>
      </c>
      <c r="C26" s="65">
        <f>IF(Stock_Card!$B$2="","",IF(COUNTIFS(Raw_Q!$A$2:$A$600,Stock_Card!$B$2,Raw_Q!$C$2:$C$600,$A26,Raw_Q!$D$2:$D$600,2)=0,"",SUMIFS(Raw_Q!$K$2:$K$600,Raw_Q!$A$2:$A$600,Stock_Card!$B$2,Raw_Q!$C$2:$C$600,$A26,Raw_Q!$D$2:$D$600,2)))</f>
        <v/>
      </c>
      <c r="D26" s="65">
        <f>IF(Stock_Card!$B$2="","",IF(COUNTIFS(Raw_Q!$A$2:$A$600,Stock_Card!$B$2,Raw_Q!$C$2:$C$600,$A26,Raw_Q!$D$2:$D$600,3)=0,"",SUMIFS(Raw_Q!$K$2:$K$600,Raw_Q!$A$2:$A$600,Stock_Card!$B$2,Raw_Q!$C$2:$C$600,$A26,Raw_Q!$D$2:$D$600,3)))</f>
        <v/>
      </c>
      <c r="E26" s="65">
        <f>IF(Stock_Card!$B$2="","",IF(COUNTIFS(Raw_Q!$A$2:$A$600,Stock_Card!$B$2,Raw_Q!$C$2:$C$600,$A26,Raw_Q!$D$2:$D$600,4)=0,"",SUMIFS(Raw_Q!$K$2:$K$600,Raw_Q!$A$2:$A$600,Stock_Card!$B$2,Raw_Q!$C$2:$C$600,$A26,Raw_Q!$D$2:$D$600,4)))</f>
        <v/>
      </c>
      <c r="F26" s="66">
        <f>IF(Stock_Card!$B$2="","",IF(COUNTIFS(Raw_Q!$A$2:$A$600,Stock_Card!$B$2,Raw_Q!$C$2:$C$600,$A26)&lt;4,"未滿4季",SUM(B26:E26)))</f>
        <v/>
      </c>
      <c r="G26" s="49">
        <f>IFERROR(IF(OR(NOT(ISNUMBER(F26)),NOT(ISNUMBER(F25))),"",F26/F25-1),"")</f>
        <v/>
      </c>
    </row>
    <row r="27">
      <c r="A27" s="46">
        <f>IF(Stock_Card!$B$2="","",IFERROR($Z$1-1,""))</f>
        <v/>
      </c>
      <c r="B27" s="65">
        <f>IF(Stock_Card!$B$2="","",IF(COUNTIFS(Raw_Q!$A$2:$A$600,Stock_Card!$B$2,Raw_Q!$C$2:$C$600,$A27,Raw_Q!$D$2:$D$600,1)=0,"",SUMIFS(Raw_Q!$K$2:$K$600,Raw_Q!$A$2:$A$600,Stock_Card!$B$2,Raw_Q!$C$2:$C$600,$A27,Raw_Q!$D$2:$D$600,1)))</f>
        <v/>
      </c>
      <c r="C27" s="65">
        <f>IF(Stock_Card!$B$2="","",IF(COUNTIFS(Raw_Q!$A$2:$A$600,Stock_Card!$B$2,Raw_Q!$C$2:$C$600,$A27,Raw_Q!$D$2:$D$600,2)=0,"",SUMIFS(Raw_Q!$K$2:$K$600,Raw_Q!$A$2:$A$600,Stock_Card!$B$2,Raw_Q!$C$2:$C$600,$A27,Raw_Q!$D$2:$D$600,2)))</f>
        <v/>
      </c>
      <c r="D27" s="65">
        <f>IF(Stock_Card!$B$2="","",IF(COUNTIFS(Raw_Q!$A$2:$A$600,Stock_Card!$B$2,Raw_Q!$C$2:$C$600,$A27,Raw_Q!$D$2:$D$600,3)=0,"",SUMIFS(Raw_Q!$K$2:$K$600,Raw_Q!$A$2:$A$600,Stock_Card!$B$2,Raw_Q!$C$2:$C$600,$A27,Raw_Q!$D$2:$D$600,3)))</f>
        <v/>
      </c>
      <c r="E27" s="65">
        <f>IF(Stock_Card!$B$2="","",IF(COUNTIFS(Raw_Q!$A$2:$A$600,Stock_Card!$B$2,Raw_Q!$C$2:$C$600,$A27,Raw_Q!$D$2:$D$600,4)=0,"",SUMIFS(Raw_Q!$K$2:$K$600,Raw_Q!$A$2:$A$600,Stock_Card!$B$2,Raw_Q!$C$2:$C$600,$A27,Raw_Q!$D$2:$D$600,4)))</f>
        <v/>
      </c>
      <c r="F27" s="66">
        <f>IF(Stock_Card!$B$2="","",IF(COUNTIFS(Raw_Q!$A$2:$A$600,Stock_Card!$B$2,Raw_Q!$C$2:$C$600,$A27)&lt;4,"未滿4季",SUM(B27:E27)))</f>
        <v/>
      </c>
      <c r="G27" s="49">
        <f>IFERROR(IF(OR(NOT(ISNUMBER(F27)),NOT(ISNUMBER(F26))),"",F27/F26-1),"")</f>
        <v/>
      </c>
    </row>
    <row r="28">
      <c r="A28" s="46">
        <f>IF(Stock_Card!$B$2="","",IFERROR($Z$1-0,""))</f>
        <v/>
      </c>
      <c r="B28" s="65">
        <f>IF(Stock_Card!$B$2="","",IF(COUNTIFS(Raw_Q!$A$2:$A$600,Stock_Card!$B$2,Raw_Q!$C$2:$C$600,$A28,Raw_Q!$D$2:$D$600,1)=0,"",SUMIFS(Raw_Q!$K$2:$K$600,Raw_Q!$A$2:$A$600,Stock_Card!$B$2,Raw_Q!$C$2:$C$600,$A28,Raw_Q!$D$2:$D$600,1)))</f>
        <v/>
      </c>
      <c r="C28" s="65">
        <f>IF(Stock_Card!$B$2="","",IF(COUNTIFS(Raw_Q!$A$2:$A$600,Stock_Card!$B$2,Raw_Q!$C$2:$C$600,$A28,Raw_Q!$D$2:$D$600,2)=0,"",SUMIFS(Raw_Q!$K$2:$K$600,Raw_Q!$A$2:$A$600,Stock_Card!$B$2,Raw_Q!$C$2:$C$600,$A28,Raw_Q!$D$2:$D$600,2)))</f>
        <v/>
      </c>
      <c r="D28" s="65">
        <f>IF(Stock_Card!$B$2="","",IF(COUNTIFS(Raw_Q!$A$2:$A$600,Stock_Card!$B$2,Raw_Q!$C$2:$C$600,$A28,Raw_Q!$D$2:$D$600,3)=0,"",SUMIFS(Raw_Q!$K$2:$K$600,Raw_Q!$A$2:$A$600,Stock_Card!$B$2,Raw_Q!$C$2:$C$600,$A28,Raw_Q!$D$2:$D$600,3)))</f>
        <v/>
      </c>
      <c r="E28" s="65">
        <f>IF(Stock_Card!$B$2="","",IF(COUNTIFS(Raw_Q!$A$2:$A$600,Stock_Card!$B$2,Raw_Q!$C$2:$C$600,$A28,Raw_Q!$D$2:$D$600,4)=0,"",SUMIFS(Raw_Q!$K$2:$K$600,Raw_Q!$A$2:$A$600,Stock_Card!$B$2,Raw_Q!$C$2:$C$600,$A28,Raw_Q!$D$2:$D$600,4)))</f>
        <v/>
      </c>
      <c r="F28" s="66">
        <f>IF(Stock_Card!$B$2="","",IF(COUNTIFS(Raw_Q!$A$2:$A$600,Stock_Card!$B$2,Raw_Q!$C$2:$C$600,$A28)&lt;4,"未滿4季",SUM(B28:E28)))</f>
        <v/>
      </c>
      <c r="G28" s="49">
        <f>IFERROR(IF(OR(NOT(ISNUMBER(F28)),NOT(ISNUMBER(F27))),"",F28/F27-1),"")</f>
        <v/>
      </c>
    </row>
    <row r="30">
      <c r="A30" s="27" t="inlineStr">
        <is>
          <t>↓ 這張就是「每季營收成長率」，季節可比。</t>
        </is>
      </c>
    </row>
    <row r="31">
      <c r="A31" s="4" t="inlineStr">
        <is>
          <t>營收 YoY 成長率  ·  年 × 季矩陣</t>
        </is>
      </c>
    </row>
    <row r="32" ht="32" customHeight="1">
      <c r="A32" s="19" t="inlineStr">
        <is>
          <t>財年</t>
        </is>
      </c>
      <c r="B32" s="19" t="inlineStr">
        <is>
          <t>Q1</t>
        </is>
      </c>
      <c r="C32" s="19" t="inlineStr">
        <is>
          <t>Q2</t>
        </is>
      </c>
      <c r="D32" s="19" t="inlineStr">
        <is>
          <t>Q3</t>
        </is>
      </c>
      <c r="E32" s="19" t="inlineStr">
        <is>
          <t>Q4</t>
        </is>
      </c>
    </row>
    <row r="33">
      <c r="A33" s="46">
        <f>IF(Stock_Card!$B$2="","",IFERROR($Z$1-4,""))</f>
        <v/>
      </c>
      <c r="B33" s="60">
        <f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0">
        <f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0">
        <f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0">
        <f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>
      <c r="A34" s="46">
        <f>IF(Stock_Card!$B$2="","",IFERROR($Z$1-3,""))</f>
        <v/>
      </c>
      <c r="B34" s="60">
        <f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0">
        <f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0">
        <f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0">
        <f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>
      <c r="A35" s="46">
        <f>IF(Stock_Card!$B$2="","",IFERROR($Z$1-2,""))</f>
        <v/>
      </c>
      <c r="B35" s="60">
        <f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0">
        <f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0">
        <f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0">
        <f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>
      <c r="A36" s="46">
        <f>IF(Stock_Card!$B$2="","",IFERROR($Z$1-1,""))</f>
        <v/>
      </c>
      <c r="B36" s="60">
        <f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0">
        <f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0">
        <f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0">
        <f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>
      <c r="A37" s="46">
        <f>IF(Stock_Card!$B$2="","",IFERROR($Z$1-0,""))</f>
        <v/>
      </c>
      <c r="B37" s="60">
        <f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0">
        <f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0">
        <f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0">
        <f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1">
      <dataBar showValue="1">
        <cfvo type="min"/>
        <cfvo type="max"/>
        <color rgb="00638EC6"/>
      </dataBar>
    </cfRule>
  </conditionalFormatting>
  <conditionalFormatting sqref="D5:D17">
    <cfRule type="colorScale" priority="2">
      <colorScale>
        <cfvo type="min"/>
        <cfvo type="max"/>
        <color rgb="00FFFFFF"/>
        <color rgb="0063BE7B"/>
      </colorScale>
    </cfRule>
  </conditionalFormatting>
  <conditionalFormatting sqref="G5:G17">
    <cfRule type="cellIs" priority="3" operator="equal" dxfId="1">
      <formula>"成長且加速"</formula>
    </cfRule>
    <cfRule type="cellIs" priority="4" operator="equal" dxfId="2">
      <formula>"成長但減速"</formula>
    </cfRule>
    <cfRule type="cellIs" priority="5" operator="equal" dxfId="2">
      <formula>"衰退但收斂"</formula>
    </cfRule>
    <cfRule type="cellIs" priority="6" operator="equal" dxfId="3">
      <formula>"衰退且惡化"</formula>
    </cfRule>
  </conditionalFormatting>
  <conditionalFormatting sqref="H5:H17">
    <cfRule type="colorScale" priority="7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F5:F17">
    <cfRule type="colorScale" priority="8">
      <colorScale>
        <cfvo type="num" val="-30"/>
        <cfvo type="num" val="0"/>
        <cfvo type="num" val="30"/>
        <color rgb="00F8696B"/>
        <color rgb="00FFFFFF"/>
        <color rgb="0063BE7B"/>
      </colorScale>
    </cfRule>
  </conditionalFormatting>
  <conditionalFormatting sqref="K5:K17">
    <cfRule type="colorScale" priority="9">
      <colorScale>
        <cfvo type="num" val="-200"/>
        <cfvo type="num" val="0"/>
        <cfvo type="num" val="200"/>
        <color rgb="00F8696B"/>
        <color rgb="00FFFFFF"/>
        <color rgb="0063BE7B"/>
      </colorScale>
    </cfRule>
  </conditionalFormatting>
  <conditionalFormatting sqref="A5:O17">
    <cfRule type="expression" priority="10" dxfId="5">
      <formula>$O5="預估"</formula>
    </cfRule>
  </conditionalFormatting>
  <conditionalFormatting sqref="B24:B28">
    <cfRule type="expression" priority="11" dxfId="5">
      <formula>COUNTIFS(Raw_Q!$A$2:$A$600,Stock_Card!$B$2,Raw_Q!$C$2:$C$600,$A24,Raw_Q!$D$2:$D$600,1,Raw_Q!$F$2:$F$600,"Y")&gt;0</formula>
    </cfRule>
  </conditionalFormatting>
  <conditionalFormatting sqref="C24:C28">
    <cfRule type="expression" priority="12" dxfId="5">
      <formula>COUNTIFS(Raw_Q!$A$2:$A$600,Stock_Card!$B$2,Raw_Q!$C$2:$C$600,$A24,Raw_Q!$D$2:$D$600,2,Raw_Q!$F$2:$F$600,"Y")&gt;0</formula>
    </cfRule>
  </conditionalFormatting>
  <conditionalFormatting sqref="D24:D28">
    <cfRule type="expression" priority="13" dxfId="5">
      <formula>COUNTIFS(Raw_Q!$A$2:$A$600,Stock_Card!$B$2,Raw_Q!$C$2:$C$600,$A24,Raw_Q!$D$2:$D$600,3,Raw_Q!$F$2:$F$600,"Y")&gt;0</formula>
    </cfRule>
  </conditionalFormatting>
  <conditionalFormatting sqref="E24:E28">
    <cfRule type="expression" priority="14" dxfId="5">
      <formula>COUNTIFS(Raw_Q!$A$2:$A$600,Stock_Card!$B$2,Raw_Q!$C$2:$C$600,$A24,Raw_Q!$D$2:$D$600,4,Raw_Q!$F$2:$F$600,"Y")&gt;0</formula>
    </cfRule>
  </conditionalFormatting>
  <conditionalFormatting sqref="B33:B37">
    <cfRule type="expression" priority="15" dxfId="5">
      <formula>COUNTIFS(Raw_Q!$A$2:$A$600,Stock_Card!$B$2,Raw_Q!$C$2:$C$600,$A33,Raw_Q!$D$2:$D$600,1,Raw_Q!$F$2:$F$600,"Y")&gt;0</formula>
    </cfRule>
  </conditionalFormatting>
  <conditionalFormatting sqref="C33:C37">
    <cfRule type="expression" priority="16" dxfId="5">
      <formula>COUNTIFS(Raw_Q!$A$2:$A$600,Stock_Card!$B$2,Raw_Q!$C$2:$C$600,$A33,Raw_Q!$D$2:$D$600,2,Raw_Q!$F$2:$F$600,"Y")&gt;0</formula>
    </cfRule>
  </conditionalFormatting>
  <conditionalFormatting sqref="D33:D37">
    <cfRule type="expression" priority="17" dxfId="5">
      <formula>COUNTIFS(Raw_Q!$A$2:$A$600,Stock_Card!$B$2,Raw_Q!$C$2:$C$600,$A33,Raw_Q!$D$2:$D$600,3,Raw_Q!$F$2:$F$600,"Y")&gt;0</formula>
    </cfRule>
  </conditionalFormatting>
  <conditionalFormatting sqref="E33:E37">
    <cfRule type="expression" priority="18" dxfId="5">
      <formula>COUNTIFS(Raw_Q!$A$2:$A$600,Stock_Card!$B$2,Raw_Q!$C$2:$C$600,$A33,Raw_Q!$D$2:$D$600,4,Raw_Q!$F$2:$F$600,"Y")&gt;0</formula>
    </cfRule>
  </conditionalFormatting>
  <conditionalFormatting sqref="B33:E37">
    <cfRule type="colorScale" priority="19">
      <colorScale>
        <cfvo type="min"/>
        <cfvo type="max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2" customWidth="1" min="4" max="4"/>
    <col width="13" customWidth="1" min="5" max="5"/>
    <col width="14" customWidth="1" min="6" max="6"/>
    <col width="12" customWidth="1" min="7" max="7"/>
    <col width="11" customWidth="1" min="8" max="8"/>
    <col width="12" customWidth="1" min="9" max="9"/>
    <col width="18" customWidth="1" min="10" max="10"/>
  </cols>
  <sheetData>
    <row r="1">
      <c r="A1" s="1" t="inlineStr">
        <is>
          <t>資料完整度儀表板</t>
        </is>
      </c>
    </row>
    <row r="3" ht="32" customHeight="1">
      <c r="A3" s="19" t="inlineStr">
        <is>
          <t>ticker</t>
        </is>
      </c>
      <c r="B3" s="19" t="inlineStr">
        <is>
          <t>實際季數</t>
        </is>
      </c>
      <c r="C3" s="19" t="inlineStr">
        <is>
          <t>目標</t>
        </is>
      </c>
      <c r="D3" s="19" t="inlineStr">
        <is>
          <t>最舊季</t>
        </is>
      </c>
      <c r="E3" s="19" t="inlineStr">
        <is>
          <t>最新實際季</t>
        </is>
      </c>
      <c r="F3" s="19" t="inlineStr">
        <is>
          <t>當季預估期別</t>
        </is>
      </c>
      <c r="G3" s="19" t="inlineStr">
        <is>
          <t>下次財報日</t>
        </is>
      </c>
      <c r="H3" s="19" t="inlineStr">
        <is>
          <t>距財報(天)</t>
        </is>
      </c>
      <c r="I3" s="19" t="inlineStr">
        <is>
          <t>資料日期</t>
        </is>
      </c>
      <c r="J3" s="19" t="inlineStr">
        <is>
          <t>狀態</t>
        </is>
      </c>
    </row>
    <row r="4">
      <c r="A4" s="20">
        <f>IF(Calc!$A$2="","",Calc!$A$2)</f>
        <v/>
      </c>
      <c r="B4" s="47">
        <f>IF($A4="","",COUNTIFS(Raw_Q!$A$2:$A$600,$A4,Raw_Q!$F$2:$F$600,"N"))</f>
        <v/>
      </c>
      <c r="C4" s="47">
        <f>IF($A4="","",Config!$B$4)</f>
        <v/>
      </c>
      <c r="D4" s="63">
        <f>IF($A4="","",IFERROR(SUMIFS(Raw_Q!$E$2:$E$600,Raw_Q!$A$2:$A$600,$A4,Raw_Q!$P$2:$P$600,$B4),""))</f>
        <v/>
      </c>
      <c r="E4" s="63">
        <f>IF($A4="","",IFERROR(SUMIFS(Raw_Q!$E$2:$E$600,Raw_Q!$A$2:$A$600,$A4,Raw_Q!$P$2:$P$600,1),""))</f>
        <v/>
      </c>
      <c r="F4" s="62">
        <f>IF($A4="","",IFERROR(INDEX(Raw_Q!$B$2:$B$600,MATCH($A4&amp;"|"&amp;0,Raw_Q!$Q$2:$Q$600,0)),""))</f>
        <v/>
      </c>
      <c r="G4" s="63">
        <f>IF($A4="","",IFERROR(INDEX(Raw_Price!$D$2:$D$100,MATCH($A4,Raw_Price!$A$2:$A$100,0)),""))</f>
        <v/>
      </c>
      <c r="H4" s="47">
        <f>IF($A4="","",IFERROR(INDEX(Raw_Price!$D$2:$D$100,MATCH($A4,Raw_Price!$A$2:$A$100,0))-TODAY(),""))</f>
        <v/>
      </c>
      <c r="I4" s="63">
        <f>IF($A4="","",IFERROR(INDEX(Raw_Price!$E$2:$E$100,MATCH($A4,Raw_Price!$A$2:$A$100,0)),""))</f>
        <v/>
      </c>
      <c r="J4" s="62">
        <f>IF($A4="","",IF($B4=0,"未抓取",IF($B4&lt;$C4,"需補歷史 ("&amp;($C4-$B4)&amp;" 季)",IF(TODAY()&gt;$G4,"待更新財報","OK"))))</f>
        <v/>
      </c>
    </row>
    <row r="5">
      <c r="A5" s="20">
        <f>IF(Calc!$A$3="","",Calc!$A$3)</f>
        <v/>
      </c>
      <c r="B5" s="47">
        <f>IF($A5="","",COUNTIFS(Raw_Q!$A$2:$A$600,$A5,Raw_Q!$F$2:$F$600,"N"))</f>
        <v/>
      </c>
      <c r="C5" s="47">
        <f>IF($A5="","",Config!$B$4)</f>
        <v/>
      </c>
      <c r="D5" s="63">
        <f>IF($A5="","",IFERROR(SUMIFS(Raw_Q!$E$2:$E$600,Raw_Q!$A$2:$A$600,$A5,Raw_Q!$P$2:$P$600,$B5),""))</f>
        <v/>
      </c>
      <c r="E5" s="63">
        <f>IF($A5="","",IFERROR(SUMIFS(Raw_Q!$E$2:$E$600,Raw_Q!$A$2:$A$600,$A5,Raw_Q!$P$2:$P$600,1),""))</f>
        <v/>
      </c>
      <c r="F5" s="62">
        <f>IF($A5="","",IFERROR(INDEX(Raw_Q!$B$2:$B$600,MATCH($A5&amp;"|"&amp;0,Raw_Q!$Q$2:$Q$600,0)),""))</f>
        <v/>
      </c>
      <c r="G5" s="63">
        <f>IF($A5="","",IFERROR(INDEX(Raw_Price!$D$2:$D$100,MATCH($A5,Raw_Price!$A$2:$A$100,0)),""))</f>
        <v/>
      </c>
      <c r="H5" s="47">
        <f>IF($A5="","",IFERROR(INDEX(Raw_Price!$D$2:$D$100,MATCH($A5,Raw_Price!$A$2:$A$100,0))-TODAY(),""))</f>
        <v/>
      </c>
      <c r="I5" s="63">
        <f>IF($A5="","",IFERROR(INDEX(Raw_Price!$E$2:$E$100,MATCH($A5,Raw_Price!$A$2:$A$100,0)),""))</f>
        <v/>
      </c>
      <c r="J5" s="62">
        <f>IF($A5="","",IF($B5=0,"未抓取",IF($B5&lt;$C5,"需補歷史 ("&amp;($C5-$B5)&amp;" 季)",IF(TODAY()&gt;$G5,"待更新財報","OK"))))</f>
        <v/>
      </c>
    </row>
    <row r="6">
      <c r="A6" s="20">
        <f>IF(Calc!$A$4="","",Calc!$A$4)</f>
        <v/>
      </c>
      <c r="B6" s="47">
        <f>IF($A6="","",COUNTIFS(Raw_Q!$A$2:$A$600,$A6,Raw_Q!$F$2:$F$600,"N"))</f>
        <v/>
      </c>
      <c r="C6" s="47">
        <f>IF($A6="","",Config!$B$4)</f>
        <v/>
      </c>
      <c r="D6" s="63">
        <f>IF($A6="","",IFERROR(SUMIFS(Raw_Q!$E$2:$E$600,Raw_Q!$A$2:$A$600,$A6,Raw_Q!$P$2:$P$600,$B6),""))</f>
        <v/>
      </c>
      <c r="E6" s="63">
        <f>IF($A6="","",IFERROR(SUMIFS(Raw_Q!$E$2:$E$600,Raw_Q!$A$2:$A$600,$A6,Raw_Q!$P$2:$P$600,1),""))</f>
        <v/>
      </c>
      <c r="F6" s="62">
        <f>IF($A6="","",IFERROR(INDEX(Raw_Q!$B$2:$B$600,MATCH($A6&amp;"|"&amp;0,Raw_Q!$Q$2:$Q$600,0)),""))</f>
        <v/>
      </c>
      <c r="G6" s="63">
        <f>IF($A6="","",IFERROR(INDEX(Raw_Price!$D$2:$D$100,MATCH($A6,Raw_Price!$A$2:$A$100,0)),""))</f>
        <v/>
      </c>
      <c r="H6" s="47">
        <f>IF($A6="","",IFERROR(INDEX(Raw_Price!$D$2:$D$100,MATCH($A6,Raw_Price!$A$2:$A$100,0))-TODAY(),""))</f>
        <v/>
      </c>
      <c r="I6" s="63">
        <f>IF($A6="","",IFERROR(INDEX(Raw_Price!$E$2:$E$100,MATCH($A6,Raw_Price!$A$2:$A$100,0)),""))</f>
        <v/>
      </c>
      <c r="J6" s="62">
        <f>IF($A6="","",IF($B6=0,"未抓取",IF($B6&lt;$C6,"需補歷史 ("&amp;($C6-$B6)&amp;" 季)",IF(TODAY()&gt;$G6,"待更新財報","OK"))))</f>
        <v/>
      </c>
    </row>
    <row r="7">
      <c r="A7" s="20">
        <f>IF(Calc!$A$5="","",Calc!$A$5)</f>
        <v/>
      </c>
      <c r="B7" s="47">
        <f>IF($A7="","",COUNTIFS(Raw_Q!$A$2:$A$600,$A7,Raw_Q!$F$2:$F$600,"N"))</f>
        <v/>
      </c>
      <c r="C7" s="47">
        <f>IF($A7="","",Config!$B$4)</f>
        <v/>
      </c>
      <c r="D7" s="63">
        <f>IF($A7="","",IFERROR(SUMIFS(Raw_Q!$E$2:$E$600,Raw_Q!$A$2:$A$600,$A7,Raw_Q!$P$2:$P$600,$B7),""))</f>
        <v/>
      </c>
      <c r="E7" s="63">
        <f>IF($A7="","",IFERROR(SUMIFS(Raw_Q!$E$2:$E$600,Raw_Q!$A$2:$A$600,$A7,Raw_Q!$P$2:$P$600,1),""))</f>
        <v/>
      </c>
      <c r="F7" s="62">
        <f>IF($A7="","",IFERROR(INDEX(Raw_Q!$B$2:$B$600,MATCH($A7&amp;"|"&amp;0,Raw_Q!$Q$2:$Q$600,0)),""))</f>
        <v/>
      </c>
      <c r="G7" s="63">
        <f>IF($A7="","",IFERROR(INDEX(Raw_Price!$D$2:$D$100,MATCH($A7,Raw_Price!$A$2:$A$100,0)),""))</f>
        <v/>
      </c>
      <c r="H7" s="47">
        <f>IF($A7="","",IFERROR(INDEX(Raw_Price!$D$2:$D$100,MATCH($A7,Raw_Price!$A$2:$A$100,0))-TODAY(),""))</f>
        <v/>
      </c>
      <c r="I7" s="63">
        <f>IF($A7="","",IFERROR(INDEX(Raw_Price!$E$2:$E$100,MATCH($A7,Raw_Price!$A$2:$A$100,0)),""))</f>
        <v/>
      </c>
      <c r="J7" s="62">
        <f>IF($A7="","",IF($B7=0,"未抓取",IF($B7&lt;$C7,"需補歷史 ("&amp;($C7-$B7)&amp;" 季)",IF(TODAY()&gt;$G7,"待更新財報","OK"))))</f>
        <v/>
      </c>
    </row>
    <row r="8">
      <c r="A8" s="20">
        <f>IF(Calc!$A$6="","",Calc!$A$6)</f>
        <v/>
      </c>
      <c r="B8" s="47">
        <f>IF($A8="","",COUNTIFS(Raw_Q!$A$2:$A$600,$A8,Raw_Q!$F$2:$F$600,"N"))</f>
        <v/>
      </c>
      <c r="C8" s="47">
        <f>IF($A8="","",Config!$B$4)</f>
        <v/>
      </c>
      <c r="D8" s="63">
        <f>IF($A8="","",IFERROR(SUMIFS(Raw_Q!$E$2:$E$600,Raw_Q!$A$2:$A$600,$A8,Raw_Q!$P$2:$P$600,$B8),""))</f>
        <v/>
      </c>
      <c r="E8" s="63">
        <f>IF($A8="","",IFERROR(SUMIFS(Raw_Q!$E$2:$E$600,Raw_Q!$A$2:$A$600,$A8,Raw_Q!$P$2:$P$600,1),""))</f>
        <v/>
      </c>
      <c r="F8" s="62">
        <f>IF($A8="","",IFERROR(INDEX(Raw_Q!$B$2:$B$600,MATCH($A8&amp;"|"&amp;0,Raw_Q!$Q$2:$Q$600,0)),""))</f>
        <v/>
      </c>
      <c r="G8" s="63">
        <f>IF($A8="","",IFERROR(INDEX(Raw_Price!$D$2:$D$100,MATCH($A8,Raw_Price!$A$2:$A$100,0)),""))</f>
        <v/>
      </c>
      <c r="H8" s="47">
        <f>IF($A8="","",IFERROR(INDEX(Raw_Price!$D$2:$D$100,MATCH($A8,Raw_Price!$A$2:$A$100,0))-TODAY(),""))</f>
        <v/>
      </c>
      <c r="I8" s="63">
        <f>IF($A8="","",IFERROR(INDEX(Raw_Price!$E$2:$E$100,MATCH($A8,Raw_Price!$A$2:$A$100,0)),""))</f>
        <v/>
      </c>
      <c r="J8" s="62">
        <f>IF($A8="","",IF($B8=0,"未抓取",IF($B8&lt;$C8,"需補歷史 ("&amp;($C8-$B8)&amp;" 季)",IF(TODAY()&gt;$G8,"待更新財報","OK"))))</f>
        <v/>
      </c>
    </row>
    <row r="9">
      <c r="A9" s="20">
        <f>IF(Calc!$A$7="","",Calc!$A$7)</f>
        <v/>
      </c>
      <c r="B9" s="47">
        <f>IF($A9="","",COUNTIFS(Raw_Q!$A$2:$A$600,$A9,Raw_Q!$F$2:$F$600,"N"))</f>
        <v/>
      </c>
      <c r="C9" s="47">
        <f>IF($A9="","",Config!$B$4)</f>
        <v/>
      </c>
      <c r="D9" s="63">
        <f>IF($A9="","",IFERROR(SUMIFS(Raw_Q!$E$2:$E$600,Raw_Q!$A$2:$A$600,$A9,Raw_Q!$P$2:$P$600,$B9),""))</f>
        <v/>
      </c>
      <c r="E9" s="63">
        <f>IF($A9="","",IFERROR(SUMIFS(Raw_Q!$E$2:$E$600,Raw_Q!$A$2:$A$600,$A9,Raw_Q!$P$2:$P$600,1),""))</f>
        <v/>
      </c>
      <c r="F9" s="62">
        <f>IF($A9="","",IFERROR(INDEX(Raw_Q!$B$2:$B$600,MATCH($A9&amp;"|"&amp;0,Raw_Q!$Q$2:$Q$600,0)),""))</f>
        <v/>
      </c>
      <c r="G9" s="63">
        <f>IF($A9="","",IFERROR(INDEX(Raw_Price!$D$2:$D$100,MATCH($A9,Raw_Price!$A$2:$A$100,0)),""))</f>
        <v/>
      </c>
      <c r="H9" s="47">
        <f>IF($A9="","",IFERROR(INDEX(Raw_Price!$D$2:$D$100,MATCH($A9,Raw_Price!$A$2:$A$100,0))-TODAY(),""))</f>
        <v/>
      </c>
      <c r="I9" s="63">
        <f>IF($A9="","",IFERROR(INDEX(Raw_Price!$E$2:$E$100,MATCH($A9,Raw_Price!$A$2:$A$100,0)),""))</f>
        <v/>
      </c>
      <c r="J9" s="62">
        <f>IF($A9="","",IF($B9=0,"未抓取",IF($B9&lt;$C9,"需補歷史 ("&amp;($C9-$B9)&amp;" 季)",IF(TODAY()&gt;$G9,"待更新財報","OK"))))</f>
        <v/>
      </c>
    </row>
    <row r="10">
      <c r="A10" s="20">
        <f>IF(Calc!$A$8="","",Calc!$A$8)</f>
        <v/>
      </c>
      <c r="B10" s="47">
        <f>IF($A10="","",COUNTIFS(Raw_Q!$A$2:$A$600,$A10,Raw_Q!$F$2:$F$600,"N"))</f>
        <v/>
      </c>
      <c r="C10" s="47">
        <f>IF($A10="","",Config!$B$4)</f>
        <v/>
      </c>
      <c r="D10" s="63">
        <f>IF($A10="","",IFERROR(SUMIFS(Raw_Q!$E$2:$E$600,Raw_Q!$A$2:$A$600,$A10,Raw_Q!$P$2:$P$600,$B10),""))</f>
        <v/>
      </c>
      <c r="E10" s="63">
        <f>IF($A10="","",IFERROR(SUMIFS(Raw_Q!$E$2:$E$600,Raw_Q!$A$2:$A$600,$A10,Raw_Q!$P$2:$P$600,1),""))</f>
        <v/>
      </c>
      <c r="F10" s="62">
        <f>IF($A10="","",IFERROR(INDEX(Raw_Q!$B$2:$B$600,MATCH($A10&amp;"|"&amp;0,Raw_Q!$Q$2:$Q$600,0)),""))</f>
        <v/>
      </c>
      <c r="G10" s="63">
        <f>IF($A10="","",IFERROR(INDEX(Raw_Price!$D$2:$D$100,MATCH($A10,Raw_Price!$A$2:$A$100,0)),""))</f>
        <v/>
      </c>
      <c r="H10" s="47">
        <f>IF($A10="","",IFERROR(INDEX(Raw_Price!$D$2:$D$100,MATCH($A10,Raw_Price!$A$2:$A$100,0))-TODAY(),""))</f>
        <v/>
      </c>
      <c r="I10" s="63">
        <f>IF($A10="","",IFERROR(INDEX(Raw_Price!$E$2:$E$100,MATCH($A10,Raw_Price!$A$2:$A$100,0)),""))</f>
        <v/>
      </c>
      <c r="J10" s="62">
        <f>IF($A10="","",IF($B10=0,"未抓取",IF($B10&lt;$C10,"需補歷史 ("&amp;($C10-$B10)&amp;" 季)",IF(TODAY()&gt;$G10,"待更新財報","OK"))))</f>
        <v/>
      </c>
    </row>
    <row r="11">
      <c r="A11" s="20">
        <f>IF(Calc!$A$9="","",Calc!$A$9)</f>
        <v/>
      </c>
      <c r="B11" s="47">
        <f>IF($A11="","",COUNTIFS(Raw_Q!$A$2:$A$600,$A11,Raw_Q!$F$2:$F$600,"N"))</f>
        <v/>
      </c>
      <c r="C11" s="47">
        <f>IF($A11="","",Config!$B$4)</f>
        <v/>
      </c>
      <c r="D11" s="63">
        <f>IF($A11="","",IFERROR(SUMIFS(Raw_Q!$E$2:$E$600,Raw_Q!$A$2:$A$600,$A11,Raw_Q!$P$2:$P$600,$B11),""))</f>
        <v/>
      </c>
      <c r="E11" s="63">
        <f>IF($A11="","",IFERROR(SUMIFS(Raw_Q!$E$2:$E$600,Raw_Q!$A$2:$A$600,$A11,Raw_Q!$P$2:$P$600,1),""))</f>
        <v/>
      </c>
      <c r="F11" s="62">
        <f>IF($A11="","",IFERROR(INDEX(Raw_Q!$B$2:$B$600,MATCH($A11&amp;"|"&amp;0,Raw_Q!$Q$2:$Q$600,0)),""))</f>
        <v/>
      </c>
      <c r="G11" s="63">
        <f>IF($A11="","",IFERROR(INDEX(Raw_Price!$D$2:$D$100,MATCH($A11,Raw_Price!$A$2:$A$100,0)),""))</f>
        <v/>
      </c>
      <c r="H11" s="47">
        <f>IF($A11="","",IFERROR(INDEX(Raw_Price!$D$2:$D$100,MATCH($A11,Raw_Price!$A$2:$A$100,0))-TODAY(),""))</f>
        <v/>
      </c>
      <c r="I11" s="63">
        <f>IF($A11="","",IFERROR(INDEX(Raw_Price!$E$2:$E$100,MATCH($A11,Raw_Price!$A$2:$A$100,0)),""))</f>
        <v/>
      </c>
      <c r="J11" s="62">
        <f>IF($A11="","",IF($B11=0,"未抓取",IF($B11&lt;$C11,"需補歷史 ("&amp;($C11-$B11)&amp;" 季)",IF(TODAY()&gt;$G11,"待更新財報","OK"))))</f>
        <v/>
      </c>
    </row>
    <row r="12">
      <c r="A12" s="20">
        <f>IF(Calc!$A$10="","",Calc!$A$10)</f>
        <v/>
      </c>
      <c r="B12" s="47">
        <f>IF($A12="","",COUNTIFS(Raw_Q!$A$2:$A$600,$A12,Raw_Q!$F$2:$F$600,"N"))</f>
        <v/>
      </c>
      <c r="C12" s="47">
        <f>IF($A12="","",Config!$B$4)</f>
        <v/>
      </c>
      <c r="D12" s="63">
        <f>IF($A12="","",IFERROR(SUMIFS(Raw_Q!$E$2:$E$600,Raw_Q!$A$2:$A$600,$A12,Raw_Q!$P$2:$P$600,$B12),""))</f>
        <v/>
      </c>
      <c r="E12" s="63">
        <f>IF($A12="","",IFERROR(SUMIFS(Raw_Q!$E$2:$E$600,Raw_Q!$A$2:$A$600,$A12,Raw_Q!$P$2:$P$600,1),""))</f>
        <v/>
      </c>
      <c r="F12" s="62">
        <f>IF($A12="","",IFERROR(INDEX(Raw_Q!$B$2:$B$600,MATCH($A12&amp;"|"&amp;0,Raw_Q!$Q$2:$Q$600,0)),""))</f>
        <v/>
      </c>
      <c r="G12" s="63">
        <f>IF($A12="","",IFERROR(INDEX(Raw_Price!$D$2:$D$100,MATCH($A12,Raw_Price!$A$2:$A$100,0)),""))</f>
        <v/>
      </c>
      <c r="H12" s="47">
        <f>IF($A12="","",IFERROR(INDEX(Raw_Price!$D$2:$D$100,MATCH($A12,Raw_Price!$A$2:$A$100,0))-TODAY(),""))</f>
        <v/>
      </c>
      <c r="I12" s="63">
        <f>IF($A12="","",IFERROR(INDEX(Raw_Price!$E$2:$E$100,MATCH($A12,Raw_Price!$A$2:$A$100,0)),""))</f>
        <v/>
      </c>
      <c r="J12" s="62">
        <f>IF($A12="","",IF($B12=0,"未抓取",IF($B12&lt;$C12,"需補歷史 ("&amp;($C12-$B12)&amp;" 季)",IF(TODAY()&gt;$G12,"待更新財報","OK"))))</f>
        <v/>
      </c>
    </row>
    <row r="13">
      <c r="A13" s="20">
        <f>IF(Calc!$A$11="","",Calc!$A$11)</f>
        <v/>
      </c>
      <c r="B13" s="47">
        <f>IF($A13="","",COUNTIFS(Raw_Q!$A$2:$A$600,$A13,Raw_Q!$F$2:$F$600,"N"))</f>
        <v/>
      </c>
      <c r="C13" s="47">
        <f>IF($A13="","",Config!$B$4)</f>
        <v/>
      </c>
      <c r="D13" s="63">
        <f>IF($A13="","",IFERROR(SUMIFS(Raw_Q!$E$2:$E$600,Raw_Q!$A$2:$A$600,$A13,Raw_Q!$P$2:$P$600,$B13),""))</f>
        <v/>
      </c>
      <c r="E13" s="63">
        <f>IF($A13="","",IFERROR(SUMIFS(Raw_Q!$E$2:$E$600,Raw_Q!$A$2:$A$600,$A13,Raw_Q!$P$2:$P$600,1),""))</f>
        <v/>
      </c>
      <c r="F13" s="62">
        <f>IF($A13="","",IFERROR(INDEX(Raw_Q!$B$2:$B$600,MATCH($A13&amp;"|"&amp;0,Raw_Q!$Q$2:$Q$600,0)),""))</f>
        <v/>
      </c>
      <c r="G13" s="63">
        <f>IF($A13="","",IFERROR(INDEX(Raw_Price!$D$2:$D$100,MATCH($A13,Raw_Price!$A$2:$A$100,0)),""))</f>
        <v/>
      </c>
      <c r="H13" s="47">
        <f>IF($A13="","",IFERROR(INDEX(Raw_Price!$D$2:$D$100,MATCH($A13,Raw_Price!$A$2:$A$100,0))-TODAY(),""))</f>
        <v/>
      </c>
      <c r="I13" s="63">
        <f>IF($A13="","",IFERROR(INDEX(Raw_Price!$E$2:$E$100,MATCH($A13,Raw_Price!$A$2:$A$100,0)),""))</f>
        <v/>
      </c>
      <c r="J13" s="62">
        <f>IF($A13="","",IF($B13=0,"未抓取",IF($B13&lt;$C13,"需補歷史 ("&amp;($C13-$B13)&amp;" 季)",IF(TODAY()&gt;$G13,"待更新財報","OK"))))</f>
        <v/>
      </c>
    </row>
    <row r="14">
      <c r="A14" s="20">
        <f>IF(Calc!$A$12="","",Calc!$A$12)</f>
        <v/>
      </c>
      <c r="B14" s="47">
        <f>IF($A14="","",COUNTIFS(Raw_Q!$A$2:$A$600,$A14,Raw_Q!$F$2:$F$600,"N"))</f>
        <v/>
      </c>
      <c r="C14" s="47">
        <f>IF($A14="","",Config!$B$4)</f>
        <v/>
      </c>
      <c r="D14" s="63">
        <f>IF($A14="","",IFERROR(SUMIFS(Raw_Q!$E$2:$E$600,Raw_Q!$A$2:$A$600,$A14,Raw_Q!$P$2:$P$600,$B14),""))</f>
        <v/>
      </c>
      <c r="E14" s="63">
        <f>IF($A14="","",IFERROR(SUMIFS(Raw_Q!$E$2:$E$600,Raw_Q!$A$2:$A$600,$A14,Raw_Q!$P$2:$P$600,1),""))</f>
        <v/>
      </c>
      <c r="F14" s="62">
        <f>IF($A14="","",IFERROR(INDEX(Raw_Q!$B$2:$B$600,MATCH($A14&amp;"|"&amp;0,Raw_Q!$Q$2:$Q$600,0)),""))</f>
        <v/>
      </c>
      <c r="G14" s="63">
        <f>IF($A14="","",IFERROR(INDEX(Raw_Price!$D$2:$D$100,MATCH($A14,Raw_Price!$A$2:$A$100,0)),""))</f>
        <v/>
      </c>
      <c r="H14" s="47">
        <f>IF($A14="","",IFERROR(INDEX(Raw_Price!$D$2:$D$100,MATCH($A14,Raw_Price!$A$2:$A$100,0))-TODAY(),""))</f>
        <v/>
      </c>
      <c r="I14" s="63">
        <f>IF($A14="","",IFERROR(INDEX(Raw_Price!$E$2:$E$100,MATCH($A14,Raw_Price!$A$2:$A$100,0)),""))</f>
        <v/>
      </c>
      <c r="J14" s="62">
        <f>IF($A14="","",IF($B14=0,"未抓取",IF($B14&lt;$C14,"需補歷史 ("&amp;($C14-$B14)&amp;" 季)",IF(TODAY()&gt;$G14,"待更新財報","OK"))))</f>
        <v/>
      </c>
    </row>
    <row r="15">
      <c r="A15" s="20">
        <f>IF(Calc!$A$13="","",Calc!$A$13)</f>
        <v/>
      </c>
      <c r="B15" s="47">
        <f>IF($A15="","",COUNTIFS(Raw_Q!$A$2:$A$600,$A15,Raw_Q!$F$2:$F$600,"N"))</f>
        <v/>
      </c>
      <c r="C15" s="47">
        <f>IF($A15="","",Config!$B$4)</f>
        <v/>
      </c>
      <c r="D15" s="63">
        <f>IF($A15="","",IFERROR(SUMIFS(Raw_Q!$E$2:$E$600,Raw_Q!$A$2:$A$600,$A15,Raw_Q!$P$2:$P$600,$B15),""))</f>
        <v/>
      </c>
      <c r="E15" s="63">
        <f>IF($A15="","",IFERROR(SUMIFS(Raw_Q!$E$2:$E$600,Raw_Q!$A$2:$A$600,$A15,Raw_Q!$P$2:$P$600,1),""))</f>
        <v/>
      </c>
      <c r="F15" s="62">
        <f>IF($A15="","",IFERROR(INDEX(Raw_Q!$B$2:$B$600,MATCH($A15&amp;"|"&amp;0,Raw_Q!$Q$2:$Q$600,0)),""))</f>
        <v/>
      </c>
      <c r="G15" s="63">
        <f>IF($A15="","",IFERROR(INDEX(Raw_Price!$D$2:$D$100,MATCH($A15,Raw_Price!$A$2:$A$100,0)),""))</f>
        <v/>
      </c>
      <c r="H15" s="47">
        <f>IF($A15="","",IFERROR(INDEX(Raw_Price!$D$2:$D$100,MATCH($A15,Raw_Price!$A$2:$A$100,0))-TODAY(),""))</f>
        <v/>
      </c>
      <c r="I15" s="63">
        <f>IF($A15="","",IFERROR(INDEX(Raw_Price!$E$2:$E$100,MATCH($A15,Raw_Price!$A$2:$A$100,0)),""))</f>
        <v/>
      </c>
      <c r="J15" s="62">
        <f>IF($A15="","",IF($B15=0,"未抓取",IF($B15&lt;$C15,"需補歷史 ("&amp;($C15-$B15)&amp;" 季)",IF(TODAY()&gt;$G15,"待更新財報","OK"))))</f>
        <v/>
      </c>
    </row>
    <row r="16">
      <c r="A16" s="20">
        <f>IF(Calc!$A$14="","",Calc!$A$14)</f>
        <v/>
      </c>
      <c r="B16" s="47">
        <f>IF($A16="","",COUNTIFS(Raw_Q!$A$2:$A$600,$A16,Raw_Q!$F$2:$F$600,"N"))</f>
        <v/>
      </c>
      <c r="C16" s="47">
        <f>IF($A16="","",Config!$B$4)</f>
        <v/>
      </c>
      <c r="D16" s="63">
        <f>IF($A16="","",IFERROR(SUMIFS(Raw_Q!$E$2:$E$600,Raw_Q!$A$2:$A$600,$A16,Raw_Q!$P$2:$P$600,$B16),""))</f>
        <v/>
      </c>
      <c r="E16" s="63">
        <f>IF($A16="","",IFERROR(SUMIFS(Raw_Q!$E$2:$E$600,Raw_Q!$A$2:$A$600,$A16,Raw_Q!$P$2:$P$600,1),""))</f>
        <v/>
      </c>
      <c r="F16" s="62">
        <f>IF($A16="","",IFERROR(INDEX(Raw_Q!$B$2:$B$600,MATCH($A16&amp;"|"&amp;0,Raw_Q!$Q$2:$Q$600,0)),""))</f>
        <v/>
      </c>
      <c r="G16" s="63">
        <f>IF($A16="","",IFERROR(INDEX(Raw_Price!$D$2:$D$100,MATCH($A16,Raw_Price!$A$2:$A$100,0)),""))</f>
        <v/>
      </c>
      <c r="H16" s="47">
        <f>IF($A16="","",IFERROR(INDEX(Raw_Price!$D$2:$D$100,MATCH($A16,Raw_Price!$A$2:$A$100,0))-TODAY(),""))</f>
        <v/>
      </c>
      <c r="I16" s="63">
        <f>IF($A16="","",IFERROR(INDEX(Raw_Price!$E$2:$E$100,MATCH($A16,Raw_Price!$A$2:$A$100,0)),""))</f>
        <v/>
      </c>
      <c r="J16" s="62">
        <f>IF($A16="","",IF($B16=0,"未抓取",IF($B16&lt;$C16,"需補歷史 ("&amp;($C16-$B16)&amp;" 季)",IF(TODAY()&gt;$G16,"待更新財報","OK"))))</f>
        <v/>
      </c>
    </row>
    <row r="17">
      <c r="A17" s="20">
        <f>IF(Calc!$A$15="","",Calc!$A$15)</f>
        <v/>
      </c>
      <c r="B17" s="47">
        <f>IF($A17="","",COUNTIFS(Raw_Q!$A$2:$A$600,$A17,Raw_Q!$F$2:$F$600,"N"))</f>
        <v/>
      </c>
      <c r="C17" s="47">
        <f>IF($A17="","",Config!$B$4)</f>
        <v/>
      </c>
      <c r="D17" s="63">
        <f>IF($A17="","",IFERROR(SUMIFS(Raw_Q!$E$2:$E$600,Raw_Q!$A$2:$A$600,$A17,Raw_Q!$P$2:$P$600,$B17),""))</f>
        <v/>
      </c>
      <c r="E17" s="63">
        <f>IF($A17="","",IFERROR(SUMIFS(Raw_Q!$E$2:$E$600,Raw_Q!$A$2:$A$600,$A17,Raw_Q!$P$2:$P$600,1),""))</f>
        <v/>
      </c>
      <c r="F17" s="62">
        <f>IF($A17="","",IFERROR(INDEX(Raw_Q!$B$2:$B$600,MATCH($A17&amp;"|"&amp;0,Raw_Q!$Q$2:$Q$600,0)),""))</f>
        <v/>
      </c>
      <c r="G17" s="63">
        <f>IF($A17="","",IFERROR(INDEX(Raw_Price!$D$2:$D$100,MATCH($A17,Raw_Price!$A$2:$A$100,0)),""))</f>
        <v/>
      </c>
      <c r="H17" s="47">
        <f>IF($A17="","",IFERROR(INDEX(Raw_Price!$D$2:$D$100,MATCH($A17,Raw_Price!$A$2:$A$100,0))-TODAY(),""))</f>
        <v/>
      </c>
      <c r="I17" s="63">
        <f>IF($A17="","",IFERROR(INDEX(Raw_Price!$E$2:$E$100,MATCH($A17,Raw_Price!$A$2:$A$100,0)),""))</f>
        <v/>
      </c>
      <c r="J17" s="62">
        <f>IF($A17="","",IF($B17=0,"未抓取",IF($B17&lt;$C17,"需補歷史 ("&amp;($C17-$B17)&amp;" 季)",IF(TODAY()&gt;$G17,"待更新財報","OK"))))</f>
        <v/>
      </c>
    </row>
    <row r="18">
      <c r="A18" s="20">
        <f>IF(Calc!$A$16="","",Calc!$A$16)</f>
        <v/>
      </c>
      <c r="B18" s="47">
        <f>IF($A18="","",COUNTIFS(Raw_Q!$A$2:$A$600,$A18,Raw_Q!$F$2:$F$600,"N"))</f>
        <v/>
      </c>
      <c r="C18" s="47">
        <f>IF($A18="","",Config!$B$4)</f>
        <v/>
      </c>
      <c r="D18" s="63">
        <f>IF($A18="","",IFERROR(SUMIFS(Raw_Q!$E$2:$E$600,Raw_Q!$A$2:$A$600,$A18,Raw_Q!$P$2:$P$600,$B18),""))</f>
        <v/>
      </c>
      <c r="E18" s="63">
        <f>IF($A18="","",IFERROR(SUMIFS(Raw_Q!$E$2:$E$600,Raw_Q!$A$2:$A$600,$A18,Raw_Q!$P$2:$P$600,1),""))</f>
        <v/>
      </c>
      <c r="F18" s="62">
        <f>IF($A18="","",IFERROR(INDEX(Raw_Q!$B$2:$B$600,MATCH($A18&amp;"|"&amp;0,Raw_Q!$Q$2:$Q$600,0)),""))</f>
        <v/>
      </c>
      <c r="G18" s="63">
        <f>IF($A18="","",IFERROR(INDEX(Raw_Price!$D$2:$D$100,MATCH($A18,Raw_Price!$A$2:$A$100,0)),""))</f>
        <v/>
      </c>
      <c r="H18" s="47">
        <f>IF($A18="","",IFERROR(INDEX(Raw_Price!$D$2:$D$100,MATCH($A18,Raw_Price!$A$2:$A$100,0))-TODAY(),""))</f>
        <v/>
      </c>
      <c r="I18" s="63">
        <f>IF($A18="","",IFERROR(INDEX(Raw_Price!$E$2:$E$100,MATCH($A18,Raw_Price!$A$2:$A$100,0)),""))</f>
        <v/>
      </c>
      <c r="J18" s="62">
        <f>IF($A18="","",IF($B18=0,"未抓取",IF($B18&lt;$C18,"需補歷史 ("&amp;($C18-$B18)&amp;" 季)",IF(TODAY()&gt;$G18,"待更新財報","OK"))))</f>
        <v/>
      </c>
    </row>
    <row r="19">
      <c r="A19" s="20">
        <f>IF(Calc!$A$17="","",Calc!$A$17)</f>
        <v/>
      </c>
      <c r="B19" s="47">
        <f>IF($A19="","",COUNTIFS(Raw_Q!$A$2:$A$600,$A19,Raw_Q!$F$2:$F$600,"N"))</f>
        <v/>
      </c>
      <c r="C19" s="47">
        <f>IF($A19="","",Config!$B$4)</f>
        <v/>
      </c>
      <c r="D19" s="63">
        <f>IF($A19="","",IFERROR(SUMIFS(Raw_Q!$E$2:$E$600,Raw_Q!$A$2:$A$600,$A19,Raw_Q!$P$2:$P$600,$B19),""))</f>
        <v/>
      </c>
      <c r="E19" s="63">
        <f>IF($A19="","",IFERROR(SUMIFS(Raw_Q!$E$2:$E$600,Raw_Q!$A$2:$A$600,$A19,Raw_Q!$P$2:$P$600,1),""))</f>
        <v/>
      </c>
      <c r="F19" s="62">
        <f>IF($A19="","",IFERROR(INDEX(Raw_Q!$B$2:$B$600,MATCH($A19&amp;"|"&amp;0,Raw_Q!$Q$2:$Q$600,0)),""))</f>
        <v/>
      </c>
      <c r="G19" s="63">
        <f>IF($A19="","",IFERROR(INDEX(Raw_Price!$D$2:$D$100,MATCH($A19,Raw_Price!$A$2:$A$100,0)),""))</f>
        <v/>
      </c>
      <c r="H19" s="47">
        <f>IF($A19="","",IFERROR(INDEX(Raw_Price!$D$2:$D$100,MATCH($A19,Raw_Price!$A$2:$A$100,0))-TODAY(),""))</f>
        <v/>
      </c>
      <c r="I19" s="63">
        <f>IF($A19="","",IFERROR(INDEX(Raw_Price!$E$2:$E$100,MATCH($A19,Raw_Price!$A$2:$A$100,0)),""))</f>
        <v/>
      </c>
      <c r="J19" s="62">
        <f>IF($A19="","",IF($B19=0,"未抓取",IF($B19&lt;$C19,"需補歷史 ("&amp;($C19-$B19)&amp;" 季)",IF(TODAY()&gt;$G19,"待更新財報","OK"))))</f>
        <v/>
      </c>
    </row>
    <row r="20">
      <c r="A20" s="20">
        <f>IF(Calc!$A$18="","",Calc!$A$18)</f>
        <v/>
      </c>
      <c r="B20" s="47">
        <f>IF($A20="","",COUNTIFS(Raw_Q!$A$2:$A$600,$A20,Raw_Q!$F$2:$F$600,"N"))</f>
        <v/>
      </c>
      <c r="C20" s="47">
        <f>IF($A20="","",Config!$B$4)</f>
        <v/>
      </c>
      <c r="D20" s="63">
        <f>IF($A20="","",IFERROR(SUMIFS(Raw_Q!$E$2:$E$600,Raw_Q!$A$2:$A$600,$A20,Raw_Q!$P$2:$P$600,$B20),""))</f>
        <v/>
      </c>
      <c r="E20" s="63">
        <f>IF($A20="","",IFERROR(SUMIFS(Raw_Q!$E$2:$E$600,Raw_Q!$A$2:$A$600,$A20,Raw_Q!$P$2:$P$600,1),""))</f>
        <v/>
      </c>
      <c r="F20" s="62">
        <f>IF($A20="","",IFERROR(INDEX(Raw_Q!$B$2:$B$600,MATCH($A20&amp;"|"&amp;0,Raw_Q!$Q$2:$Q$600,0)),""))</f>
        <v/>
      </c>
      <c r="G20" s="63">
        <f>IF($A20="","",IFERROR(INDEX(Raw_Price!$D$2:$D$100,MATCH($A20,Raw_Price!$A$2:$A$100,0)),""))</f>
        <v/>
      </c>
      <c r="H20" s="47">
        <f>IF($A20="","",IFERROR(INDEX(Raw_Price!$D$2:$D$100,MATCH($A20,Raw_Price!$A$2:$A$100,0))-TODAY(),""))</f>
        <v/>
      </c>
      <c r="I20" s="63">
        <f>IF($A20="","",IFERROR(INDEX(Raw_Price!$E$2:$E$100,MATCH($A20,Raw_Price!$A$2:$A$100,0)),""))</f>
        <v/>
      </c>
      <c r="J20" s="62">
        <f>IF($A20="","",IF($B20=0,"未抓取",IF($B20&lt;$C20,"需補歷史 ("&amp;($C20-$B20)&amp;" 季)",IF(TODAY()&gt;$G20,"待更新財報","OK"))))</f>
        <v/>
      </c>
    </row>
    <row r="21">
      <c r="A21" s="20">
        <f>IF(Calc!$A$19="","",Calc!$A$19)</f>
        <v/>
      </c>
      <c r="B21" s="47">
        <f>IF($A21="","",COUNTIFS(Raw_Q!$A$2:$A$600,$A21,Raw_Q!$F$2:$F$600,"N"))</f>
        <v/>
      </c>
      <c r="C21" s="47">
        <f>IF($A21="","",Config!$B$4)</f>
        <v/>
      </c>
      <c r="D21" s="63">
        <f>IF($A21="","",IFERROR(SUMIFS(Raw_Q!$E$2:$E$600,Raw_Q!$A$2:$A$600,$A21,Raw_Q!$P$2:$P$600,$B21),""))</f>
        <v/>
      </c>
      <c r="E21" s="63">
        <f>IF($A21="","",IFERROR(SUMIFS(Raw_Q!$E$2:$E$600,Raw_Q!$A$2:$A$600,$A21,Raw_Q!$P$2:$P$600,1),""))</f>
        <v/>
      </c>
      <c r="F21" s="62">
        <f>IF($A21="","",IFERROR(INDEX(Raw_Q!$B$2:$B$600,MATCH($A21&amp;"|"&amp;0,Raw_Q!$Q$2:$Q$600,0)),""))</f>
        <v/>
      </c>
      <c r="G21" s="63">
        <f>IF($A21="","",IFERROR(INDEX(Raw_Price!$D$2:$D$100,MATCH($A21,Raw_Price!$A$2:$A$100,0)),""))</f>
        <v/>
      </c>
      <c r="H21" s="47">
        <f>IF($A21="","",IFERROR(INDEX(Raw_Price!$D$2:$D$100,MATCH($A21,Raw_Price!$A$2:$A$100,0))-TODAY(),""))</f>
        <v/>
      </c>
      <c r="I21" s="63">
        <f>IF($A21="","",IFERROR(INDEX(Raw_Price!$E$2:$E$100,MATCH($A21,Raw_Price!$A$2:$A$100,0)),""))</f>
        <v/>
      </c>
      <c r="J21" s="62">
        <f>IF($A21="","",IF($B21=0,"未抓取",IF($B21&lt;$C21,"需補歷史 ("&amp;($C21-$B21)&amp;" 季)",IF(TODAY()&gt;$G21,"待更新財報","OK"))))</f>
        <v/>
      </c>
    </row>
    <row r="22">
      <c r="A22" s="20">
        <f>IF(Calc!$A$20="","",Calc!$A$20)</f>
        <v/>
      </c>
      <c r="B22" s="47">
        <f>IF($A22="","",COUNTIFS(Raw_Q!$A$2:$A$600,$A22,Raw_Q!$F$2:$F$600,"N"))</f>
        <v/>
      </c>
      <c r="C22" s="47">
        <f>IF($A22="","",Config!$B$4)</f>
        <v/>
      </c>
      <c r="D22" s="63">
        <f>IF($A22="","",IFERROR(SUMIFS(Raw_Q!$E$2:$E$600,Raw_Q!$A$2:$A$600,$A22,Raw_Q!$P$2:$P$600,$B22),""))</f>
        <v/>
      </c>
      <c r="E22" s="63">
        <f>IF($A22="","",IFERROR(SUMIFS(Raw_Q!$E$2:$E$600,Raw_Q!$A$2:$A$600,$A22,Raw_Q!$P$2:$P$600,1),""))</f>
        <v/>
      </c>
      <c r="F22" s="62">
        <f>IF($A22="","",IFERROR(INDEX(Raw_Q!$B$2:$B$600,MATCH($A22&amp;"|"&amp;0,Raw_Q!$Q$2:$Q$600,0)),""))</f>
        <v/>
      </c>
      <c r="G22" s="63">
        <f>IF($A22="","",IFERROR(INDEX(Raw_Price!$D$2:$D$100,MATCH($A22,Raw_Price!$A$2:$A$100,0)),""))</f>
        <v/>
      </c>
      <c r="H22" s="47">
        <f>IF($A22="","",IFERROR(INDEX(Raw_Price!$D$2:$D$100,MATCH($A22,Raw_Price!$A$2:$A$100,0))-TODAY(),""))</f>
        <v/>
      </c>
      <c r="I22" s="63">
        <f>IF($A22="","",IFERROR(INDEX(Raw_Price!$E$2:$E$100,MATCH($A22,Raw_Price!$A$2:$A$100,0)),""))</f>
        <v/>
      </c>
      <c r="J22" s="62">
        <f>IF($A22="","",IF($B22=0,"未抓取",IF($B22&lt;$C22,"需補歷史 ("&amp;($C22-$B22)&amp;" 季)",IF(TODAY()&gt;$G22,"待更新財報","OK"))))</f>
        <v/>
      </c>
    </row>
    <row r="23">
      <c r="A23" s="20">
        <f>IF(Calc!$A$21="","",Calc!$A$21)</f>
        <v/>
      </c>
      <c r="B23" s="47">
        <f>IF($A23="","",COUNTIFS(Raw_Q!$A$2:$A$600,$A23,Raw_Q!$F$2:$F$600,"N"))</f>
        <v/>
      </c>
      <c r="C23" s="47">
        <f>IF($A23="","",Config!$B$4)</f>
        <v/>
      </c>
      <c r="D23" s="63">
        <f>IF($A23="","",IFERROR(SUMIFS(Raw_Q!$E$2:$E$600,Raw_Q!$A$2:$A$600,$A23,Raw_Q!$P$2:$P$600,$B23),""))</f>
        <v/>
      </c>
      <c r="E23" s="63">
        <f>IF($A23="","",IFERROR(SUMIFS(Raw_Q!$E$2:$E$600,Raw_Q!$A$2:$A$600,$A23,Raw_Q!$P$2:$P$600,1),""))</f>
        <v/>
      </c>
      <c r="F23" s="62">
        <f>IF($A23="","",IFERROR(INDEX(Raw_Q!$B$2:$B$600,MATCH($A23&amp;"|"&amp;0,Raw_Q!$Q$2:$Q$600,0)),""))</f>
        <v/>
      </c>
      <c r="G23" s="63">
        <f>IF($A23="","",IFERROR(INDEX(Raw_Price!$D$2:$D$100,MATCH($A23,Raw_Price!$A$2:$A$100,0)),""))</f>
        <v/>
      </c>
      <c r="H23" s="47">
        <f>IF($A23="","",IFERROR(INDEX(Raw_Price!$D$2:$D$100,MATCH($A23,Raw_Price!$A$2:$A$100,0))-TODAY(),""))</f>
        <v/>
      </c>
      <c r="I23" s="63">
        <f>IF($A23="","",IFERROR(INDEX(Raw_Price!$E$2:$E$100,MATCH($A23,Raw_Price!$A$2:$A$100,0)),""))</f>
        <v/>
      </c>
      <c r="J23" s="62">
        <f>IF($A23="","",IF($B23=0,"未抓取",IF($B23&lt;$C23,"需補歷史 ("&amp;($C23-$B23)&amp;" 季)",IF(TODAY()&gt;$G23,"待更新財報","OK"))))</f>
        <v/>
      </c>
    </row>
    <row r="25">
      <c r="A25" s="27" t="inlineStr">
        <is>
          <t>狀態欄告訴資料管線該做什麼：需補歷史 → 只抓缺的那幾季；待更新財報 → 只抓最新 1~2 季；OK → 整檔跳過季度 API。這是增量更新省下絕大部分請求的關鍵。</t>
        </is>
      </c>
    </row>
  </sheetData>
  <conditionalFormatting sqref="J4:J23">
    <cfRule type="cellIs" priority="1" operator="equal" dxfId="6">
      <formula>"OK"</formula>
    </cfRule>
    <cfRule type="cellIs" priority="2" operator="equal" dxfId="7">
      <formula>"待更新財報"</formula>
    </cfRule>
    <cfRule type="expression" priority="3" dxfId="8">
      <formula>ISNUMBER(SEARCH("補歷史",$J4))</formula>
    </cfRule>
  </conditionalFormatting>
  <conditionalFormatting sqref="H4:H23">
    <cfRule type="cellIs" priority="4" operator="lessThan" dxfId="9">
      <formula>7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3" customWidth="1" min="3" max="3"/>
    <col width="9" customWidth="1" min="4" max="4"/>
    <col width="13" customWidth="1" min="5" max="5"/>
    <col width="34" customWidth="1" min="6" max="6"/>
  </cols>
  <sheetData>
    <row r="1" ht="32" customHeight="1">
      <c r="A1" s="19" t="inlineStr">
        <is>
          <t>ticker</t>
        </is>
      </c>
      <c r="B1" s="19" t="inlineStr">
        <is>
          <t>公司名稱</t>
        </is>
      </c>
      <c r="C1" s="19" t="inlineStr">
        <is>
          <t>產業</t>
        </is>
      </c>
      <c r="D1" s="19" t="inlineStr">
        <is>
          <t>等級</t>
        </is>
      </c>
      <c r="E1" s="19" t="inlineStr">
        <is>
          <t>加入日期</t>
        </is>
      </c>
      <c r="F1" s="19" t="inlineStr">
        <is>
          <t>備註</t>
        </is>
      </c>
    </row>
    <row r="2">
      <c r="A2" s="67" t="inlineStr">
        <is>
          <t>AAPL</t>
        </is>
      </c>
      <c r="B2" s="67" t="inlineStr">
        <is>
          <t>Apple Inc.</t>
        </is>
      </c>
      <c r="C2" s="67" t="inlineStr">
        <is>
          <t>Tech</t>
        </is>
      </c>
      <c r="D2" s="67" t="inlineStr">
        <is>
          <t>核心</t>
        </is>
      </c>
      <c r="E2" s="68" t="n">
        <v>45727</v>
      </c>
      <c r="F2" s="67" t="inlineStr">
        <is>
          <t>服務業務佔比是觀察重點</t>
        </is>
      </c>
    </row>
    <row r="3">
      <c r="A3" s="67" t="inlineStr">
        <is>
          <t>MSFT</t>
        </is>
      </c>
      <c r="B3" s="67" t="inlineStr">
        <is>
          <t>Microsoft Corp.</t>
        </is>
      </c>
      <c r="C3" s="67" t="inlineStr">
        <is>
          <t>Tech</t>
        </is>
      </c>
      <c r="D3" s="67" t="inlineStr">
        <is>
          <t>核心</t>
        </is>
      </c>
      <c r="E3" s="68" t="n">
        <v>45727</v>
      </c>
      <c r="F3" s="67" t="inlineStr">
        <is>
          <t>Azure 成長率</t>
        </is>
      </c>
    </row>
    <row r="4">
      <c r="A4" s="67" t="inlineStr">
        <is>
          <t>NVDA</t>
        </is>
      </c>
      <c r="B4" s="67" t="inlineStr">
        <is>
          <t>NVIDIA Corp.</t>
        </is>
      </c>
      <c r="C4" s="67" t="inlineStr">
        <is>
          <t>Semi</t>
        </is>
      </c>
      <c r="D4" s="67" t="inlineStr">
        <is>
          <t>觀察</t>
        </is>
      </c>
      <c r="E4" s="68" t="n">
        <v>46026</v>
      </c>
      <c r="F4" s="67" t="inlineStr">
        <is>
          <t>成長減速中</t>
        </is>
      </c>
    </row>
    <row r="5">
      <c r="A5" s="67" t="inlineStr">
        <is>
          <t>COST</t>
        </is>
      </c>
      <c r="B5" s="67" t="inlineStr">
        <is>
          <t>Costco Wholesale</t>
        </is>
      </c>
      <c r="C5" s="67" t="inlineStr">
        <is>
          <t>Consumer</t>
        </is>
      </c>
      <c r="D5" s="67" t="inlineStr">
        <is>
          <t>觀察</t>
        </is>
      </c>
      <c r="E5" s="68" t="n">
        <v>46026</v>
      </c>
      <c r="F5" s="67" t="inlineStr">
        <is>
          <t>低毛利高週轉</t>
        </is>
      </c>
    </row>
    <row r="6">
      <c r="A6" s="67" t="inlineStr">
        <is>
          <t>ADBE</t>
        </is>
      </c>
      <c r="B6" s="67" t="inlineStr">
        <is>
          <t>Adobe Inc.</t>
        </is>
      </c>
      <c r="C6" s="67" t="inlineStr">
        <is>
          <t>Software</t>
        </is>
      </c>
      <c r="D6" s="67" t="inlineStr">
        <is>
          <t>池子</t>
        </is>
      </c>
      <c r="E6" s="68" t="n">
        <v>46175</v>
      </c>
      <c r="F6" s="67" t="n">
        <v/>
      </c>
    </row>
    <row r="7">
      <c r="A7" s="67" t="n"/>
      <c r="B7" s="67" t="n"/>
      <c r="C7" s="67" t="n"/>
      <c r="D7" s="67" t="n"/>
      <c r="E7" s="68" t="n"/>
      <c r="F7" s="67" t="n"/>
    </row>
    <row r="8">
      <c r="A8" s="67" t="n"/>
      <c r="B8" s="67" t="n"/>
      <c r="C8" s="67" t="n"/>
      <c r="D8" s="67" t="n"/>
      <c r="E8" s="68" t="n"/>
      <c r="F8" s="67" t="n"/>
    </row>
    <row r="9">
      <c r="A9" s="67" t="n"/>
      <c r="B9" s="67" t="n"/>
      <c r="C9" s="67" t="n"/>
      <c r="D9" s="67" t="n"/>
      <c r="E9" s="68" t="n"/>
      <c r="F9" s="67" t="n"/>
    </row>
    <row r="10">
      <c r="A10" s="67" t="n"/>
      <c r="B10" s="67" t="n"/>
      <c r="C10" s="67" t="n"/>
      <c r="D10" s="67" t="n"/>
      <c r="E10" s="68" t="n"/>
      <c r="F10" s="67" t="n"/>
    </row>
    <row r="11">
      <c r="A11" s="67" t="n"/>
      <c r="B11" s="67" t="n"/>
      <c r="C11" s="67" t="n"/>
      <c r="D11" s="67" t="n"/>
      <c r="E11" s="68" t="n"/>
      <c r="F11" s="67" t="n"/>
    </row>
    <row r="12">
      <c r="A12" s="67" t="n"/>
      <c r="B12" s="67" t="n"/>
      <c r="C12" s="67" t="n"/>
      <c r="D12" s="67" t="n"/>
      <c r="E12" s="68" t="n"/>
      <c r="F12" s="67" t="n"/>
    </row>
    <row r="13">
      <c r="A13" s="67" t="n"/>
      <c r="B13" s="67" t="n"/>
      <c r="C13" s="67" t="n"/>
      <c r="D13" s="67" t="n"/>
      <c r="E13" s="68" t="n"/>
      <c r="F13" s="67" t="n"/>
    </row>
    <row r="14">
      <c r="A14" s="67" t="n"/>
      <c r="B14" s="67" t="n"/>
      <c r="C14" s="67" t="n"/>
      <c r="D14" s="67" t="n"/>
      <c r="E14" s="68" t="n"/>
      <c r="F14" s="67" t="n"/>
    </row>
    <row r="15">
      <c r="A15" s="67" t="n"/>
      <c r="B15" s="67" t="n"/>
      <c r="C15" s="67" t="n"/>
      <c r="D15" s="67" t="n"/>
      <c r="E15" s="68" t="n"/>
      <c r="F15" s="67" t="n"/>
    </row>
    <row r="16">
      <c r="A16" s="67" t="n"/>
      <c r="B16" s="67" t="n"/>
      <c r="C16" s="67" t="n"/>
      <c r="D16" s="67" t="n"/>
      <c r="E16" s="68" t="n"/>
      <c r="F16" s="67" t="n"/>
    </row>
    <row r="17">
      <c r="A17" s="67" t="n"/>
      <c r="B17" s="67" t="n"/>
      <c r="C17" s="67" t="n"/>
      <c r="D17" s="67" t="n"/>
      <c r="E17" s="68" t="n"/>
      <c r="F17" s="67" t="n"/>
    </row>
    <row r="18">
      <c r="A18" s="67" t="n"/>
      <c r="B18" s="67" t="n"/>
      <c r="C18" s="67" t="n"/>
      <c r="D18" s="67" t="n"/>
      <c r="E18" s="68" t="n"/>
      <c r="F18" s="67" t="n"/>
    </row>
    <row r="19">
      <c r="A19" s="67" t="n"/>
      <c r="B19" s="67" t="n"/>
      <c r="C19" s="67" t="n"/>
      <c r="D19" s="67" t="n"/>
      <c r="E19" s="68" t="n"/>
      <c r="F19" s="67" t="n"/>
    </row>
    <row r="20">
      <c r="A20" s="67" t="n"/>
      <c r="B20" s="67" t="n"/>
      <c r="C20" s="67" t="n"/>
      <c r="D20" s="67" t="n"/>
      <c r="E20" s="68" t="n"/>
      <c r="F20" s="67" t="n"/>
    </row>
    <row r="21">
      <c r="A21" s="67" t="n"/>
      <c r="B21" s="67" t="n"/>
      <c r="C21" s="67" t="n"/>
      <c r="D21" s="67" t="n"/>
      <c r="E21" s="68" t="n"/>
      <c r="F21" s="67" t="n"/>
    </row>
    <row r="24">
      <c r="A24" s="27" t="inlineStr">
        <is>
          <t>↑ 藍字＝手動輸入。新增股票就在第 2~21 列往下打一列，其餘分頁全自動延伸。</t>
        </is>
      </c>
    </row>
  </sheetData>
  <dataValidations count="1">
    <dataValidation sqref="D2:D21" showDropDown="0" showInputMessage="0" showErrorMessage="0" allowBlank="1" type="list">
      <formula1>"核心,觀察,池子"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5" customWidth="1" min="4" max="4"/>
    <col width="12" customWidth="1" min="5" max="5"/>
    <col width="7" customWidth="1" min="6" max="6"/>
    <col width="12" customWidth="1" min="7" max="7"/>
    <col width="11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3" customWidth="1" min="14" max="14"/>
    <col width="12" customWidth="1" min="15" max="15"/>
    <col width="6" customWidth="1" min="16" max="16"/>
    <col width="11" customWidth="1" min="17" max="17"/>
  </cols>
  <sheetData>
    <row r="1" ht="32" customHeight="1">
      <c r="A1" s="19" t="inlineStr">
        <is>
          <t>ticker</t>
        </is>
      </c>
      <c r="B1" s="19" t="inlineStr">
        <is>
          <t>period</t>
        </is>
      </c>
      <c r="C1" s="19" t="inlineStr">
        <is>
          <t>fy</t>
        </is>
      </c>
      <c r="D1" s="19" t="inlineStr">
        <is>
          <t>fq</t>
        </is>
      </c>
      <c r="E1" s="19" t="inlineStr">
        <is>
          <t>period_end</t>
        </is>
      </c>
      <c r="F1" s="19" t="inlineStr">
        <is>
          <t>is_est</t>
        </is>
      </c>
      <c r="G1" s="19" t="inlineStr">
        <is>
          <t>est_source</t>
        </is>
      </c>
      <c r="H1" s="19" t="inlineStr">
        <is>
          <t>eps_basis</t>
        </is>
      </c>
      <c r="I1" s="19" t="inlineStr">
        <is>
          <t>revenue ($M)</t>
        </is>
      </c>
      <c r="J1" s="19" t="inlineStr">
        <is>
          <t>gross_profit ($M)</t>
        </is>
      </c>
      <c r="K1" s="19" t="inlineStr">
        <is>
          <t>eps_diluted_adj</t>
        </is>
      </c>
      <c r="L1" s="19" t="inlineStr">
        <is>
          <t>shares_diluted (M)</t>
        </is>
      </c>
      <c r="M1" s="19" t="inlineStr">
        <is>
          <t>total_equity ($M)</t>
        </is>
      </c>
      <c r="N1" s="19" t="inlineStr">
        <is>
          <t>dps (每股配息)</t>
        </is>
      </c>
      <c r="O1" s="19" t="inlineStr">
        <is>
          <t>price_at_end</t>
        </is>
      </c>
      <c r="P1" s="19" t="inlineStr">
        <is>
          <t>seq</t>
        </is>
      </c>
      <c r="Q1" s="19" t="inlineStr">
        <is>
          <t>key</t>
        </is>
      </c>
    </row>
    <row r="2">
      <c r="A2" s="69" t="inlineStr">
        <is>
          <t>AAPL</t>
        </is>
      </c>
      <c r="B2" s="69" t="inlineStr">
        <is>
          <t>FY2026Q4E</t>
        </is>
      </c>
      <c r="C2" s="70" t="n">
        <v>2026</v>
      </c>
      <c r="D2" s="70" t="n">
        <v>4</v>
      </c>
      <c r="E2" s="71" t="n">
        <v>46294</v>
      </c>
      <c r="F2" s="69" t="inlineStr">
        <is>
          <t>Y</t>
        </is>
      </c>
      <c r="G2" s="69" t="inlineStr">
        <is>
          <t>consensus</t>
        </is>
      </c>
      <c r="H2" s="69" t="inlineStr">
        <is>
          <t>street</t>
        </is>
      </c>
      <c r="I2" s="72" t="n">
        <v/>
      </c>
      <c r="J2" s="72" t="n">
        <v/>
      </c>
      <c r="K2" s="73" t="n">
        <v>1.97656</v>
      </c>
      <c r="L2" s="72" t="n">
        <v/>
      </c>
      <c r="M2" s="72" t="n">
        <v/>
      </c>
      <c r="N2" s="73" t="n">
        <v/>
      </c>
      <c r="O2" s="73" t="n">
        <v/>
      </c>
      <c r="P2" s="47" t="n">
        <v>0</v>
      </c>
      <c r="Q2" s="62" t="inlineStr">
        <is>
          <t>AAPL|0</t>
        </is>
      </c>
    </row>
    <row r="3">
      <c r="A3" s="69" t="inlineStr">
        <is>
          <t>AAPL</t>
        </is>
      </c>
      <c r="B3" s="69" t="inlineStr">
        <is>
          <t>FY2026Q3</t>
        </is>
      </c>
      <c r="C3" s="70" t="n">
        <v>2026</v>
      </c>
      <c r="D3" s="70" t="n">
        <v>3</v>
      </c>
      <c r="E3" s="71" t="n">
        <v>46203</v>
      </c>
      <c r="F3" s="69" t="inlineStr">
        <is>
          <t>N</t>
        </is>
      </c>
      <c r="G3" s="69" t="inlineStr">
        <is>
          <t>actual</t>
        </is>
      </c>
      <c r="H3" s="69" t="inlineStr">
        <is>
          <t>street</t>
        </is>
      </c>
      <c r="I3" s="72" t="n">
        <v>109417</v>
      </c>
      <c r="J3" s="72" t="n">
        <v>54770</v>
      </c>
      <c r="K3" s="73" t="n">
        <v>2.02</v>
      </c>
      <c r="L3" s="72" t="n">
        <v>14714.676</v>
      </c>
      <c r="M3" s="72" t="n">
        <v>107520</v>
      </c>
      <c r="N3" s="73" t="n">
        <v>0.27</v>
      </c>
      <c r="O3" s="73" t="n">
        <v>289.3599853515625</v>
      </c>
      <c r="P3" s="47" t="n">
        <v>1</v>
      </c>
      <c r="Q3" s="62" t="inlineStr">
        <is>
          <t>AAPL|1</t>
        </is>
      </c>
    </row>
    <row r="4">
      <c r="A4" s="69" t="inlineStr">
        <is>
          <t>AAPL</t>
        </is>
      </c>
      <c r="B4" s="69" t="inlineStr">
        <is>
          <t>FY2026Q2</t>
        </is>
      </c>
      <c r="C4" s="70" t="n">
        <v>2026</v>
      </c>
      <c r="D4" s="70" t="n">
        <v>2</v>
      </c>
      <c r="E4" s="71" t="n">
        <v>46112</v>
      </c>
      <c r="F4" s="69" t="inlineStr">
        <is>
          <t>N</t>
        </is>
      </c>
      <c r="G4" s="69" t="inlineStr">
        <is>
          <t>actual</t>
        </is>
      </c>
      <c r="H4" s="69" t="inlineStr">
        <is>
          <t>street</t>
        </is>
      </c>
      <c r="I4" s="72" t="n">
        <v>111184</v>
      </c>
      <c r="J4" s="72" t="n">
        <v>54781</v>
      </c>
      <c r="K4" s="73" t="n">
        <v>2.01</v>
      </c>
      <c r="L4" s="72" t="n">
        <v>14725.873</v>
      </c>
      <c r="M4" s="72" t="n">
        <v>106491</v>
      </c>
      <c r="N4" s="73" t="n">
        <v>0.26</v>
      </c>
      <c r="O4" s="73" t="n">
        <v>253.7899932861328</v>
      </c>
      <c r="P4" s="47" t="n">
        <v>2</v>
      </c>
      <c r="Q4" s="62" t="inlineStr">
        <is>
          <t>AAPL|2</t>
        </is>
      </c>
    </row>
    <row r="5">
      <c r="A5" s="69" t="inlineStr">
        <is>
          <t>AAPL</t>
        </is>
      </c>
      <c r="B5" s="69" t="inlineStr">
        <is>
          <t>FY2026Q1</t>
        </is>
      </c>
      <c r="C5" s="70" t="n">
        <v>2026</v>
      </c>
      <c r="D5" s="70" t="n">
        <v>1</v>
      </c>
      <c r="E5" s="71" t="n">
        <v>46022</v>
      </c>
      <c r="F5" s="69" t="inlineStr">
        <is>
          <t>N</t>
        </is>
      </c>
      <c r="G5" s="69" t="inlineStr">
        <is>
          <t>actual</t>
        </is>
      </c>
      <c r="H5" s="69" t="inlineStr">
        <is>
          <t>street</t>
        </is>
      </c>
      <c r="I5" s="72" t="n">
        <v>143756</v>
      </c>
      <c r="J5" s="72" t="n">
        <v>69231</v>
      </c>
      <c r="K5" s="73" t="n">
        <v>2.84</v>
      </c>
      <c r="L5" s="72" t="n">
        <v>14810.356</v>
      </c>
      <c r="M5" s="72" t="n">
        <v>88190</v>
      </c>
      <c r="N5" s="73" t="n">
        <v>0.26</v>
      </c>
      <c r="O5" s="73" t="n">
        <v>271.8599853515625</v>
      </c>
      <c r="P5" s="47" t="n">
        <v>3</v>
      </c>
      <c r="Q5" s="62" t="inlineStr">
        <is>
          <t>AAPL|3</t>
        </is>
      </c>
    </row>
    <row r="6">
      <c r="A6" s="69" t="inlineStr">
        <is>
          <t>AAPL</t>
        </is>
      </c>
      <c r="B6" s="69" t="inlineStr">
        <is>
          <t>FY2025Q4</t>
        </is>
      </c>
      <c r="C6" s="70" t="n">
        <v>2025</v>
      </c>
      <c r="D6" s="70" t="n">
        <v>4</v>
      </c>
      <c r="E6" s="71" t="n">
        <v>45930</v>
      </c>
      <c r="F6" s="69" t="inlineStr">
        <is>
          <t>N</t>
        </is>
      </c>
      <c r="G6" s="69" t="inlineStr">
        <is>
          <t>actual</t>
        </is>
      </c>
      <c r="H6" s="69" t="inlineStr">
        <is>
          <t>street</t>
        </is>
      </c>
      <c r="I6" s="72" t="n">
        <v>102466</v>
      </c>
      <c r="J6" s="72" t="n">
        <v>48341</v>
      </c>
      <c r="K6" s="73" t="n">
        <v>1.85</v>
      </c>
      <c r="L6" s="72" t="n">
        <v>14863.609</v>
      </c>
      <c r="M6" s="72" t="n">
        <v>73733</v>
      </c>
      <c r="N6" s="73" t="n">
        <v>0.26</v>
      </c>
      <c r="O6" s="73" t="n">
        <v>254.6300048828125</v>
      </c>
      <c r="P6" s="47" t="n">
        <v>4</v>
      </c>
      <c r="Q6" s="62" t="inlineStr">
        <is>
          <t>AAPL|4</t>
        </is>
      </c>
    </row>
    <row r="7">
      <c r="A7" s="69" t="inlineStr">
        <is>
          <t>AAPL</t>
        </is>
      </c>
      <c r="B7" s="69" t="inlineStr">
        <is>
          <t>FY2025Q3</t>
        </is>
      </c>
      <c r="C7" s="70" t="n">
        <v>2025</v>
      </c>
      <c r="D7" s="70" t="n">
        <v>3</v>
      </c>
      <c r="E7" s="71" t="n">
        <v>45838</v>
      </c>
      <c r="F7" s="69" t="inlineStr">
        <is>
          <t>N</t>
        </is>
      </c>
      <c r="G7" s="69" t="inlineStr">
        <is>
          <t>actual</t>
        </is>
      </c>
      <c r="H7" s="69" t="inlineStr">
        <is>
          <t>street</t>
        </is>
      </c>
      <c r="I7" s="72" t="n">
        <v>94036</v>
      </c>
      <c r="J7" s="72" t="n">
        <v>43718</v>
      </c>
      <c r="K7" s="73" t="n">
        <v>1.57</v>
      </c>
      <c r="L7" s="72" t="n">
        <v>14948.179</v>
      </c>
      <c r="M7" s="72" t="n">
        <v>65830</v>
      </c>
      <c r="N7" s="73" t="n">
        <v>0.26</v>
      </c>
      <c r="O7" s="73" t="n">
        <v>205.1699981689453</v>
      </c>
      <c r="P7" s="47" t="n">
        <v>5</v>
      </c>
      <c r="Q7" s="62" t="inlineStr">
        <is>
          <t>AAPL|5</t>
        </is>
      </c>
    </row>
    <row r="8">
      <c r="A8" s="69" t="inlineStr">
        <is>
          <t>AAPL</t>
        </is>
      </c>
      <c r="B8" s="69" t="inlineStr">
        <is>
          <t>FY2025Q2</t>
        </is>
      </c>
      <c r="C8" s="70" t="n">
        <v>2025</v>
      </c>
      <c r="D8" s="70" t="n">
        <v>2</v>
      </c>
      <c r="E8" s="71" t="n">
        <v>45747</v>
      </c>
      <c r="F8" s="69" t="inlineStr">
        <is>
          <t>N</t>
        </is>
      </c>
      <c r="G8" s="69" t="inlineStr">
        <is>
          <t>actual</t>
        </is>
      </c>
      <c r="H8" s="69" t="inlineStr">
        <is>
          <t>street</t>
        </is>
      </c>
      <c r="I8" s="72" t="n">
        <v>95359</v>
      </c>
      <c r="J8" s="72" t="n">
        <v>44867</v>
      </c>
      <c r="K8" s="73" t="n">
        <v>1.65</v>
      </c>
      <c r="L8" s="72" t="n">
        <v>15199.507</v>
      </c>
      <c r="M8" s="72" t="n">
        <v>66796</v>
      </c>
      <c r="N8" s="73" t="n">
        <v>0.25</v>
      </c>
      <c r="O8" s="73" t="n">
        <v>222.1300048828125</v>
      </c>
      <c r="P8" s="47" t="n">
        <v>6</v>
      </c>
      <c r="Q8" s="62" t="inlineStr">
        <is>
          <t>AAPL|6</t>
        </is>
      </c>
    </row>
    <row r="9">
      <c r="A9" s="69" t="inlineStr">
        <is>
          <t>AAPL</t>
        </is>
      </c>
      <c r="B9" s="69" t="inlineStr">
        <is>
          <t>FY2025Q1</t>
        </is>
      </c>
      <c r="C9" s="70" t="n">
        <v>2025</v>
      </c>
      <c r="D9" s="70" t="n">
        <v>1</v>
      </c>
      <c r="E9" s="71" t="n">
        <v>45657</v>
      </c>
      <c r="F9" s="69" t="inlineStr">
        <is>
          <t>N</t>
        </is>
      </c>
      <c r="G9" s="69" t="inlineStr">
        <is>
          <t>actual</t>
        </is>
      </c>
      <c r="H9" s="69" t="inlineStr">
        <is>
          <t>street</t>
        </is>
      </c>
      <c r="I9" s="72" t="n">
        <v>124300</v>
      </c>
      <c r="J9" s="72" t="n">
        <v>58275</v>
      </c>
      <c r="K9" s="73" t="n">
        <v>2.4</v>
      </c>
      <c r="L9" s="72" t="n">
        <v>15301.651</v>
      </c>
      <c r="M9" s="72" t="n">
        <v>66758</v>
      </c>
      <c r="N9" s="73" t="n">
        <v>0.25</v>
      </c>
      <c r="O9" s="73" t="n">
        <v>250.4199981689453</v>
      </c>
      <c r="P9" s="47" t="n">
        <v>7</v>
      </c>
      <c r="Q9" s="62" t="inlineStr">
        <is>
          <t>AAPL|7</t>
        </is>
      </c>
    </row>
    <row r="10">
      <c r="A10" s="69" t="inlineStr">
        <is>
          <t>AAPL</t>
        </is>
      </c>
      <c r="B10" s="69" t="inlineStr">
        <is>
          <t>FY2024Q4</t>
        </is>
      </c>
      <c r="C10" s="70" t="n">
        <v>2024</v>
      </c>
      <c r="D10" s="70" t="n">
        <v>4</v>
      </c>
      <c r="E10" s="71" t="n">
        <v>45565</v>
      </c>
      <c r="F10" s="69" t="inlineStr">
        <is>
          <t>N</t>
        </is>
      </c>
      <c r="G10" s="69" t="inlineStr">
        <is>
          <t>actual</t>
        </is>
      </c>
      <c r="H10" s="69" t="inlineStr">
        <is>
          <t>street</t>
        </is>
      </c>
      <c r="I10" s="72" t="n">
        <v>94930</v>
      </c>
      <c r="J10" s="72" t="n">
        <v>43879</v>
      </c>
      <c r="K10" s="73" t="n">
        <v>0.97</v>
      </c>
      <c r="L10" s="72" t="n">
        <v>15408.095</v>
      </c>
      <c r="M10" s="72" t="n">
        <v>56950</v>
      </c>
      <c r="N10" s="73" t="n">
        <v>0.25</v>
      </c>
      <c r="O10" s="73" t="n">
        <v>233</v>
      </c>
      <c r="P10" s="47" t="n">
        <v>8</v>
      </c>
      <c r="Q10" s="62" t="inlineStr">
        <is>
          <t>AAPL|8</t>
        </is>
      </c>
    </row>
    <row r="11">
      <c r="A11" s="69" t="inlineStr">
        <is>
          <t>AAPL</t>
        </is>
      </c>
      <c r="B11" s="69" t="inlineStr">
        <is>
          <t>FY2024Q3</t>
        </is>
      </c>
      <c r="C11" s="70" t="n">
        <v>2024</v>
      </c>
      <c r="D11" s="70" t="n">
        <v>3</v>
      </c>
      <c r="E11" s="71" t="n">
        <v>45473</v>
      </c>
      <c r="F11" s="69" t="inlineStr">
        <is>
          <t>N</t>
        </is>
      </c>
      <c r="G11" s="69" t="inlineStr">
        <is>
          <t>actual</t>
        </is>
      </c>
      <c r="H11" s="69" t="inlineStr">
        <is>
          <t>street</t>
        </is>
      </c>
      <c r="I11" s="72" t="n">
        <v>85777</v>
      </c>
      <c r="J11" s="72" t="n">
        <v>39678</v>
      </c>
      <c r="K11" s="73" t="n">
        <v>1.4</v>
      </c>
      <c r="L11" s="72" t="n">
        <v>15515.481</v>
      </c>
      <c r="M11" s="72" t="n">
        <v>66708</v>
      </c>
      <c r="N11" s="73" t="n">
        <v>0.25</v>
      </c>
      <c r="O11" s="73" t="n">
        <v>210.6199951171875</v>
      </c>
      <c r="P11" s="47" t="n">
        <v>9</v>
      </c>
      <c r="Q11" s="62" t="inlineStr">
        <is>
          <t>AAPL|9</t>
        </is>
      </c>
    </row>
    <row r="12">
      <c r="A12" s="69" t="inlineStr">
        <is>
          <t>AAPL</t>
        </is>
      </c>
      <c r="B12" s="69" t="inlineStr">
        <is>
          <t>FY2024Q2</t>
        </is>
      </c>
      <c r="C12" s="70" t="n">
        <v>2024</v>
      </c>
      <c r="D12" s="70" t="n">
        <v>2</v>
      </c>
      <c r="E12" s="71" t="n">
        <v>45382</v>
      </c>
      <c r="F12" s="69" t="inlineStr">
        <is>
          <t>N</t>
        </is>
      </c>
      <c r="G12" s="69" t="inlineStr">
        <is>
          <t>actual</t>
        </is>
      </c>
      <c r="H12" s="69" t="inlineStr">
        <is>
          <t>street</t>
        </is>
      </c>
      <c r="I12" s="72" t="n">
        <v>90753</v>
      </c>
      <c r="J12" s="72" t="n">
        <v>42271</v>
      </c>
      <c r="K12" s="73" t="n">
        <v>1.53</v>
      </c>
      <c r="L12" s="72" t="n">
        <v>15622.1925</v>
      </c>
      <c r="M12" s="72" t="n">
        <v>74194</v>
      </c>
      <c r="N12" s="73" t="n">
        <v>0.24</v>
      </c>
      <c r="O12" s="73" t="n">
        <v>171.4799957275391</v>
      </c>
      <c r="P12" s="47" t="n">
        <v>10</v>
      </c>
      <c r="Q12" s="62" t="inlineStr">
        <is>
          <t>AAPL|10</t>
        </is>
      </c>
    </row>
    <row r="13">
      <c r="A13" s="69" t="inlineStr">
        <is>
          <t>AAPL</t>
        </is>
      </c>
      <c r="B13" s="69" t="inlineStr">
        <is>
          <t>FY2024Q1</t>
        </is>
      </c>
      <c r="C13" s="70" t="n">
        <v>2024</v>
      </c>
      <c r="D13" s="70" t="n">
        <v>1</v>
      </c>
      <c r="E13" s="71" t="n">
        <v>45291</v>
      </c>
      <c r="F13" s="69" t="inlineStr">
        <is>
          <t>N</t>
        </is>
      </c>
      <c r="G13" s="69" t="inlineStr">
        <is>
          <t>actual</t>
        </is>
      </c>
      <c r="H13" s="69" t="inlineStr">
        <is>
          <t>street</t>
        </is>
      </c>
      <c r="I13" s="72" t="n">
        <v>119575</v>
      </c>
      <c r="J13" s="72" t="n">
        <v>54855</v>
      </c>
      <c r="K13" s="73" t="n">
        <v>2.18</v>
      </c>
      <c r="L13" s="72" t="n">
        <v>15717.77775</v>
      </c>
      <c r="M13" s="72" t="n">
        <v>74100</v>
      </c>
      <c r="N13" s="73" t="n">
        <v>0.24</v>
      </c>
      <c r="O13" s="73" t="n">
        <v>192.5299987792969</v>
      </c>
      <c r="P13" s="47" t="n">
        <v>11</v>
      </c>
      <c r="Q13" s="62" t="inlineStr">
        <is>
          <t>AAPL|11</t>
        </is>
      </c>
    </row>
    <row r="14">
      <c r="A14" s="69" t="inlineStr">
        <is>
          <t>AAPL</t>
        </is>
      </c>
      <c r="B14" s="69" t="inlineStr">
        <is>
          <t>FY2023Q4</t>
        </is>
      </c>
      <c r="C14" s="70" t="n">
        <v>2023</v>
      </c>
      <c r="D14" s="70" t="n">
        <v>4</v>
      </c>
      <c r="E14" s="71" t="n">
        <v>45199</v>
      </c>
      <c r="F14" s="69" t="inlineStr">
        <is>
          <t>N</t>
        </is>
      </c>
      <c r="G14" s="69" t="inlineStr">
        <is>
          <t>actual</t>
        </is>
      </c>
      <c r="H14" s="69" t="inlineStr">
        <is>
          <t>street</t>
        </is>
      </c>
      <c r="I14" s="72" t="n">
        <v>89498</v>
      </c>
      <c r="J14" s="72" t="n">
        <v>40427</v>
      </c>
      <c r="K14" s="73" t="n">
        <v>1.46</v>
      </c>
      <c r="L14" s="72" t="n">
        <v>15812.547</v>
      </c>
      <c r="M14" s="72" t="n">
        <v>62146</v>
      </c>
      <c r="N14" s="73" t="n">
        <v>0.24</v>
      </c>
      <c r="O14" s="73" t="n">
        <v>171.2100067138672</v>
      </c>
      <c r="P14" s="47" t="n">
        <v>12</v>
      </c>
      <c r="Q14" s="62" t="inlineStr">
        <is>
          <t>AAPL|12</t>
        </is>
      </c>
    </row>
    <row r="15">
      <c r="A15" s="69" t="inlineStr">
        <is>
          <t>AAPL</t>
        </is>
      </c>
      <c r="B15" s="69" t="inlineStr">
        <is>
          <t>FY2023Q3</t>
        </is>
      </c>
      <c r="C15" s="70" t="n">
        <v>2023</v>
      </c>
      <c r="D15" s="70" t="n">
        <v>3</v>
      </c>
      <c r="E15" s="71" t="n">
        <v>45107</v>
      </c>
      <c r="F15" s="69" t="inlineStr">
        <is>
          <t>N</t>
        </is>
      </c>
      <c r="G15" s="69" t="inlineStr">
        <is>
          <t>actual</t>
        </is>
      </c>
      <c r="H15" s="69" t="inlineStr">
        <is>
          <t>street</t>
        </is>
      </c>
      <c r="I15" s="72" t="n">
        <v>81797</v>
      </c>
      <c r="J15" s="72" t="n">
        <v>36413</v>
      </c>
      <c r="K15" s="73" t="n">
        <v>1.26</v>
      </c>
      <c r="L15" s="72" t="n">
        <v>15775.021</v>
      </c>
      <c r="M15" s="72" t="n">
        <v>60274</v>
      </c>
      <c r="N15" s="73" t="n">
        <v>0.24</v>
      </c>
      <c r="O15" s="73" t="n">
        <v>193.9700012207031</v>
      </c>
      <c r="P15" s="47" t="n">
        <v>13</v>
      </c>
      <c r="Q15" s="62" t="inlineStr">
        <is>
          <t>AAPL|13</t>
        </is>
      </c>
    </row>
    <row r="16">
      <c r="A16" s="69" t="inlineStr">
        <is>
          <t>AAPL</t>
        </is>
      </c>
      <c r="B16" s="69" t="inlineStr">
        <is>
          <t>FY2023Q2</t>
        </is>
      </c>
      <c r="C16" s="70" t="n">
        <v>2023</v>
      </c>
      <c r="D16" s="70" t="n">
        <v>2</v>
      </c>
      <c r="E16" s="71" t="n">
        <v>45016</v>
      </c>
      <c r="F16" s="69" t="inlineStr">
        <is>
          <t>N</t>
        </is>
      </c>
      <c r="G16" s="69" t="inlineStr">
        <is>
          <t>actual</t>
        </is>
      </c>
      <c r="H16" s="69" t="inlineStr">
        <is>
          <t>street</t>
        </is>
      </c>
      <c r="I16" s="72" t="n">
        <v>94836</v>
      </c>
      <c r="J16" s="72" t="n">
        <v>41976</v>
      </c>
      <c r="K16" s="73" t="n">
        <v>1.52</v>
      </c>
      <c r="L16" s="72" t="n">
        <v>15847.05</v>
      </c>
      <c r="M16" s="72" t="n">
        <v>62158</v>
      </c>
      <c r="N16" s="73" t="n">
        <v>0.23</v>
      </c>
      <c r="O16" s="73" t="n">
        <v>164.8999938964844</v>
      </c>
      <c r="P16" s="47" t="n">
        <v>14</v>
      </c>
      <c r="Q16" s="62" t="inlineStr">
        <is>
          <t>AAPL|14</t>
        </is>
      </c>
    </row>
    <row r="17">
      <c r="A17" s="69" t="inlineStr">
        <is>
          <t>AAPL</t>
        </is>
      </c>
      <c r="B17" s="69" t="inlineStr">
        <is>
          <t>FY2023Q1</t>
        </is>
      </c>
      <c r="C17" s="70" t="n">
        <v>2023</v>
      </c>
      <c r="D17" s="70" t="n">
        <v>1</v>
      </c>
      <c r="E17" s="71" t="n">
        <v>44926</v>
      </c>
      <c r="F17" s="69" t="inlineStr">
        <is>
          <t>N</t>
        </is>
      </c>
      <c r="G17" s="69" t="inlineStr">
        <is>
          <t>actual</t>
        </is>
      </c>
      <c r="H17" s="69" t="inlineStr">
        <is>
          <t>street</t>
        </is>
      </c>
      <c r="I17" s="72" t="n">
        <v>117154</v>
      </c>
      <c r="J17" s="72" t="n">
        <v>50332</v>
      </c>
      <c r="K17" s="73" t="n">
        <v>1.88</v>
      </c>
      <c r="L17" s="72" t="n">
        <v>15955.718</v>
      </c>
      <c r="M17" s="72" t="n">
        <v>56727</v>
      </c>
      <c r="N17" s="73" t="n">
        <v>0.23</v>
      </c>
      <c r="O17" s="73" t="n">
        <v>129.9299926757812</v>
      </c>
      <c r="P17" s="47" t="n">
        <v>15</v>
      </c>
      <c r="Q17" s="62" t="inlineStr">
        <is>
          <t>AAPL|15</t>
        </is>
      </c>
    </row>
    <row r="18">
      <c r="A18" s="69" t="inlineStr">
        <is>
          <t>AAPL</t>
        </is>
      </c>
      <c r="B18" s="69" t="inlineStr">
        <is>
          <t>FY2022Q4</t>
        </is>
      </c>
      <c r="C18" s="70" t="n">
        <v>2022</v>
      </c>
      <c r="D18" s="70" t="n">
        <v>4</v>
      </c>
      <c r="E18" s="71" t="n">
        <v>44834</v>
      </c>
      <c r="F18" s="69" t="inlineStr">
        <is>
          <t>N</t>
        </is>
      </c>
      <c r="G18" s="69" t="inlineStr">
        <is>
          <t>actual</t>
        </is>
      </c>
      <c r="H18" s="69" t="inlineStr">
        <is>
          <t>street</t>
        </is>
      </c>
      <c r="I18" s="72" t="n">
        <v>90146</v>
      </c>
      <c r="J18" s="72" t="n">
        <v>38095</v>
      </c>
      <c r="K18" s="73" t="n">
        <v>1.29</v>
      </c>
      <c r="L18" s="72" t="n">
        <v/>
      </c>
      <c r="M18" s="72" t="n">
        <v>50672</v>
      </c>
      <c r="N18" s="73" t="n">
        <v>0.23</v>
      </c>
      <c r="O18" s="73" t="n">
        <v>138.1999969482422</v>
      </c>
      <c r="P18" s="47" t="n">
        <v>16</v>
      </c>
      <c r="Q18" s="62" t="inlineStr">
        <is>
          <t>AAPL|16</t>
        </is>
      </c>
    </row>
    <row r="19">
      <c r="A19" s="69" t="inlineStr">
        <is>
          <t>AAPL</t>
        </is>
      </c>
      <c r="B19" s="69" t="inlineStr">
        <is>
          <t>FY2022Q3</t>
        </is>
      </c>
      <c r="C19" s="70" t="n">
        <v>2022</v>
      </c>
      <c r="D19" s="70" t="n">
        <v>3</v>
      </c>
      <c r="E19" s="71" t="n">
        <v>44742</v>
      </c>
      <c r="F19" s="69" t="inlineStr">
        <is>
          <t>N</t>
        </is>
      </c>
      <c r="G19" s="69" t="inlineStr">
        <is>
          <t>actual</t>
        </is>
      </c>
      <c r="H19" s="69" t="inlineStr">
        <is>
          <t>street</t>
        </is>
      </c>
      <c r="I19" s="72" t="n">
        <v>82959</v>
      </c>
      <c r="J19" s="72" t="n">
        <v>35885</v>
      </c>
      <c r="K19" s="73" t="n">
        <v>1.2</v>
      </c>
      <c r="L19" s="72" t="n">
        <v>16262.203</v>
      </c>
      <c r="M19" s="72" t="n">
        <v>58107</v>
      </c>
      <c r="N19" s="73" t="n">
        <v>0.23</v>
      </c>
      <c r="O19" s="73" t="n">
        <v>136.7200012207031</v>
      </c>
      <c r="P19" s="47" t="n">
        <v>17</v>
      </c>
      <c r="Q19" s="62" t="inlineStr">
        <is>
          <t>AAPL|17</t>
        </is>
      </c>
    </row>
    <row r="20">
      <c r="A20" s="69" t="inlineStr">
        <is>
          <t>AAPL</t>
        </is>
      </c>
      <c r="B20" s="69" t="inlineStr">
        <is>
          <t>FY2022Q2</t>
        </is>
      </c>
      <c r="C20" s="70" t="n">
        <v>2022</v>
      </c>
      <c r="D20" s="70" t="n">
        <v>2</v>
      </c>
      <c r="E20" s="71" t="n">
        <v>44651</v>
      </c>
      <c r="F20" s="69" t="inlineStr">
        <is>
          <t>N</t>
        </is>
      </c>
      <c r="G20" s="69" t="inlineStr">
        <is>
          <t>actual</t>
        </is>
      </c>
      <c r="H20" s="69" t="inlineStr">
        <is>
          <t>street</t>
        </is>
      </c>
      <c r="I20" s="72" t="n">
        <v>97278</v>
      </c>
      <c r="J20" s="72" t="n">
        <v>42559</v>
      </c>
      <c r="K20" s="73" t="n">
        <v>1.52</v>
      </c>
      <c r="L20" s="72" t="n">
        <v>16403.316</v>
      </c>
      <c r="M20" s="72" t="n">
        <v>67399</v>
      </c>
      <c r="N20" s="73" t="n">
        <v>0.22</v>
      </c>
      <c r="O20" s="73" t="n">
        <v>174.6100006103516</v>
      </c>
      <c r="P20" s="47" t="n">
        <v>18</v>
      </c>
      <c r="Q20" s="62" t="inlineStr">
        <is>
          <t>AAPL|18</t>
        </is>
      </c>
    </row>
    <row r="21">
      <c r="A21" s="69" t="inlineStr">
        <is>
          <t>AAPL</t>
        </is>
      </c>
      <c r="B21" s="69" t="inlineStr">
        <is>
          <t>FY2022Q1</t>
        </is>
      </c>
      <c r="C21" s="70" t="n">
        <v>2022</v>
      </c>
      <c r="D21" s="70" t="n">
        <v>1</v>
      </c>
      <c r="E21" s="71" t="n">
        <v>44561</v>
      </c>
      <c r="F21" s="69" t="inlineStr">
        <is>
          <t>N</t>
        </is>
      </c>
      <c r="G21" s="69" t="inlineStr">
        <is>
          <t>actual</t>
        </is>
      </c>
      <c r="H21" s="69" t="inlineStr">
        <is>
          <t>street</t>
        </is>
      </c>
      <c r="I21" s="72" t="n">
        <v>123945</v>
      </c>
      <c r="J21" s="72" t="n">
        <v>54243</v>
      </c>
      <c r="K21" s="73" t="n">
        <v>2.1</v>
      </c>
      <c r="L21" s="72" t="n">
        <v>16519.291</v>
      </c>
      <c r="M21" s="72" t="n">
        <v>71932</v>
      </c>
      <c r="N21" s="73" t="n">
        <v>0.22</v>
      </c>
      <c r="O21" s="73" t="n">
        <v>177.5700073242188</v>
      </c>
      <c r="P21" s="47" t="n">
        <v>19</v>
      </c>
      <c r="Q21" s="62" t="inlineStr">
        <is>
          <t>AAPL|19</t>
        </is>
      </c>
    </row>
    <row r="22">
      <c r="A22" s="69" t="inlineStr">
        <is>
          <t>AAPL</t>
        </is>
      </c>
      <c r="B22" s="69" t="inlineStr">
        <is>
          <t>FY2021Q4</t>
        </is>
      </c>
      <c r="C22" s="70" t="n">
        <v>2021</v>
      </c>
      <c r="D22" s="70" t="n">
        <v>4</v>
      </c>
      <c r="E22" s="71" t="n">
        <v>44469</v>
      </c>
      <c r="F22" s="69" t="inlineStr">
        <is>
          <t>N</t>
        </is>
      </c>
      <c r="G22" s="69" t="inlineStr">
        <is>
          <t>actual</t>
        </is>
      </c>
      <c r="H22" s="69" t="inlineStr">
        <is>
          <t>street</t>
        </is>
      </c>
      <c r="I22" s="72" t="n">
        <v>83360</v>
      </c>
      <c r="J22" s="72" t="n">
        <v>35174</v>
      </c>
      <c r="K22" s="73" t="n">
        <v>1.24</v>
      </c>
      <c r="L22" s="72" t="n">
        <v/>
      </c>
      <c r="M22" s="72" t="n">
        <v>63090</v>
      </c>
      <c r="N22" s="73" t="n">
        <v>0.22</v>
      </c>
      <c r="O22" s="73" t="n">
        <v>141.5</v>
      </c>
      <c r="P22" s="47" t="n">
        <v>20</v>
      </c>
      <c r="Q22" s="62" t="inlineStr">
        <is>
          <t>AAPL|20</t>
        </is>
      </c>
    </row>
    <row r="23">
      <c r="A23" s="69" t="inlineStr">
        <is>
          <t>AAPL</t>
        </is>
      </c>
      <c r="B23" s="69" t="inlineStr">
        <is>
          <t>FY2021Q3</t>
        </is>
      </c>
      <c r="C23" s="70" t="n">
        <v>2021</v>
      </c>
      <c r="D23" s="70" t="n">
        <v>3</v>
      </c>
      <c r="E23" s="71" t="n">
        <v>44377</v>
      </c>
      <c r="F23" s="69" t="inlineStr">
        <is>
          <t>N</t>
        </is>
      </c>
      <c r="G23" s="69" t="inlineStr">
        <is>
          <t>actual</t>
        </is>
      </c>
      <c r="H23" s="69" t="inlineStr">
        <is>
          <t>street</t>
        </is>
      </c>
      <c r="I23" s="72" t="n">
        <v>81434</v>
      </c>
      <c r="J23" s="72" t="n">
        <v>35255</v>
      </c>
      <c r="K23" s="73" t="n">
        <v>1.3</v>
      </c>
      <c r="L23" s="72" t="n">
        <v>16781.735</v>
      </c>
      <c r="M23" s="72" t="n">
        <v>64280</v>
      </c>
      <c r="N23" s="73" t="n">
        <v>0.22</v>
      </c>
      <c r="O23" s="73" t="n">
        <v>136.9600067138672</v>
      </c>
      <c r="P23" s="47" t="n">
        <v>21</v>
      </c>
      <c r="Q23" s="62" t="inlineStr">
        <is>
          <t>AAPL|21</t>
        </is>
      </c>
    </row>
    <row r="24">
      <c r="A24" s="69" t="inlineStr">
        <is>
          <t>AAPL</t>
        </is>
      </c>
      <c r="B24" s="69" t="inlineStr">
        <is>
          <t>FY2021Q2</t>
        </is>
      </c>
      <c r="C24" s="70" t="n">
        <v>2021</v>
      </c>
      <c r="D24" s="70" t="n">
        <v>2</v>
      </c>
      <c r="E24" s="71" t="n">
        <v>44286</v>
      </c>
      <c r="F24" s="69" t="inlineStr">
        <is>
          <t>N</t>
        </is>
      </c>
      <c r="G24" s="69" t="inlineStr">
        <is>
          <t>actual</t>
        </is>
      </c>
      <c r="H24" s="69" t="inlineStr">
        <is>
          <t>street</t>
        </is>
      </c>
      <c r="I24" s="72" t="n">
        <v>89584</v>
      </c>
      <c r="J24" s="72" t="n">
        <v>38079</v>
      </c>
      <c r="K24" s="73" t="n">
        <v>1.4</v>
      </c>
      <c r="L24" s="72" t="n">
        <v>16929.157</v>
      </c>
      <c r="M24" s="72" t="n">
        <v>69178</v>
      </c>
      <c r="N24" s="73" t="n">
        <v>0.205</v>
      </c>
      <c r="O24" s="73" t="n">
        <v>122.1500015258789</v>
      </c>
      <c r="P24" s="47" t="n">
        <v>22</v>
      </c>
      <c r="Q24" s="62" t="inlineStr">
        <is>
          <t>AAPL|22</t>
        </is>
      </c>
    </row>
    <row r="25">
      <c r="A25" s="69" t="inlineStr">
        <is>
          <t>AAPL</t>
        </is>
      </c>
      <c r="B25" s="69" t="inlineStr">
        <is>
          <t>FY2021Q1</t>
        </is>
      </c>
      <c r="C25" s="70" t="n">
        <v>2021</v>
      </c>
      <c r="D25" s="70" t="n">
        <v>1</v>
      </c>
      <c r="E25" s="71" t="n">
        <v>44196</v>
      </c>
      <c r="F25" s="69" t="inlineStr">
        <is>
          <t>N</t>
        </is>
      </c>
      <c r="G25" s="69" t="inlineStr">
        <is>
          <t>actual</t>
        </is>
      </c>
      <c r="H25" s="69" t="inlineStr">
        <is>
          <t>street</t>
        </is>
      </c>
      <c r="I25" s="72" t="n">
        <v>111439</v>
      </c>
      <c r="J25" s="72" t="n">
        <v>44328</v>
      </c>
      <c r="K25" s="73" t="n">
        <v>1.68</v>
      </c>
      <c r="L25" s="72" t="n">
        <v>17113.688</v>
      </c>
      <c r="M25" s="72" t="n">
        <v>66224</v>
      </c>
      <c r="N25" s="73" t="n">
        <v>0.205</v>
      </c>
      <c r="O25" s="73" t="n">
        <v>132.6900024414062</v>
      </c>
      <c r="P25" s="47" t="n">
        <v>23</v>
      </c>
      <c r="Q25" s="62" t="inlineStr">
        <is>
          <t>AAPL|23</t>
        </is>
      </c>
    </row>
    <row r="26">
      <c r="A26" s="69" t="inlineStr">
        <is>
          <t>AAPL</t>
        </is>
      </c>
      <c r="B26" s="69" t="inlineStr">
        <is>
          <t>FY2020Q4</t>
        </is>
      </c>
      <c r="C26" s="70" t="n">
        <v>2020</v>
      </c>
      <c r="D26" s="70" t="n">
        <v>4</v>
      </c>
      <c r="E26" s="71" t="n">
        <v>44104</v>
      </c>
      <c r="F26" s="69" t="inlineStr">
        <is>
          <t>N</t>
        </is>
      </c>
      <c r="G26" s="69" t="inlineStr">
        <is>
          <t>actual</t>
        </is>
      </c>
      <c r="H26" s="69" t="inlineStr">
        <is>
          <t>street</t>
        </is>
      </c>
      <c r="I26" s="72" t="n">
        <v>64698</v>
      </c>
      <c r="J26" s="72" t="n">
        <v>24689</v>
      </c>
      <c r="K26" s="73" t="n">
        <v>0.73</v>
      </c>
      <c r="L26" s="72" t="n">
        <v/>
      </c>
      <c r="M26" s="72" t="n">
        <v>65339</v>
      </c>
      <c r="N26" s="73" t="n">
        <v/>
      </c>
      <c r="O26" s="73" t="n">
        <v>115.8099975585938</v>
      </c>
      <c r="P26" s="47" t="n">
        <v>24</v>
      </c>
      <c r="Q26" s="62" t="inlineStr">
        <is>
          <t>AAPL|24</t>
        </is>
      </c>
    </row>
    <row r="27">
      <c r="A27" s="69" t="inlineStr">
        <is>
          <t>ADBE</t>
        </is>
      </c>
      <c r="B27" s="69" t="inlineStr">
        <is>
          <t>FY2026Q3E</t>
        </is>
      </c>
      <c r="C27" s="70" t="n">
        <v>2026</v>
      </c>
      <c r="D27" s="70" t="n">
        <v>3</v>
      </c>
      <c r="E27" s="71" t="n">
        <v>46264</v>
      </c>
      <c r="F27" s="69" t="inlineStr">
        <is>
          <t>Y</t>
        </is>
      </c>
      <c r="G27" s="69" t="inlineStr">
        <is>
          <t>consensus</t>
        </is>
      </c>
      <c r="H27" s="69" t="inlineStr">
        <is>
          <t>street</t>
        </is>
      </c>
      <c r="I27" s="72" t="n">
        <v/>
      </c>
      <c r="J27" s="72" t="n">
        <v/>
      </c>
      <c r="K27" s="73" t="n">
        <v>6.07854</v>
      </c>
      <c r="L27" s="72" t="n">
        <v/>
      </c>
      <c r="M27" s="72" t="n">
        <v/>
      </c>
      <c r="N27" s="73" t="n">
        <v/>
      </c>
      <c r="O27" s="73" t="n">
        <v/>
      </c>
      <c r="P27" s="47" t="n">
        <v>0</v>
      </c>
      <c r="Q27" s="62" t="inlineStr">
        <is>
          <t>ADBE|0</t>
        </is>
      </c>
    </row>
    <row r="28">
      <c r="A28" s="69" t="inlineStr">
        <is>
          <t>ADBE</t>
        </is>
      </c>
      <c r="B28" s="69" t="inlineStr">
        <is>
          <t>FY2026Q2</t>
        </is>
      </c>
      <c r="C28" s="70" t="n">
        <v>2026</v>
      </c>
      <c r="D28" s="70" t="n">
        <v>2</v>
      </c>
      <c r="E28" s="71" t="n">
        <v>46173</v>
      </c>
      <c r="F28" s="69" t="inlineStr">
        <is>
          <t>N</t>
        </is>
      </c>
      <c r="G28" s="69" t="inlineStr">
        <is>
          <t>actual</t>
        </is>
      </c>
      <c r="H28" s="69" t="inlineStr">
        <is>
          <t>street</t>
        </is>
      </c>
      <c r="I28" s="72" t="n">
        <v>6618</v>
      </c>
      <c r="J28" s="72" t="n">
        <v>5903</v>
      </c>
      <c r="K28" s="73" t="n">
        <v>5.96</v>
      </c>
      <c r="L28" s="72" t="n">
        <v>402</v>
      </c>
      <c r="M28" s="72" t="n">
        <v>11518</v>
      </c>
      <c r="N28" s="73" t="n">
        <v>0</v>
      </c>
      <c r="O28" s="73" t="n">
        <v>259.2099914550781</v>
      </c>
      <c r="P28" s="47" t="n">
        <v>1</v>
      </c>
      <c r="Q28" s="62" t="inlineStr">
        <is>
          <t>ADBE|1</t>
        </is>
      </c>
    </row>
    <row r="29">
      <c r="A29" s="69" t="inlineStr">
        <is>
          <t>ADBE</t>
        </is>
      </c>
      <c r="B29" s="69" t="inlineStr">
        <is>
          <t>FY2026Q1</t>
        </is>
      </c>
      <c r="C29" s="70" t="n">
        <v>2026</v>
      </c>
      <c r="D29" s="70" t="n">
        <v>1</v>
      </c>
      <c r="E29" s="71" t="n">
        <v>46081</v>
      </c>
      <c r="F29" s="69" t="inlineStr">
        <is>
          <t>N</t>
        </is>
      </c>
      <c r="G29" s="69" t="inlineStr">
        <is>
          <t>actual</t>
        </is>
      </c>
      <c r="H29" s="69" t="inlineStr">
        <is>
          <t>street</t>
        </is>
      </c>
      <c r="I29" s="72" t="n">
        <v>6398</v>
      </c>
      <c r="J29" s="72" t="n">
        <v>5734</v>
      </c>
      <c r="K29" s="73" t="n">
        <v>6.06</v>
      </c>
      <c r="L29" s="72" t="n">
        <v>411</v>
      </c>
      <c r="M29" s="72" t="n">
        <v>11433</v>
      </c>
      <c r="N29" s="73" t="n">
        <v>0</v>
      </c>
      <c r="O29" s="73" t="n">
        <v>262.4100036621094</v>
      </c>
      <c r="P29" s="47" t="n">
        <v>2</v>
      </c>
      <c r="Q29" s="62" t="inlineStr">
        <is>
          <t>ADBE|2</t>
        </is>
      </c>
    </row>
    <row r="30">
      <c r="A30" s="69" t="inlineStr">
        <is>
          <t>ADBE</t>
        </is>
      </c>
      <c r="B30" s="69" t="inlineStr">
        <is>
          <t>FY2025Q4</t>
        </is>
      </c>
      <c r="C30" s="70" t="n">
        <v>2025</v>
      </c>
      <c r="D30" s="70" t="n">
        <v>4</v>
      </c>
      <c r="E30" s="71" t="n">
        <v>45991</v>
      </c>
      <c r="F30" s="69" t="inlineStr">
        <is>
          <t>N</t>
        </is>
      </c>
      <c r="G30" s="69" t="inlineStr">
        <is>
          <t>actual</t>
        </is>
      </c>
      <c r="H30" s="69" t="inlineStr">
        <is>
          <t>street</t>
        </is>
      </c>
      <c r="I30" s="72" t="n">
        <v>6194</v>
      </c>
      <c r="J30" s="72" t="n">
        <v>5545</v>
      </c>
      <c r="K30" s="73" t="n">
        <v>5.5</v>
      </c>
      <c r="L30" s="72" t="n">
        <v>417</v>
      </c>
      <c r="M30" s="72" t="n">
        <v>11623</v>
      </c>
      <c r="N30" s="73" t="n">
        <v>0</v>
      </c>
      <c r="O30" s="73" t="n">
        <v>320.1300048828125</v>
      </c>
      <c r="P30" s="47" t="n">
        <v>3</v>
      </c>
      <c r="Q30" s="62" t="inlineStr">
        <is>
          <t>ADBE|3</t>
        </is>
      </c>
    </row>
    <row r="31">
      <c r="A31" s="69" t="inlineStr">
        <is>
          <t>ADBE</t>
        </is>
      </c>
      <c r="B31" s="69" t="inlineStr">
        <is>
          <t>FY2025Q3</t>
        </is>
      </c>
      <c r="C31" s="70" t="n">
        <v>2025</v>
      </c>
      <c r="D31" s="70" t="n">
        <v>3</v>
      </c>
      <c r="E31" s="71" t="n">
        <v>45900</v>
      </c>
      <c r="F31" s="69" t="inlineStr">
        <is>
          <t>N</t>
        </is>
      </c>
      <c r="G31" s="69" t="inlineStr">
        <is>
          <t>actual</t>
        </is>
      </c>
      <c r="H31" s="69" t="inlineStr">
        <is>
          <t>street</t>
        </is>
      </c>
      <c r="I31" s="72" t="n">
        <v>5988</v>
      </c>
      <c r="J31" s="72" t="n">
        <v>5346</v>
      </c>
      <c r="K31" s="73" t="n">
        <v>5.31</v>
      </c>
      <c r="L31" s="72" t="n">
        <v>424</v>
      </c>
      <c r="M31" s="72" t="n">
        <v>11770</v>
      </c>
      <c r="N31" s="73" t="n">
        <v>0</v>
      </c>
      <c r="O31" s="73" t="n">
        <v>356.7000122070312</v>
      </c>
      <c r="P31" s="47" t="n">
        <v>4</v>
      </c>
      <c r="Q31" s="62" t="inlineStr">
        <is>
          <t>ADBE|4</t>
        </is>
      </c>
    </row>
    <row r="32">
      <c r="A32" s="69" t="inlineStr">
        <is>
          <t>ADBE</t>
        </is>
      </c>
      <c r="B32" s="69" t="inlineStr">
        <is>
          <t>FY2025Q2</t>
        </is>
      </c>
      <c r="C32" s="70" t="n">
        <v>2025</v>
      </c>
      <c r="D32" s="70" t="n">
        <v>2</v>
      </c>
      <c r="E32" s="71" t="n">
        <v>45808</v>
      </c>
      <c r="F32" s="69" t="inlineStr">
        <is>
          <t>N</t>
        </is>
      </c>
      <c r="G32" s="69" t="inlineStr">
        <is>
          <t>actual</t>
        </is>
      </c>
      <c r="H32" s="69" t="inlineStr">
        <is>
          <t>street</t>
        </is>
      </c>
      <c r="I32" s="72" t="n">
        <v>5873</v>
      </c>
      <c r="J32" s="72" t="n">
        <v>5235</v>
      </c>
      <c r="K32" s="73" t="n">
        <v>5.06</v>
      </c>
      <c r="L32" s="72" t="n">
        <v>429</v>
      </c>
      <c r="M32" s="72" t="n">
        <v>11448</v>
      </c>
      <c r="N32" s="73" t="n">
        <v>0</v>
      </c>
      <c r="O32" s="73" t="n">
        <v>415.0899963378906</v>
      </c>
      <c r="P32" s="47" t="n">
        <v>5</v>
      </c>
      <c r="Q32" s="62" t="inlineStr">
        <is>
          <t>ADBE|5</t>
        </is>
      </c>
    </row>
    <row r="33">
      <c r="A33" s="69" t="inlineStr">
        <is>
          <t>ADBE</t>
        </is>
      </c>
      <c r="B33" s="69" t="inlineStr">
        <is>
          <t>FY2025Q1</t>
        </is>
      </c>
      <c r="C33" s="70" t="n">
        <v>2025</v>
      </c>
      <c r="D33" s="70" t="n">
        <v>1</v>
      </c>
      <c r="E33" s="71" t="n">
        <v>45716</v>
      </c>
      <c r="F33" s="69" t="inlineStr">
        <is>
          <t>N</t>
        </is>
      </c>
      <c r="G33" s="69" t="inlineStr">
        <is>
          <t>actual</t>
        </is>
      </c>
      <c r="H33" s="69" t="inlineStr">
        <is>
          <t>street</t>
        </is>
      </c>
      <c r="I33" s="72" t="n">
        <v>5714</v>
      </c>
      <c r="J33" s="72" t="n">
        <v>5092</v>
      </c>
      <c r="K33" s="73" t="n">
        <v>5.08</v>
      </c>
      <c r="L33" s="72" t="n">
        <v>445.2</v>
      </c>
      <c r="M33" s="72" t="n">
        <v>13095</v>
      </c>
      <c r="N33" s="73" t="n">
        <v>0</v>
      </c>
      <c r="O33" s="73" t="n">
        <v>438.5599975585938</v>
      </c>
      <c r="P33" s="47" t="n">
        <v>6</v>
      </c>
      <c r="Q33" s="62" t="inlineStr">
        <is>
          <t>ADBE|6</t>
        </is>
      </c>
    </row>
    <row r="34">
      <c r="A34" s="69" t="inlineStr">
        <is>
          <t>ADBE</t>
        </is>
      </c>
      <c r="B34" s="69" t="inlineStr">
        <is>
          <t>FY2024Q4</t>
        </is>
      </c>
      <c r="C34" s="70" t="n">
        <v>2024</v>
      </c>
      <c r="D34" s="70" t="n">
        <v>4</v>
      </c>
      <c r="E34" s="71" t="n">
        <v>45626</v>
      </c>
      <c r="F34" s="69" t="inlineStr">
        <is>
          <t>N</t>
        </is>
      </c>
      <c r="G34" s="69" t="inlineStr">
        <is>
          <t>actual</t>
        </is>
      </c>
      <c r="H34" s="69" t="inlineStr">
        <is>
          <t>street</t>
        </is>
      </c>
      <c r="I34" s="72" t="n">
        <v>5606</v>
      </c>
      <c r="J34" s="72" t="n">
        <v>4990</v>
      </c>
      <c r="K34" s="73" t="n">
        <v>4.81</v>
      </c>
      <c r="L34" s="72" t="n">
        <v>449.7</v>
      </c>
      <c r="M34" s="72" t="n">
        <v>14105</v>
      </c>
      <c r="N34" s="73" t="n">
        <v>0</v>
      </c>
      <c r="O34" s="73" t="n">
        <v>515.9299926757812</v>
      </c>
      <c r="P34" s="47" t="n">
        <v>7</v>
      </c>
      <c r="Q34" s="62" t="inlineStr">
        <is>
          <t>ADBE|7</t>
        </is>
      </c>
    </row>
    <row r="35">
      <c r="A35" s="69" t="inlineStr">
        <is>
          <t>ADBE</t>
        </is>
      </c>
      <c r="B35" s="69" t="inlineStr">
        <is>
          <t>FY2024Q3</t>
        </is>
      </c>
      <c r="C35" s="70" t="n">
        <v>2024</v>
      </c>
      <c r="D35" s="70" t="n">
        <v>3</v>
      </c>
      <c r="E35" s="71" t="n">
        <v>45535</v>
      </c>
      <c r="F35" s="69" t="inlineStr">
        <is>
          <t>N</t>
        </is>
      </c>
      <c r="G35" s="69" t="inlineStr">
        <is>
          <t>actual</t>
        </is>
      </c>
      <c r="H35" s="69" t="inlineStr">
        <is>
          <t>street</t>
        </is>
      </c>
      <c r="I35" s="72" t="n">
        <v>5408</v>
      </c>
      <c r="J35" s="72" t="n">
        <v>4854</v>
      </c>
      <c r="K35" s="73" t="n">
        <v>4.65</v>
      </c>
      <c r="L35" s="72" t="n">
        <v>453.75</v>
      </c>
      <c r="M35" s="72" t="n">
        <v>14545</v>
      </c>
      <c r="N35" s="73" t="n">
        <v>0</v>
      </c>
      <c r="O35" s="73" t="n">
        <v>574.4099731445312</v>
      </c>
      <c r="P35" s="47" t="n">
        <v>8</v>
      </c>
      <c r="Q35" s="62" t="inlineStr">
        <is>
          <t>ADBE|8</t>
        </is>
      </c>
    </row>
    <row r="36">
      <c r="A36" s="69" t="inlineStr">
        <is>
          <t>ADBE</t>
        </is>
      </c>
      <c r="B36" s="69" t="inlineStr">
        <is>
          <t>FY2024Q2</t>
        </is>
      </c>
      <c r="C36" s="70" t="n">
        <v>2024</v>
      </c>
      <c r="D36" s="70" t="n">
        <v>2</v>
      </c>
      <c r="E36" s="71" t="n">
        <v>45443</v>
      </c>
      <c r="F36" s="69" t="inlineStr">
        <is>
          <t>N</t>
        </is>
      </c>
      <c r="G36" s="69" t="inlineStr">
        <is>
          <t>actual</t>
        </is>
      </c>
      <c r="H36" s="69" t="inlineStr">
        <is>
          <t>street</t>
        </is>
      </c>
      <c r="I36" s="72" t="n">
        <v>5309</v>
      </c>
      <c r="J36" s="72" t="n">
        <v>4711</v>
      </c>
      <c r="K36" s="73" t="n">
        <v>4.48</v>
      </c>
      <c r="L36" s="72" t="n">
        <v>456.5</v>
      </c>
      <c r="M36" s="72" t="n">
        <v>14843</v>
      </c>
      <c r="N36" s="73" t="n">
        <v>0</v>
      </c>
      <c r="O36" s="73" t="n">
        <v>444.760009765625</v>
      </c>
      <c r="P36" s="47" t="n">
        <v>9</v>
      </c>
      <c r="Q36" s="62" t="inlineStr">
        <is>
          <t>ADBE|9</t>
        </is>
      </c>
    </row>
    <row r="37">
      <c r="A37" s="69" t="inlineStr">
        <is>
          <t>ADBE</t>
        </is>
      </c>
      <c r="B37" s="69" t="inlineStr">
        <is>
          <t>FY2024Q1</t>
        </is>
      </c>
      <c r="C37" s="70" t="n">
        <v>2024</v>
      </c>
      <c r="D37" s="70" t="n">
        <v>1</v>
      </c>
      <c r="E37" s="71" t="n">
        <v>45351</v>
      </c>
      <c r="F37" s="69" t="inlineStr">
        <is>
          <t>N</t>
        </is>
      </c>
      <c r="G37" s="69" t="inlineStr">
        <is>
          <t>actual</t>
        </is>
      </c>
      <c r="H37" s="69" t="inlineStr">
        <is>
          <t>street</t>
        </is>
      </c>
      <c r="I37" s="72" t="n">
        <v>5182</v>
      </c>
      <c r="J37" s="72" t="n">
        <v>4592</v>
      </c>
      <c r="K37" s="73" t="n">
        <v>4.48</v>
      </c>
      <c r="L37" s="72" t="n">
        <v>458</v>
      </c>
      <c r="M37" s="72" t="n">
        <v>15460</v>
      </c>
      <c r="N37" s="73" t="n">
        <v>0</v>
      </c>
      <c r="O37" s="73" t="n">
        <v>560.280029296875</v>
      </c>
      <c r="P37" s="47" t="n">
        <v>10</v>
      </c>
      <c r="Q37" s="62" t="inlineStr">
        <is>
          <t>ADBE|10</t>
        </is>
      </c>
    </row>
    <row r="38">
      <c r="A38" s="69" t="inlineStr">
        <is>
          <t>ADBE</t>
        </is>
      </c>
      <c r="B38" s="69" t="inlineStr">
        <is>
          <t>FY2023Q4</t>
        </is>
      </c>
      <c r="C38" s="70" t="n">
        <v>2023</v>
      </c>
      <c r="D38" s="70" t="n">
        <v>4</v>
      </c>
      <c r="E38" s="71" t="n">
        <v>45260</v>
      </c>
      <c r="F38" s="69" t="inlineStr">
        <is>
          <t>N</t>
        </is>
      </c>
      <c r="G38" s="69" t="inlineStr">
        <is>
          <t>actual</t>
        </is>
      </c>
      <c r="H38" s="69" t="inlineStr">
        <is>
          <t>street</t>
        </is>
      </c>
      <c r="I38" s="72" t="n">
        <v>5048</v>
      </c>
      <c r="J38" s="72" t="n">
        <v>4414</v>
      </c>
      <c r="K38" s="73" t="n">
        <v>4.27</v>
      </c>
      <c r="L38" s="72" t="n">
        <v>459</v>
      </c>
      <c r="M38" s="72" t="n">
        <v>16518</v>
      </c>
      <c r="N38" s="73" t="n">
        <v>0</v>
      </c>
      <c r="O38" s="73" t="n">
        <v>611.010009765625</v>
      </c>
      <c r="P38" s="47" t="n">
        <v>11</v>
      </c>
      <c r="Q38" s="62" t="inlineStr">
        <is>
          <t>ADBE|11</t>
        </is>
      </c>
    </row>
    <row r="39">
      <c r="A39" s="69" t="inlineStr">
        <is>
          <t>ADBE</t>
        </is>
      </c>
      <c r="B39" s="69" t="inlineStr">
        <is>
          <t>FY2023Q3</t>
        </is>
      </c>
      <c r="C39" s="70" t="n">
        <v>2023</v>
      </c>
      <c r="D39" s="70" t="n">
        <v>3</v>
      </c>
      <c r="E39" s="71" t="n">
        <v>45169</v>
      </c>
      <c r="F39" s="69" t="inlineStr">
        <is>
          <t>N</t>
        </is>
      </c>
      <c r="G39" s="69" t="inlineStr">
        <is>
          <t>actual</t>
        </is>
      </c>
      <c r="H39" s="69" t="inlineStr">
        <is>
          <t>street</t>
        </is>
      </c>
      <c r="I39" s="72" t="n">
        <v>4890</v>
      </c>
      <c r="J39" s="72" t="n">
        <v>4310</v>
      </c>
      <c r="K39" s="73" t="n">
        <v>4.1</v>
      </c>
      <c r="L39" s="72" t="n">
        <v>459.5</v>
      </c>
      <c r="M39" s="72" t="n">
        <v>15776</v>
      </c>
      <c r="N39" s="73" t="n">
        <v>0</v>
      </c>
      <c r="O39" s="73" t="n">
        <v>559.3400268554688</v>
      </c>
      <c r="P39" s="47" t="n">
        <v>12</v>
      </c>
      <c r="Q39" s="62" t="inlineStr">
        <is>
          <t>ADBE|12</t>
        </is>
      </c>
    </row>
    <row r="40">
      <c r="A40" s="69" t="inlineStr">
        <is>
          <t>ADBE</t>
        </is>
      </c>
      <c r="B40" s="69" t="inlineStr">
        <is>
          <t>FY2023Q2</t>
        </is>
      </c>
      <c r="C40" s="70" t="n">
        <v>2023</v>
      </c>
      <c r="D40" s="70" t="n">
        <v>2</v>
      </c>
      <c r="E40" s="71" t="n">
        <v>45077</v>
      </c>
      <c r="F40" s="69" t="inlineStr">
        <is>
          <t>N</t>
        </is>
      </c>
      <c r="G40" s="69" t="inlineStr">
        <is>
          <t>actual</t>
        </is>
      </c>
      <c r="H40" s="69" t="inlineStr">
        <is>
          <t>street</t>
        </is>
      </c>
      <c r="I40" s="72" t="n">
        <v>4816</v>
      </c>
      <c r="J40" s="72" t="n">
        <v>4244</v>
      </c>
      <c r="K40" s="73" t="n">
        <v>3.91</v>
      </c>
      <c r="L40" s="72" t="n">
        <v>458.7</v>
      </c>
      <c r="M40" s="72" t="n">
        <v>14838</v>
      </c>
      <c r="N40" s="73" t="n">
        <v>0</v>
      </c>
      <c r="O40" s="73" t="n">
        <v>417.7900085449219</v>
      </c>
      <c r="P40" s="47" t="n">
        <v>13</v>
      </c>
      <c r="Q40" s="62" t="inlineStr">
        <is>
          <t>ADBE|13</t>
        </is>
      </c>
    </row>
    <row r="41">
      <c r="A41" s="69" t="inlineStr">
        <is>
          <t>ADBE</t>
        </is>
      </c>
      <c r="B41" s="69" t="inlineStr">
        <is>
          <t>FY2023Q1</t>
        </is>
      </c>
      <c r="C41" s="70" t="n">
        <v>2023</v>
      </c>
      <c r="D41" s="70" t="n">
        <v>1</v>
      </c>
      <c r="E41" s="71" t="n">
        <v>44985</v>
      </c>
      <c r="F41" s="69" t="inlineStr">
        <is>
          <t>N</t>
        </is>
      </c>
      <c r="G41" s="69" t="inlineStr">
        <is>
          <t>actual</t>
        </is>
      </c>
      <c r="H41" s="69" t="inlineStr">
        <is>
          <t>street</t>
        </is>
      </c>
      <c r="I41" s="72" t="n">
        <v>4655</v>
      </c>
      <c r="J41" s="72" t="n">
        <v>4087</v>
      </c>
      <c r="K41" s="73" t="n">
        <v>3.8</v>
      </c>
      <c r="L41" s="72" t="n">
        <v>459.5</v>
      </c>
      <c r="M41" s="72" t="n">
        <v>14206</v>
      </c>
      <c r="N41" s="73" t="n">
        <v>0</v>
      </c>
      <c r="O41" s="73" t="n">
        <v>323.9500122070312</v>
      </c>
      <c r="P41" s="47" t="n">
        <v>14</v>
      </c>
      <c r="Q41" s="62" t="inlineStr">
        <is>
          <t>ADBE|14</t>
        </is>
      </c>
    </row>
    <row r="42">
      <c r="A42" s="69" t="inlineStr">
        <is>
          <t>ADBE</t>
        </is>
      </c>
      <c r="B42" s="69" t="inlineStr">
        <is>
          <t>FY2022Q4</t>
        </is>
      </c>
      <c r="C42" s="70" t="n">
        <v>2022</v>
      </c>
      <c r="D42" s="70" t="n">
        <v>4</v>
      </c>
      <c r="E42" s="71" t="n">
        <v>44895</v>
      </c>
      <c r="F42" s="69" t="inlineStr">
        <is>
          <t>N</t>
        </is>
      </c>
      <c r="G42" s="69" t="inlineStr">
        <is>
          <t>actual</t>
        </is>
      </c>
      <c r="H42" s="69" t="inlineStr">
        <is>
          <t>street</t>
        </is>
      </c>
      <c r="I42" s="72" t="n">
        <v>17606</v>
      </c>
      <c r="J42" s="72" t="n">
        <v>15441</v>
      </c>
      <c r="K42" s="73" t="n">
        <v>3.6</v>
      </c>
      <c r="L42" s="72" t="n">
        <v/>
      </c>
      <c r="M42" s="72" t="n">
        <v>14051</v>
      </c>
      <c r="N42" s="73" t="n">
        <v>0</v>
      </c>
      <c r="O42" s="73" t="n">
        <v>344.9299926757812</v>
      </c>
      <c r="P42" s="47" t="n">
        <v>15</v>
      </c>
      <c r="Q42" s="62" t="inlineStr">
        <is>
          <t>ADBE|15</t>
        </is>
      </c>
    </row>
    <row r="43">
      <c r="A43" s="69" t="inlineStr">
        <is>
          <t>ADBE</t>
        </is>
      </c>
      <c r="B43" s="69" t="inlineStr">
        <is>
          <t>FY2022Q3</t>
        </is>
      </c>
      <c r="C43" s="70" t="n">
        <v>2022</v>
      </c>
      <c r="D43" s="70" t="n">
        <v>3</v>
      </c>
      <c r="E43" s="71" t="n">
        <v>44804</v>
      </c>
      <c r="F43" s="69" t="inlineStr">
        <is>
          <t>N</t>
        </is>
      </c>
      <c r="G43" s="69" t="inlineStr">
        <is>
          <t>actual</t>
        </is>
      </c>
      <c r="H43" s="69" t="inlineStr">
        <is>
          <t>street</t>
        </is>
      </c>
      <c r="I43" s="72" t="n">
        <v>4433</v>
      </c>
      <c r="J43" s="72" t="n">
        <v>3887</v>
      </c>
      <c r="K43" s="73" t="n">
        <v>3.4</v>
      </c>
      <c r="L43" s="72" t="n">
        <v>469.4</v>
      </c>
      <c r="M43" s="72" t="n">
        <v>14373</v>
      </c>
      <c r="N43" s="73" t="n">
        <v>0</v>
      </c>
      <c r="O43" s="73" t="n">
        <v>373.4400024414063</v>
      </c>
      <c r="P43" s="47" t="n">
        <v>16</v>
      </c>
      <c r="Q43" s="62" t="inlineStr">
        <is>
          <t>ADBE|16</t>
        </is>
      </c>
    </row>
    <row r="44">
      <c r="A44" s="69" t="inlineStr">
        <is>
          <t>ADBE</t>
        </is>
      </c>
      <c r="B44" s="69" t="inlineStr">
        <is>
          <t>FY2022Q2</t>
        </is>
      </c>
      <c r="C44" s="70" t="n">
        <v>2022</v>
      </c>
      <c r="D44" s="70" t="n">
        <v>2</v>
      </c>
      <c r="E44" s="71" t="n">
        <v>44712</v>
      </c>
      <c r="F44" s="69" t="inlineStr">
        <is>
          <t>N</t>
        </is>
      </c>
      <c r="G44" s="69" t="inlineStr">
        <is>
          <t>actual</t>
        </is>
      </c>
      <c r="H44" s="69" t="inlineStr">
        <is>
          <t>street</t>
        </is>
      </c>
      <c r="I44" s="72" t="n">
        <v>4386</v>
      </c>
      <c r="J44" s="72" t="n">
        <v>3847</v>
      </c>
      <c r="K44" s="73" t="n">
        <v>3.35</v>
      </c>
      <c r="L44" s="72" t="n">
        <v>473.3</v>
      </c>
      <c r="M44" s="72" t="n">
        <v>13985</v>
      </c>
      <c r="N44" s="73" t="n">
        <v>0</v>
      </c>
      <c r="O44" s="73" t="n">
        <v>416.4800109863281</v>
      </c>
      <c r="P44" s="47" t="n">
        <v>17</v>
      </c>
      <c r="Q44" s="62" t="inlineStr">
        <is>
          <t>ADBE|17</t>
        </is>
      </c>
    </row>
    <row r="45">
      <c r="A45" s="69" t="inlineStr">
        <is>
          <t>ADBE</t>
        </is>
      </c>
      <c r="B45" s="69" t="inlineStr">
        <is>
          <t>FY2022Q1</t>
        </is>
      </c>
      <c r="C45" s="70" t="n">
        <v>2022</v>
      </c>
      <c r="D45" s="70" t="n">
        <v>1</v>
      </c>
      <c r="E45" s="71" t="n">
        <v>44620</v>
      </c>
      <c r="F45" s="69" t="inlineStr">
        <is>
          <t>N</t>
        </is>
      </c>
      <c r="G45" s="69" t="inlineStr">
        <is>
          <t>actual</t>
        </is>
      </c>
      <c r="H45" s="69" t="inlineStr">
        <is>
          <t>street</t>
        </is>
      </c>
      <c r="I45" s="72" t="n">
        <v>4262</v>
      </c>
      <c r="J45" s="72" t="n">
        <v>3750</v>
      </c>
      <c r="K45" s="73" t="n">
        <v>3.37</v>
      </c>
      <c r="L45" s="72" t="n">
        <v>475.4</v>
      </c>
      <c r="M45" s="72" t="n">
        <v>13775</v>
      </c>
      <c r="N45" s="73" t="n">
        <v>0</v>
      </c>
      <c r="O45" s="73" t="n">
        <v>467.6799926757813</v>
      </c>
      <c r="P45" s="47" t="n">
        <v>18</v>
      </c>
      <c r="Q45" s="62" t="inlineStr">
        <is>
          <t>ADBE|18</t>
        </is>
      </c>
    </row>
    <row r="46">
      <c r="A46" s="69" t="inlineStr">
        <is>
          <t>ADBE</t>
        </is>
      </c>
      <c r="B46" s="69" t="inlineStr">
        <is>
          <t>FY2021Q4</t>
        </is>
      </c>
      <c r="C46" s="70" t="n">
        <v>2021</v>
      </c>
      <c r="D46" s="70" t="n">
        <v>4</v>
      </c>
      <c r="E46" s="71" t="n">
        <v>44530</v>
      </c>
      <c r="F46" s="69" t="inlineStr">
        <is>
          <t>N</t>
        </is>
      </c>
      <c r="G46" s="69" t="inlineStr">
        <is>
          <t>actual</t>
        </is>
      </c>
      <c r="H46" s="69" t="inlineStr">
        <is>
          <t>street</t>
        </is>
      </c>
      <c r="I46" s="72" t="n">
        <v>4110</v>
      </c>
      <c r="J46" s="72" t="n">
        <v>3603</v>
      </c>
      <c r="K46" s="73" t="n">
        <v>3.2</v>
      </c>
      <c r="L46" s="72" t="n">
        <v/>
      </c>
      <c r="M46" s="72" t="n">
        <v>14797</v>
      </c>
      <c r="N46" s="73" t="n">
        <v>0</v>
      </c>
      <c r="O46" s="73" t="n">
        <v>669.8499755859375</v>
      </c>
      <c r="P46" s="47" t="n">
        <v>19</v>
      </c>
      <c r="Q46" s="62" t="inlineStr">
        <is>
          <t>ADBE|19</t>
        </is>
      </c>
    </row>
    <row r="47">
      <c r="A47" s="69" t="inlineStr">
        <is>
          <t>ADBE</t>
        </is>
      </c>
      <c r="B47" s="69" t="inlineStr">
        <is>
          <t>FY2021Q3</t>
        </is>
      </c>
      <c r="C47" s="70" t="n">
        <v>2021</v>
      </c>
      <c r="D47" s="70" t="n">
        <v>3</v>
      </c>
      <c r="E47" s="71" t="n">
        <v>44439</v>
      </c>
      <c r="F47" s="69" t="inlineStr">
        <is>
          <t>N</t>
        </is>
      </c>
      <c r="G47" s="69" t="inlineStr">
        <is>
          <t>actual</t>
        </is>
      </c>
      <c r="H47" s="69" t="inlineStr">
        <is>
          <t>street</t>
        </is>
      </c>
      <c r="I47" s="72" t="n">
        <v>3935</v>
      </c>
      <c r="J47" s="72" t="n">
        <v>3468</v>
      </c>
      <c r="K47" s="73" t="n">
        <v>3.11</v>
      </c>
      <c r="L47" s="72" t="n">
        <v>480.7</v>
      </c>
      <c r="M47" s="72" t="n">
        <v>14414</v>
      </c>
      <c r="N47" s="73" t="n">
        <v>0</v>
      </c>
      <c r="O47" s="73" t="n">
        <v>663.7000122070312</v>
      </c>
      <c r="P47" s="47" t="n">
        <v>20</v>
      </c>
      <c r="Q47" s="62" t="inlineStr">
        <is>
          <t>ADBE|20</t>
        </is>
      </c>
    </row>
    <row r="48">
      <c r="A48" s="69" t="inlineStr">
        <is>
          <t>ADBE</t>
        </is>
      </c>
      <c r="B48" s="69" t="inlineStr">
        <is>
          <t>FY2021Q2</t>
        </is>
      </c>
      <c r="C48" s="70" t="n">
        <v>2021</v>
      </c>
      <c r="D48" s="70" t="n">
        <v>2</v>
      </c>
      <c r="E48" s="71" t="n">
        <v>44347</v>
      </c>
      <c r="F48" s="69" t="inlineStr">
        <is>
          <t>N</t>
        </is>
      </c>
      <c r="G48" s="69" t="inlineStr">
        <is>
          <t>actual</t>
        </is>
      </c>
      <c r="H48" s="69" t="inlineStr">
        <is>
          <t>street</t>
        </is>
      </c>
      <c r="I48" s="72" t="n">
        <v>3835</v>
      </c>
      <c r="J48" s="72" t="n">
        <v>3391</v>
      </c>
      <c r="K48" s="73" t="n">
        <v>3.03</v>
      </c>
      <c r="L48" s="72" t="n">
        <v>480.8</v>
      </c>
      <c r="M48" s="72" t="n">
        <v>13852</v>
      </c>
      <c r="N48" s="73" t="n">
        <v>0</v>
      </c>
      <c r="O48" s="73" t="n">
        <v>504.5799865722656</v>
      </c>
      <c r="P48" s="47" t="n">
        <v>21</v>
      </c>
      <c r="Q48" s="62" t="inlineStr">
        <is>
          <t>ADBE|21</t>
        </is>
      </c>
    </row>
    <row r="49">
      <c r="A49" s="69" t="inlineStr">
        <is>
          <t>ADBE</t>
        </is>
      </c>
      <c r="B49" s="69" t="inlineStr">
        <is>
          <t>FY2021Q1</t>
        </is>
      </c>
      <c r="C49" s="70" t="n">
        <v>2021</v>
      </c>
      <c r="D49" s="70" t="n">
        <v>1</v>
      </c>
      <c r="E49" s="71" t="n">
        <v>44255</v>
      </c>
      <c r="F49" s="69" t="inlineStr">
        <is>
          <t>N</t>
        </is>
      </c>
      <c r="G49" s="69" t="inlineStr">
        <is>
          <t>actual</t>
        </is>
      </c>
      <c r="H49" s="69" t="inlineStr">
        <is>
          <t>street</t>
        </is>
      </c>
      <c r="I49" s="72" t="n">
        <v>3905</v>
      </c>
      <c r="J49" s="72" t="n">
        <v>3458</v>
      </c>
      <c r="K49" s="73" t="n">
        <v>3.14</v>
      </c>
      <c r="L49" s="72" t="n">
        <v>482.9</v>
      </c>
      <c r="M49" s="72" t="n">
        <v>13546</v>
      </c>
      <c r="N49" s="73" t="n">
        <v>0</v>
      </c>
      <c r="O49" s="73" t="n">
        <v>459.6700134277344</v>
      </c>
      <c r="P49" s="47" t="n">
        <v>22</v>
      </c>
      <c r="Q49" s="62" t="inlineStr">
        <is>
          <t>ADBE|22</t>
        </is>
      </c>
    </row>
    <row r="50">
      <c r="A50" s="69" t="inlineStr">
        <is>
          <t>ADBE</t>
        </is>
      </c>
      <c r="B50" s="69" t="inlineStr">
        <is>
          <t>FY2020Q4</t>
        </is>
      </c>
      <c r="C50" s="70" t="n">
        <v>2020</v>
      </c>
      <c r="D50" s="70" t="n">
        <v>4</v>
      </c>
      <c r="E50" s="71" t="n">
        <v>44165</v>
      </c>
      <c r="F50" s="69" t="inlineStr">
        <is>
          <t>N</t>
        </is>
      </c>
      <c r="G50" s="69" t="inlineStr">
        <is>
          <t>actual</t>
        </is>
      </c>
      <c r="H50" s="69" t="inlineStr">
        <is>
          <t>street</t>
        </is>
      </c>
      <c r="I50" s="72" t="n">
        <v>3424</v>
      </c>
      <c r="J50" s="72" t="n">
        <v>2996</v>
      </c>
      <c r="K50" s="73" t="n">
        <v>2.81</v>
      </c>
      <c r="L50" s="72" t="n">
        <v/>
      </c>
      <c r="M50" s="72" t="n">
        <v>13264</v>
      </c>
      <c r="N50" s="73" t="n">
        <v>0</v>
      </c>
      <c r="O50" s="73" t="n">
        <v>478.4700012207031</v>
      </c>
      <c r="P50" s="47" t="n">
        <v>23</v>
      </c>
      <c r="Q50" s="62" t="inlineStr">
        <is>
          <t>ADBE|23</t>
        </is>
      </c>
    </row>
    <row r="51">
      <c r="A51" s="69" t="inlineStr">
        <is>
          <t>ADBE</t>
        </is>
      </c>
      <c r="B51" s="69" t="inlineStr">
        <is>
          <t>FY2020Q3</t>
        </is>
      </c>
      <c r="C51" s="70" t="n">
        <v>2020</v>
      </c>
      <c r="D51" s="70" t="n">
        <v>3</v>
      </c>
      <c r="E51" s="71" t="n">
        <v>44074</v>
      </c>
      <c r="F51" s="69" t="inlineStr">
        <is>
          <t>N</t>
        </is>
      </c>
      <c r="G51" s="69" t="inlineStr">
        <is>
          <t>actual</t>
        </is>
      </c>
      <c r="H51" s="69" t="inlineStr">
        <is>
          <t>street</t>
        </is>
      </c>
      <c r="I51" s="72" t="n">
        <v>3225</v>
      </c>
      <c r="J51" s="72" t="n">
        <v>2798</v>
      </c>
      <c r="K51" s="73" t="n">
        <v>2.57</v>
      </c>
      <c r="L51" s="72" t="n">
        <v>484.9</v>
      </c>
      <c r="M51" s="72" t="n">
        <v>11713</v>
      </c>
      <c r="N51" s="73" t="n">
        <v/>
      </c>
      <c r="O51" s="73" t="n">
        <v>513.3900146484375</v>
      </c>
      <c r="P51" s="47" t="n">
        <v>24</v>
      </c>
      <c r="Q51" s="62" t="inlineStr">
        <is>
          <t>ADBE|24</t>
        </is>
      </c>
    </row>
    <row r="52">
      <c r="A52" s="69" t="inlineStr">
        <is>
          <t>COST</t>
        </is>
      </c>
      <c r="B52" s="69" t="inlineStr">
        <is>
          <t>FY2026Q4E</t>
        </is>
      </c>
      <c r="C52" s="70" t="n">
        <v>2026</v>
      </c>
      <c r="D52" s="70" t="n">
        <v>4</v>
      </c>
      <c r="E52" s="71" t="n">
        <v>46264</v>
      </c>
      <c r="F52" s="69" t="inlineStr">
        <is>
          <t>Y</t>
        </is>
      </c>
      <c r="G52" s="69" t="inlineStr">
        <is>
          <t>consensus</t>
        </is>
      </c>
      <c r="H52" s="69" t="inlineStr">
        <is>
          <t>street</t>
        </is>
      </c>
      <c r="I52" s="72" t="n">
        <v/>
      </c>
      <c r="J52" s="72" t="n">
        <v/>
      </c>
      <c r="K52" s="73" t="n">
        <v>6.56439</v>
      </c>
      <c r="L52" s="72" t="n">
        <v/>
      </c>
      <c r="M52" s="72" t="n">
        <v/>
      </c>
      <c r="N52" s="73" t="n">
        <v/>
      </c>
      <c r="O52" s="73" t="n">
        <v/>
      </c>
      <c r="P52" s="47" t="n">
        <v>0</v>
      </c>
      <c r="Q52" s="62" t="inlineStr">
        <is>
          <t>COST|0</t>
        </is>
      </c>
    </row>
    <row r="53">
      <c r="A53" s="69" t="inlineStr">
        <is>
          <t>COST</t>
        </is>
      </c>
      <c r="B53" s="69" t="inlineStr">
        <is>
          <t>FY2026Q3</t>
        </is>
      </c>
      <c r="C53" s="70" t="n">
        <v>2026</v>
      </c>
      <c r="D53" s="70" t="n">
        <v>3</v>
      </c>
      <c r="E53" s="71" t="n">
        <v>46173</v>
      </c>
      <c r="F53" s="69" t="inlineStr">
        <is>
          <t>N</t>
        </is>
      </c>
      <c r="G53" s="69" t="inlineStr">
        <is>
          <t>actual</t>
        </is>
      </c>
      <c r="H53" s="69" t="inlineStr">
        <is>
          <t>street</t>
        </is>
      </c>
      <c r="I53" s="72" t="n">
        <v>70527</v>
      </c>
      <c r="J53" s="72" t="n">
        <v>9008</v>
      </c>
      <c r="K53" s="73" t="n">
        <v>4.93</v>
      </c>
      <c r="L53" s="72" t="n">
        <v>444.43</v>
      </c>
      <c r="M53" s="72" t="n">
        <v>33509</v>
      </c>
      <c r="N53" s="73" t="n">
        <v>1.47</v>
      </c>
      <c r="O53" s="73" t="n">
        <v>956.3200073242188</v>
      </c>
      <c r="P53" s="47" t="n">
        <v>1</v>
      </c>
      <c r="Q53" s="62" t="inlineStr">
        <is>
          <t>COST|1</t>
        </is>
      </c>
    </row>
    <row r="54">
      <c r="A54" s="69" t="inlineStr">
        <is>
          <t>COST</t>
        </is>
      </c>
      <c r="B54" s="69" t="inlineStr">
        <is>
          <t>FY2026Q2</t>
        </is>
      </c>
      <c r="C54" s="70" t="n">
        <v>2026</v>
      </c>
      <c r="D54" s="70" t="n">
        <v>2</v>
      </c>
      <c r="E54" s="71" t="n">
        <v>46081</v>
      </c>
      <c r="F54" s="69" t="inlineStr">
        <is>
          <t>N</t>
        </is>
      </c>
      <c r="G54" s="69" t="inlineStr">
        <is>
          <t>actual</t>
        </is>
      </c>
      <c r="H54" s="69" t="inlineStr">
        <is>
          <t>street</t>
        </is>
      </c>
      <c r="I54" s="72" t="n">
        <v>69597</v>
      </c>
      <c r="J54" s="72" t="n">
        <v>8878</v>
      </c>
      <c r="K54" s="73" t="n">
        <v>4.58</v>
      </c>
      <c r="L54" s="72" t="n">
        <v>444.42</v>
      </c>
      <c r="M54" s="72" t="n">
        <v>32087</v>
      </c>
      <c r="N54" s="73" t="n">
        <v>1.3</v>
      </c>
      <c r="O54" s="73" t="n">
        <v>1010.789978027344</v>
      </c>
      <c r="P54" s="47" t="n">
        <v>2</v>
      </c>
      <c r="Q54" s="62" t="inlineStr">
        <is>
          <t>COST|2</t>
        </is>
      </c>
    </row>
    <row r="55">
      <c r="A55" s="69" t="inlineStr">
        <is>
          <t>COST</t>
        </is>
      </c>
      <c r="B55" s="69" t="inlineStr">
        <is>
          <t>FY2026Q1</t>
        </is>
      </c>
      <c r="C55" s="70" t="n">
        <v>2026</v>
      </c>
      <c r="D55" s="70" t="n">
        <v>1</v>
      </c>
      <c r="E55" s="71" t="n">
        <v>45991</v>
      </c>
      <c r="F55" s="69" t="inlineStr">
        <is>
          <t>N</t>
        </is>
      </c>
      <c r="G55" s="69" t="inlineStr">
        <is>
          <t>actual</t>
        </is>
      </c>
      <c r="H55" s="69" t="inlineStr">
        <is>
          <t>street</t>
        </is>
      </c>
      <c r="I55" s="72" t="n">
        <v>67307</v>
      </c>
      <c r="J55" s="72" t="n">
        <v>8797</v>
      </c>
      <c r="K55" s="73" t="n">
        <v>4.5</v>
      </c>
      <c r="L55" s="72" t="n">
        <v>444.515</v>
      </c>
      <c r="M55" s="72" t="n">
        <v>30303</v>
      </c>
      <c r="N55" s="73" t="n">
        <v>1.3</v>
      </c>
      <c r="O55" s="73" t="n">
        <v>913.5900268554688</v>
      </c>
      <c r="P55" s="47" t="n">
        <v>3</v>
      </c>
      <c r="Q55" s="62" t="inlineStr">
        <is>
          <t>COST|3</t>
        </is>
      </c>
    </row>
    <row r="56">
      <c r="A56" s="69" t="inlineStr">
        <is>
          <t>COST</t>
        </is>
      </c>
      <c r="B56" s="69" t="inlineStr">
        <is>
          <t>FY2025Q4</t>
        </is>
      </c>
      <c r="C56" s="70" t="n">
        <v>2025</v>
      </c>
      <c r="D56" s="70" t="n">
        <v>4</v>
      </c>
      <c r="E56" s="71" t="n">
        <v>45900</v>
      </c>
      <c r="F56" s="69" t="inlineStr">
        <is>
          <t>N</t>
        </is>
      </c>
      <c r="G56" s="69" t="inlineStr">
        <is>
          <t>actual</t>
        </is>
      </c>
      <c r="H56" s="69" t="inlineStr">
        <is>
          <t>street</t>
        </is>
      </c>
      <c r="I56" s="72" t="n">
        <v>86156</v>
      </c>
      <c r="J56" s="72" t="n">
        <v>11119</v>
      </c>
      <c r="K56" s="73" t="n">
        <v>5.87</v>
      </c>
      <c r="L56" s="72" t="n">
        <v>444.706</v>
      </c>
      <c r="M56" s="72" t="n">
        <v>29164</v>
      </c>
      <c r="N56" s="73" t="n">
        <v>1.3</v>
      </c>
      <c r="O56" s="73" t="n">
        <v>943.3200073242188</v>
      </c>
      <c r="P56" s="47" t="n">
        <v>4</v>
      </c>
      <c r="Q56" s="62" t="inlineStr">
        <is>
          <t>COST|4</t>
        </is>
      </c>
    </row>
    <row r="57">
      <c r="A57" s="69" t="inlineStr">
        <is>
          <t>COST</t>
        </is>
      </c>
      <c r="B57" s="69" t="inlineStr">
        <is>
          <t>FY2025Q3</t>
        </is>
      </c>
      <c r="C57" s="70" t="n">
        <v>2025</v>
      </c>
      <c r="D57" s="70" t="n">
        <v>3</v>
      </c>
      <c r="E57" s="71" t="n">
        <v>45808</v>
      </c>
      <c r="F57" s="69" t="inlineStr">
        <is>
          <t>N</t>
        </is>
      </c>
      <c r="G57" s="69" t="inlineStr">
        <is>
          <t>actual</t>
        </is>
      </c>
      <c r="H57" s="69" t="inlineStr">
        <is>
          <t>street</t>
        </is>
      </c>
      <c r="I57" s="72" t="n">
        <v>63205</v>
      </c>
      <c r="J57" s="72" t="n">
        <v>8209</v>
      </c>
      <c r="K57" s="73" t="n">
        <v>4.28</v>
      </c>
      <c r="L57" s="72" t="n">
        <v>444.762</v>
      </c>
      <c r="M57" s="72" t="n">
        <v>27125</v>
      </c>
      <c r="N57" s="73" t="n">
        <v>1.3</v>
      </c>
      <c r="O57" s="73" t="n">
        <v>1040.180053710938</v>
      </c>
      <c r="P57" s="47" t="n">
        <v>5</v>
      </c>
      <c r="Q57" s="62" t="inlineStr">
        <is>
          <t>COST|5</t>
        </is>
      </c>
    </row>
    <row r="58">
      <c r="A58" s="69" t="inlineStr">
        <is>
          <t>COST</t>
        </is>
      </c>
      <c r="B58" s="69" t="inlineStr">
        <is>
          <t>FY2025Q2</t>
        </is>
      </c>
      <c r="C58" s="70" t="n">
        <v>2025</v>
      </c>
      <c r="D58" s="70" t="n">
        <v>2</v>
      </c>
      <c r="E58" s="71" t="n">
        <v>45716</v>
      </c>
      <c r="F58" s="69" t="inlineStr">
        <is>
          <t>N</t>
        </is>
      </c>
      <c r="G58" s="69" t="inlineStr">
        <is>
          <t>actual</t>
        </is>
      </c>
      <c r="H58" s="69" t="inlineStr">
        <is>
          <t>street</t>
        </is>
      </c>
      <c r="I58" s="72" t="n">
        <v>63723</v>
      </c>
      <c r="J58" s="72" t="n">
        <v>7979</v>
      </c>
      <c r="K58" s="73" t="n">
        <v>4.02</v>
      </c>
      <c r="L58" s="72" t="n">
        <v>444.9135</v>
      </c>
      <c r="M58" s="72" t="n">
        <v>25577</v>
      </c>
      <c r="N58" s="73" t="n">
        <v>1.16</v>
      </c>
      <c r="O58" s="73" t="n">
        <v>1048.609985351562</v>
      </c>
      <c r="P58" s="47" t="n">
        <v>6</v>
      </c>
      <c r="Q58" s="62" t="inlineStr">
        <is>
          <t>COST|6</t>
        </is>
      </c>
    </row>
    <row r="59">
      <c r="A59" s="69" t="inlineStr">
        <is>
          <t>COST</t>
        </is>
      </c>
      <c r="B59" s="69" t="inlineStr">
        <is>
          <t>FY2025Q1</t>
        </is>
      </c>
      <c r="C59" s="70" t="n">
        <v>2025</v>
      </c>
      <c r="D59" s="70" t="n">
        <v>1</v>
      </c>
      <c r="E59" s="71" t="n">
        <v>45626</v>
      </c>
      <c r="F59" s="69" t="inlineStr">
        <is>
          <t>N</t>
        </is>
      </c>
      <c r="G59" s="69" t="inlineStr">
        <is>
          <t>actual</t>
        </is>
      </c>
      <c r="H59" s="69" t="inlineStr">
        <is>
          <t>street</t>
        </is>
      </c>
      <c r="I59" s="72" t="n">
        <v>62151</v>
      </c>
      <c r="J59" s="72" t="n">
        <v>8042</v>
      </c>
      <c r="K59" s="73" t="n">
        <v>4.04</v>
      </c>
      <c r="L59" s="72" t="n">
        <v>444.881</v>
      </c>
      <c r="M59" s="72" t="n">
        <v>24451</v>
      </c>
      <c r="N59" s="73" t="n">
        <v>1.16</v>
      </c>
      <c r="O59" s="73" t="n">
        <v>971.8800048828124</v>
      </c>
      <c r="P59" s="47" t="n">
        <v>7</v>
      </c>
      <c r="Q59" s="62" t="inlineStr">
        <is>
          <t>COST|7</t>
        </is>
      </c>
    </row>
    <row r="60">
      <c r="A60" s="69" t="inlineStr">
        <is>
          <t>COST</t>
        </is>
      </c>
      <c r="B60" s="69" t="inlineStr">
        <is>
          <t>FY2024Q4</t>
        </is>
      </c>
      <c r="C60" s="70" t="n">
        <v>2024</v>
      </c>
      <c r="D60" s="70" t="n">
        <v>4</v>
      </c>
      <c r="E60" s="71" t="n">
        <v>45535</v>
      </c>
      <c r="F60" s="69" t="inlineStr">
        <is>
          <t>N</t>
        </is>
      </c>
      <c r="G60" s="69" t="inlineStr">
        <is>
          <t>actual</t>
        </is>
      </c>
      <c r="H60" s="69" t="inlineStr">
        <is>
          <t>street</t>
        </is>
      </c>
      <c r="I60" s="72" t="n">
        <v>79697</v>
      </c>
      <c r="J60" s="72" t="n">
        <v>10109</v>
      </c>
      <c r="K60" s="73" t="n">
        <v>5.15</v>
      </c>
      <c r="L60" s="72" t="n">
        <v>444.759</v>
      </c>
      <c r="M60" s="72" t="n">
        <v>23622</v>
      </c>
      <c r="N60" s="73" t="n">
        <v>1.16</v>
      </c>
      <c r="O60" s="73" t="n">
        <v>892.3800048828125</v>
      </c>
      <c r="P60" s="47" t="n">
        <v>8</v>
      </c>
      <c r="Q60" s="62" t="inlineStr">
        <is>
          <t>COST|8</t>
        </is>
      </c>
    </row>
    <row r="61">
      <c r="A61" s="69" t="inlineStr">
        <is>
          <t>COST</t>
        </is>
      </c>
      <c r="B61" s="69" t="inlineStr">
        <is>
          <t>FY2024Q3</t>
        </is>
      </c>
      <c r="C61" s="70" t="n">
        <v>2024</v>
      </c>
      <c r="D61" s="70" t="n">
        <v>3</v>
      </c>
      <c r="E61" s="71" t="n">
        <v>45443</v>
      </c>
      <c r="F61" s="69" t="inlineStr">
        <is>
          <t>N</t>
        </is>
      </c>
      <c r="G61" s="69" t="inlineStr">
        <is>
          <t>actual</t>
        </is>
      </c>
      <c r="H61" s="69" t="inlineStr">
        <is>
          <t>street</t>
        </is>
      </c>
      <c r="I61" s="72" t="n">
        <v>58515</v>
      </c>
      <c r="J61" s="72" t="n">
        <v>7342</v>
      </c>
      <c r="K61" s="73" t="n">
        <v>3.78</v>
      </c>
      <c r="L61" s="72" t="n">
        <v>444.60725</v>
      </c>
      <c r="M61" s="72" t="n">
        <v>21771</v>
      </c>
      <c r="N61" s="73" t="n">
        <v>1.16</v>
      </c>
      <c r="O61" s="73" t="n">
        <v>809.8900146484375</v>
      </c>
      <c r="P61" s="47" t="n">
        <v>9</v>
      </c>
      <c r="Q61" s="62" t="inlineStr">
        <is>
          <t>COST|9</t>
        </is>
      </c>
    </row>
    <row r="62">
      <c r="A62" s="69" t="inlineStr">
        <is>
          <t>COST</t>
        </is>
      </c>
      <c r="B62" s="69" t="inlineStr">
        <is>
          <t>FY2024Q2</t>
        </is>
      </c>
      <c r="C62" s="70" t="n">
        <v>2024</v>
      </c>
      <c r="D62" s="70" t="n">
        <v>2</v>
      </c>
      <c r="E62" s="71" t="n">
        <v>45351</v>
      </c>
      <c r="F62" s="69" t="inlineStr">
        <is>
          <t>N</t>
        </is>
      </c>
      <c r="G62" s="69" t="inlineStr">
        <is>
          <t>actual</t>
        </is>
      </c>
      <c r="H62" s="69" t="inlineStr">
        <is>
          <t>street</t>
        </is>
      </c>
      <c r="I62" s="72" t="n">
        <v>58442</v>
      </c>
      <c r="J62" s="72" t="n">
        <v>7302</v>
      </c>
      <c r="K62" s="73" t="n">
        <v>3.71</v>
      </c>
      <c r="L62" s="72" t="n">
        <v>444.49</v>
      </c>
      <c r="M62" s="72" t="n">
        <v>20760</v>
      </c>
      <c r="N62" s="73" t="n">
        <v>16.02</v>
      </c>
      <c r="O62" s="73" t="n">
        <v>743.8900146484375</v>
      </c>
      <c r="P62" s="47" t="n">
        <v>10</v>
      </c>
      <c r="Q62" s="62" t="inlineStr">
        <is>
          <t>COST|10</t>
        </is>
      </c>
    </row>
    <row r="63">
      <c r="A63" s="69" t="inlineStr">
        <is>
          <t>COST</t>
        </is>
      </c>
      <c r="B63" s="69" t="inlineStr">
        <is>
          <t>FY2024Q1</t>
        </is>
      </c>
      <c r="C63" s="70" t="n">
        <v>2024</v>
      </c>
      <c r="D63" s="70" t="n">
        <v>1</v>
      </c>
      <c r="E63" s="71" t="n">
        <v>45260</v>
      </c>
      <c r="F63" s="69" t="inlineStr">
        <is>
          <t>N</t>
        </is>
      </c>
      <c r="G63" s="69" t="inlineStr">
        <is>
          <t>actual</t>
        </is>
      </c>
      <c r="H63" s="69" t="inlineStr">
        <is>
          <t>street</t>
        </is>
      </c>
      <c r="I63" s="72" t="n">
        <v>57799</v>
      </c>
      <c r="J63" s="72" t="n">
        <v>7342</v>
      </c>
      <c r="K63" s="73" t="n">
        <v>3.58</v>
      </c>
      <c r="L63" s="72" t="n">
        <v>444.42</v>
      </c>
      <c r="M63" s="72" t="n">
        <v>26147</v>
      </c>
      <c r="N63" s="73" t="n">
        <v>1.02</v>
      </c>
      <c r="O63" s="73" t="n">
        <v>592.739990234375</v>
      </c>
      <c r="P63" s="47" t="n">
        <v>11</v>
      </c>
      <c r="Q63" s="62" t="inlineStr">
        <is>
          <t>COST|11</t>
        </is>
      </c>
    </row>
    <row r="64">
      <c r="A64" s="69" t="inlineStr">
        <is>
          <t>COST</t>
        </is>
      </c>
      <c r="B64" s="69" t="inlineStr">
        <is>
          <t>FY2023Q4</t>
        </is>
      </c>
      <c r="C64" s="70" t="n">
        <v>2023</v>
      </c>
      <c r="D64" s="70" t="n">
        <v>4</v>
      </c>
      <c r="E64" s="71" t="n">
        <v>45169</v>
      </c>
      <c r="F64" s="69" t="inlineStr">
        <is>
          <t>N</t>
        </is>
      </c>
      <c r="G64" s="69" t="inlineStr">
        <is>
          <t>actual</t>
        </is>
      </c>
      <c r="H64" s="69" t="inlineStr">
        <is>
          <t>street</t>
        </is>
      </c>
      <c r="I64" s="72" t="n">
        <v>78939</v>
      </c>
      <c r="J64" s="72" t="n">
        <v>9720</v>
      </c>
      <c r="K64" s="73" t="n">
        <v>4.86</v>
      </c>
      <c r="L64" s="72" t="n">
        <v/>
      </c>
      <c r="M64" s="72" t="n">
        <v>25058</v>
      </c>
      <c r="N64" s="73" t="n">
        <v>1.02</v>
      </c>
      <c r="O64" s="73" t="n">
        <v>549.280029296875</v>
      </c>
      <c r="P64" s="47" t="n">
        <v>12</v>
      </c>
      <c r="Q64" s="62" t="inlineStr">
        <is>
          <t>COST|12</t>
        </is>
      </c>
    </row>
    <row r="65">
      <c r="A65" s="69" t="inlineStr">
        <is>
          <t>COST</t>
        </is>
      </c>
      <c r="B65" s="69" t="inlineStr">
        <is>
          <t>FY2023Q3</t>
        </is>
      </c>
      <c r="C65" s="70" t="n">
        <v>2023</v>
      </c>
      <c r="D65" s="70" t="n">
        <v>3</v>
      </c>
      <c r="E65" s="71" t="n">
        <v>45077</v>
      </c>
      <c r="F65" s="69" t="inlineStr">
        <is>
          <t>N</t>
        </is>
      </c>
      <c r="G65" s="69" t="inlineStr">
        <is>
          <t>actual</t>
        </is>
      </c>
      <c r="H65" s="69" t="inlineStr">
        <is>
          <t>street</t>
        </is>
      </c>
      <c r="I65" s="72" t="n">
        <v>53648</v>
      </c>
      <c r="J65" s="72" t="n">
        <v>6473</v>
      </c>
      <c r="K65" s="73" t="n">
        <v>2.93</v>
      </c>
      <c r="L65" s="72" t="n">
        <v>444.36</v>
      </c>
      <c r="M65" s="72" t="n">
        <v>23568</v>
      </c>
      <c r="N65" s="73" t="n">
        <v>1.02</v>
      </c>
      <c r="O65" s="73" t="n">
        <v>511.5599975585938</v>
      </c>
      <c r="P65" s="47" t="n">
        <v>13</v>
      </c>
      <c r="Q65" s="62" t="inlineStr">
        <is>
          <t>COST|13</t>
        </is>
      </c>
    </row>
    <row r="66">
      <c r="A66" s="69" t="inlineStr">
        <is>
          <t>COST</t>
        </is>
      </c>
      <c r="B66" s="69" t="inlineStr">
        <is>
          <t>FY2023Q2</t>
        </is>
      </c>
      <c r="C66" s="70" t="n">
        <v>2023</v>
      </c>
      <c r="D66" s="70" t="n">
        <v>2</v>
      </c>
      <c r="E66" s="71" t="n">
        <v>44985</v>
      </c>
      <c r="F66" s="69" t="inlineStr">
        <is>
          <t>N</t>
        </is>
      </c>
      <c r="G66" s="69" t="inlineStr">
        <is>
          <t>actual</t>
        </is>
      </c>
      <c r="H66" s="69" t="inlineStr">
        <is>
          <t>street</t>
        </is>
      </c>
      <c r="I66" s="72" t="n">
        <v>55266</v>
      </c>
      <c r="J66" s="72" t="n">
        <v>6843</v>
      </c>
      <c r="K66" s="73" t="n">
        <v>3.3</v>
      </c>
      <c r="L66" s="72" t="n">
        <v>444.475</v>
      </c>
      <c r="M66" s="72" t="n">
        <v>22794</v>
      </c>
      <c r="N66" s="73" t="n">
        <v>0.9</v>
      </c>
      <c r="O66" s="73" t="n">
        <v>484.1799926757813</v>
      </c>
      <c r="P66" s="47" t="n">
        <v>14</v>
      </c>
      <c r="Q66" s="62" t="inlineStr">
        <is>
          <t>COST|14</t>
        </is>
      </c>
    </row>
    <row r="67">
      <c r="A67" s="69" t="inlineStr">
        <is>
          <t>COST</t>
        </is>
      </c>
      <c r="B67" s="69" t="inlineStr">
        <is>
          <t>FY2023Q1</t>
        </is>
      </c>
      <c r="C67" s="70" t="n">
        <v>2023</v>
      </c>
      <c r="D67" s="70" t="n">
        <v>1</v>
      </c>
      <c r="E67" s="71" t="n">
        <v>44895</v>
      </c>
      <c r="F67" s="69" t="inlineStr">
        <is>
          <t>N</t>
        </is>
      </c>
      <c r="G67" s="69" t="inlineStr">
        <is>
          <t>actual</t>
        </is>
      </c>
      <c r="H67" s="69" t="inlineStr">
        <is>
          <t>street</t>
        </is>
      </c>
      <c r="I67" s="72" t="n">
        <v>54437</v>
      </c>
      <c r="J67" s="72" t="n">
        <v>6668</v>
      </c>
      <c r="K67" s="73" t="n">
        <v>3.1</v>
      </c>
      <c r="L67" s="72" t="n">
        <v>444.531</v>
      </c>
      <c r="M67" s="72" t="n">
        <v>21471</v>
      </c>
      <c r="N67" s="73" t="n">
        <v>0.9</v>
      </c>
      <c r="O67" s="73" t="n">
        <v>539.25</v>
      </c>
      <c r="P67" s="47" t="n">
        <v>15</v>
      </c>
      <c r="Q67" s="62" t="inlineStr">
        <is>
          <t>COST|15</t>
        </is>
      </c>
    </row>
    <row r="68">
      <c r="A68" s="69" t="inlineStr">
        <is>
          <t>COST</t>
        </is>
      </c>
      <c r="B68" s="69" t="inlineStr">
        <is>
          <t>FY2022Q4</t>
        </is>
      </c>
      <c r="C68" s="70" t="n">
        <v>2022</v>
      </c>
      <c r="D68" s="70" t="n">
        <v>4</v>
      </c>
      <c r="E68" s="71" t="n">
        <v>44804</v>
      </c>
      <c r="F68" s="69" t="inlineStr">
        <is>
          <t>N</t>
        </is>
      </c>
      <c r="G68" s="69" t="inlineStr">
        <is>
          <t>actual</t>
        </is>
      </c>
      <c r="H68" s="69" t="inlineStr">
        <is>
          <t>street</t>
        </is>
      </c>
      <c r="I68" s="72" t="n">
        <v>72091</v>
      </c>
      <c r="J68" s="72" t="n">
        <v>8533</v>
      </c>
      <c r="K68" s="73" t="n">
        <v>4.2</v>
      </c>
      <c r="L68" s="72" t="n">
        <v/>
      </c>
      <c r="M68" s="72" t="n">
        <v>20642</v>
      </c>
      <c r="N68" s="73" t="n">
        <v>0.9</v>
      </c>
      <c r="O68" s="73" t="n">
        <v>522.0999755859375</v>
      </c>
      <c r="P68" s="47" t="n">
        <v>16</v>
      </c>
      <c r="Q68" s="62" t="inlineStr">
        <is>
          <t>COST|16</t>
        </is>
      </c>
    </row>
    <row r="69">
      <c r="A69" s="69" t="inlineStr">
        <is>
          <t>COST</t>
        </is>
      </c>
      <c r="B69" s="69" t="inlineStr">
        <is>
          <t>FY2022Q3</t>
        </is>
      </c>
      <c r="C69" s="70" t="n">
        <v>2022</v>
      </c>
      <c r="D69" s="70" t="n">
        <v>3</v>
      </c>
      <c r="E69" s="71" t="n">
        <v>44712</v>
      </c>
      <c r="F69" s="69" t="inlineStr">
        <is>
          <t>N</t>
        </is>
      </c>
      <c r="G69" s="69" t="inlineStr">
        <is>
          <t>actual</t>
        </is>
      </c>
      <c r="H69" s="69" t="inlineStr">
        <is>
          <t>street</t>
        </is>
      </c>
      <c r="I69" s="72" t="n">
        <v>52596</v>
      </c>
      <c r="J69" s="72" t="n">
        <v>6241</v>
      </c>
      <c r="K69" s="73" t="n">
        <v>3.17</v>
      </c>
      <c r="L69" s="72" t="n">
        <v>444.886</v>
      </c>
      <c r="M69" s="72" t="n">
        <v>19968</v>
      </c>
      <c r="N69" s="73" t="n">
        <v>0.9</v>
      </c>
      <c r="O69" s="73" t="n">
        <v>466.2200012207031</v>
      </c>
      <c r="P69" s="47" t="n">
        <v>17</v>
      </c>
      <c r="Q69" s="62" t="inlineStr">
        <is>
          <t>COST|17</t>
        </is>
      </c>
    </row>
    <row r="70">
      <c r="A70" s="69" t="inlineStr">
        <is>
          <t>COST</t>
        </is>
      </c>
      <c r="B70" s="69" t="inlineStr">
        <is>
          <t>FY2022Q2</t>
        </is>
      </c>
      <c r="C70" s="70" t="n">
        <v>2022</v>
      </c>
      <c r="D70" s="70" t="n">
        <v>2</v>
      </c>
      <c r="E70" s="71" t="n">
        <v>44620</v>
      </c>
      <c r="F70" s="69" t="inlineStr">
        <is>
          <t>N</t>
        </is>
      </c>
      <c r="G70" s="69" t="inlineStr">
        <is>
          <t>actual</t>
        </is>
      </c>
      <c r="H70" s="69" t="inlineStr">
        <is>
          <t>street</t>
        </is>
      </c>
      <c r="I70" s="72" t="n">
        <v>51904</v>
      </c>
      <c r="J70" s="72" t="n">
        <v>6387</v>
      </c>
      <c r="K70" s="73" t="n">
        <v>2.92</v>
      </c>
      <c r="L70" s="72" t="n">
        <v>444.916</v>
      </c>
      <c r="M70" s="72" t="n">
        <v>19418</v>
      </c>
      <c r="N70" s="73" t="n">
        <v>0.79</v>
      </c>
      <c r="O70" s="73" t="n">
        <v>519.25</v>
      </c>
      <c r="P70" s="47" t="n">
        <v>18</v>
      </c>
      <c r="Q70" s="62" t="inlineStr">
        <is>
          <t>COST|18</t>
        </is>
      </c>
    </row>
    <row r="71">
      <c r="A71" s="69" t="inlineStr">
        <is>
          <t>COST</t>
        </is>
      </c>
      <c r="B71" s="69" t="inlineStr">
        <is>
          <t>FY2022Q1</t>
        </is>
      </c>
      <c r="C71" s="70" t="n">
        <v>2022</v>
      </c>
      <c r="D71" s="70" t="n">
        <v>1</v>
      </c>
      <c r="E71" s="71" t="n">
        <v>44530</v>
      </c>
      <c r="F71" s="69" t="inlineStr">
        <is>
          <t>N</t>
        </is>
      </c>
      <c r="G71" s="69" t="inlineStr">
        <is>
          <t>actual</t>
        </is>
      </c>
      <c r="H71" s="69" t="inlineStr">
        <is>
          <t>street</t>
        </is>
      </c>
      <c r="I71" s="72" t="n">
        <v>50363</v>
      </c>
      <c r="J71" s="72" t="n">
        <v>6411</v>
      </c>
      <c r="K71" s="73" t="n">
        <v>2.98</v>
      </c>
      <c r="L71" s="72" t="n">
        <v>444.604</v>
      </c>
      <c r="M71" s="72" t="n">
        <v>18463</v>
      </c>
      <c r="N71" s="73" t="n">
        <v>0.79</v>
      </c>
      <c r="O71" s="73" t="n">
        <v>539.3800048828125</v>
      </c>
      <c r="P71" s="47" t="n">
        <v>19</v>
      </c>
      <c r="Q71" s="62" t="inlineStr">
        <is>
          <t>COST|19</t>
        </is>
      </c>
    </row>
    <row r="72">
      <c r="A72" s="69" t="inlineStr">
        <is>
          <t>COST</t>
        </is>
      </c>
      <c r="B72" s="69" t="inlineStr">
        <is>
          <t>FY2021Q4</t>
        </is>
      </c>
      <c r="C72" s="70" t="n">
        <v>2021</v>
      </c>
      <c r="D72" s="70" t="n">
        <v>4</v>
      </c>
      <c r="E72" s="71" t="n">
        <v>44439</v>
      </c>
      <c r="F72" s="69" t="inlineStr">
        <is>
          <t>N</t>
        </is>
      </c>
      <c r="G72" s="69" t="inlineStr">
        <is>
          <t>actual</t>
        </is>
      </c>
      <c r="H72" s="69" t="inlineStr">
        <is>
          <t>street</t>
        </is>
      </c>
      <c r="I72" s="72" t="n">
        <v>62675</v>
      </c>
      <c r="J72" s="72" t="n">
        <v>7942</v>
      </c>
      <c r="K72" s="73" t="n">
        <v>3.76</v>
      </c>
      <c r="L72" s="72" t="n">
        <v/>
      </c>
      <c r="M72" s="72" t="n">
        <v>17564</v>
      </c>
      <c r="N72" s="73" t="n">
        <v>0.79</v>
      </c>
      <c r="O72" s="73" t="n">
        <v>455.489990234375</v>
      </c>
      <c r="P72" s="47" t="n">
        <v>20</v>
      </c>
      <c r="Q72" s="62" t="inlineStr">
        <is>
          <t>COST|20</t>
        </is>
      </c>
    </row>
    <row r="73">
      <c r="A73" s="69" t="inlineStr">
        <is>
          <t>COST</t>
        </is>
      </c>
      <c r="B73" s="69" t="inlineStr">
        <is>
          <t>FY2021Q3</t>
        </is>
      </c>
      <c r="C73" s="70" t="n">
        <v>2021</v>
      </c>
      <c r="D73" s="70" t="n">
        <v>3</v>
      </c>
      <c r="E73" s="71" t="n">
        <v>44347</v>
      </c>
      <c r="F73" s="69" t="inlineStr">
        <is>
          <t>N</t>
        </is>
      </c>
      <c r="G73" s="69" t="inlineStr">
        <is>
          <t>actual</t>
        </is>
      </c>
      <c r="H73" s="69" t="inlineStr">
        <is>
          <t>street</t>
        </is>
      </c>
      <c r="I73" s="72" t="n">
        <v>45277</v>
      </c>
      <c r="J73" s="72" t="n">
        <v>5862</v>
      </c>
      <c r="K73" s="73" t="n">
        <v>2.75</v>
      </c>
      <c r="L73" s="72" t="n">
        <v>444.127</v>
      </c>
      <c r="M73" s="72" t="n">
        <v>16482</v>
      </c>
      <c r="N73" s="73" t="n">
        <v>0.79</v>
      </c>
      <c r="O73" s="73" t="n">
        <v>378.2699890136719</v>
      </c>
      <c r="P73" s="47" t="n">
        <v>21</v>
      </c>
      <c r="Q73" s="62" t="inlineStr">
        <is>
          <t>COST|21</t>
        </is>
      </c>
    </row>
    <row r="74">
      <c r="A74" s="69" t="inlineStr">
        <is>
          <t>COST</t>
        </is>
      </c>
      <c r="B74" s="69" t="inlineStr">
        <is>
          <t>FY2021Q2</t>
        </is>
      </c>
      <c r="C74" s="70" t="n">
        <v>2021</v>
      </c>
      <c r="D74" s="70" t="n">
        <v>2</v>
      </c>
      <c r="E74" s="71" t="n">
        <v>44255</v>
      </c>
      <c r="F74" s="69" t="inlineStr">
        <is>
          <t>N</t>
        </is>
      </c>
      <c r="G74" s="69" t="inlineStr">
        <is>
          <t>actual</t>
        </is>
      </c>
      <c r="H74" s="69" t="inlineStr">
        <is>
          <t>street</t>
        </is>
      </c>
      <c r="I74" s="72" t="n">
        <v>44769</v>
      </c>
      <c r="J74" s="72" t="n">
        <v>5691</v>
      </c>
      <c r="K74" s="73" t="n">
        <v>2.14</v>
      </c>
      <c r="L74" s="72" t="n">
        <v>444.494</v>
      </c>
      <c r="M74" s="72" t="n">
        <v>15652</v>
      </c>
      <c r="N74" s="73" t="n">
        <v>10.7</v>
      </c>
      <c r="O74" s="73" t="n">
        <v>331</v>
      </c>
      <c r="P74" s="47" t="n">
        <v>22</v>
      </c>
      <c r="Q74" s="62" t="inlineStr">
        <is>
          <t>COST|22</t>
        </is>
      </c>
    </row>
    <row r="75">
      <c r="A75" s="69" t="inlineStr">
        <is>
          <t>COST</t>
        </is>
      </c>
      <c r="B75" s="69" t="inlineStr">
        <is>
          <t>FY2021Q1</t>
        </is>
      </c>
      <c r="C75" s="70" t="n">
        <v>2021</v>
      </c>
      <c r="D75" s="70" t="n">
        <v>1</v>
      </c>
      <c r="E75" s="71" t="n">
        <v>44165</v>
      </c>
      <c r="F75" s="69" t="inlineStr">
        <is>
          <t>N</t>
        </is>
      </c>
      <c r="G75" s="69" t="inlineStr">
        <is>
          <t>actual</t>
        </is>
      </c>
      <c r="H75" s="69" t="inlineStr">
        <is>
          <t>street</t>
        </is>
      </c>
      <c r="I75" s="72" t="n">
        <v>43208</v>
      </c>
      <c r="J75" s="72" t="n">
        <v>5750</v>
      </c>
      <c r="K75" s="73" t="n">
        <v>2.29</v>
      </c>
      <c r="L75" s="72" t="n">
        <v>444.386</v>
      </c>
      <c r="M75" s="72" t="n">
        <v>14860</v>
      </c>
      <c r="N75" s="73" t="n">
        <v>0.7</v>
      </c>
      <c r="O75" s="73" t="n">
        <v>391.7699890136719</v>
      </c>
      <c r="P75" s="47" t="n">
        <v>23</v>
      </c>
      <c r="Q75" s="62" t="inlineStr">
        <is>
          <t>COST|23</t>
        </is>
      </c>
    </row>
    <row r="76">
      <c r="A76" s="69" t="inlineStr">
        <is>
          <t>COST</t>
        </is>
      </c>
      <c r="B76" s="69" t="inlineStr">
        <is>
          <t>FY2020Q4</t>
        </is>
      </c>
      <c r="C76" s="70" t="n">
        <v>2020</v>
      </c>
      <c r="D76" s="70" t="n">
        <v>4</v>
      </c>
      <c r="E76" s="71" t="n">
        <v>44074</v>
      </c>
      <c r="F76" s="69" t="inlineStr">
        <is>
          <t>N</t>
        </is>
      </c>
      <c r="G76" s="69" t="inlineStr">
        <is>
          <t>actual</t>
        </is>
      </c>
      <c r="H76" s="69" t="inlineStr">
        <is>
          <t>street</t>
        </is>
      </c>
      <c r="I76" s="72" t="n">
        <v>53383</v>
      </c>
      <c r="J76" s="72" t="n">
        <v>6982</v>
      </c>
      <c r="K76" s="73" t="n">
        <v>3.13</v>
      </c>
      <c r="L76" s="72" t="n">
        <v/>
      </c>
      <c r="M76" s="72" t="n">
        <v>18284</v>
      </c>
      <c r="N76" s="73" t="n">
        <v/>
      </c>
      <c r="O76" s="73" t="n">
        <v>347.6600036621094</v>
      </c>
      <c r="P76" s="47" t="n">
        <v>24</v>
      </c>
      <c r="Q76" s="62" t="inlineStr">
        <is>
          <t>COST|24</t>
        </is>
      </c>
    </row>
    <row r="77">
      <c r="A77" s="69" t="inlineStr">
        <is>
          <t>MSFT</t>
        </is>
      </c>
      <c r="B77" s="69" t="inlineStr">
        <is>
          <t>FY2027Q1E</t>
        </is>
      </c>
      <c r="C77" s="70" t="n">
        <v>2027</v>
      </c>
      <c r="D77" s="70" t="n">
        <v>1</v>
      </c>
      <c r="E77" s="71" t="n">
        <v>46294</v>
      </c>
      <c r="F77" s="69" t="inlineStr">
        <is>
          <t>Y</t>
        </is>
      </c>
      <c r="G77" s="69" t="inlineStr">
        <is>
          <t>consensus</t>
        </is>
      </c>
      <c r="H77" s="69" t="inlineStr">
        <is>
          <t>street</t>
        </is>
      </c>
      <c r="I77" s="72" t="n">
        <v/>
      </c>
      <c r="J77" s="72" t="n">
        <v/>
      </c>
      <c r="K77" s="73" t="n">
        <v>4.72092</v>
      </c>
      <c r="L77" s="72" t="n">
        <v/>
      </c>
      <c r="M77" s="72" t="n">
        <v/>
      </c>
      <c r="N77" s="73" t="n">
        <v/>
      </c>
      <c r="O77" s="73" t="n">
        <v/>
      </c>
      <c r="P77" s="47" t="n">
        <v>0</v>
      </c>
      <c r="Q77" s="62" t="inlineStr">
        <is>
          <t>MSFT|0</t>
        </is>
      </c>
    </row>
    <row r="78">
      <c r="A78" s="69" t="inlineStr">
        <is>
          <t>MSFT</t>
        </is>
      </c>
      <c r="B78" s="69" t="inlineStr">
        <is>
          <t>FY2026Q4</t>
        </is>
      </c>
      <c r="C78" s="70" t="n">
        <v>2026</v>
      </c>
      <c r="D78" s="70" t="n">
        <v>4</v>
      </c>
      <c r="E78" s="71" t="n">
        <v>46203</v>
      </c>
      <c r="F78" s="69" t="inlineStr">
        <is>
          <t>N</t>
        </is>
      </c>
      <c r="G78" s="69" t="inlineStr">
        <is>
          <t>actual</t>
        </is>
      </c>
      <c r="H78" s="69" t="inlineStr">
        <is>
          <t>street</t>
        </is>
      </c>
      <c r="I78" s="72" t="n">
        <v>90007</v>
      </c>
      <c r="J78" s="72" t="n">
        <v>60482</v>
      </c>
      <c r="K78" s="73" t="n">
        <v>4.74</v>
      </c>
      <c r="L78" s="72" t="n">
        <v>7443</v>
      </c>
      <c r="M78" s="72" t="n">
        <v>442387</v>
      </c>
      <c r="N78" s="73" t="n">
        <v>0.91</v>
      </c>
      <c r="O78" s="73" t="n">
        <v>373.0199890136719</v>
      </c>
      <c r="P78" s="47" t="n">
        <v>1</v>
      </c>
      <c r="Q78" s="62" t="inlineStr">
        <is>
          <t>MSFT|1</t>
        </is>
      </c>
    </row>
    <row r="79">
      <c r="A79" s="69" t="inlineStr">
        <is>
          <t>MSFT</t>
        </is>
      </c>
      <c r="B79" s="69" t="inlineStr">
        <is>
          <t>FY2026Q3</t>
        </is>
      </c>
      <c r="C79" s="70" t="n">
        <v>2026</v>
      </c>
      <c r="D79" s="70" t="n">
        <v>3</v>
      </c>
      <c r="E79" s="71" t="n">
        <v>46112</v>
      </c>
      <c r="F79" s="69" t="inlineStr">
        <is>
          <t>N</t>
        </is>
      </c>
      <c r="G79" s="69" t="inlineStr">
        <is>
          <t>actual</t>
        </is>
      </c>
      <c r="H79" s="69" t="inlineStr">
        <is>
          <t>street</t>
        </is>
      </c>
      <c r="I79" s="72" t="n">
        <v>82886</v>
      </c>
      <c r="J79" s="72" t="n">
        <v>56058</v>
      </c>
      <c r="K79" s="73" t="n">
        <v>4.27</v>
      </c>
      <c r="L79" s="72" t="n">
        <v>7445</v>
      </c>
      <c r="M79" s="72" t="n">
        <v>414367</v>
      </c>
      <c r="N79" s="73" t="n">
        <v>0.91</v>
      </c>
      <c r="O79" s="73" t="n">
        <v>370.1700134277344</v>
      </c>
      <c r="P79" s="47" t="n">
        <v>2</v>
      </c>
      <c r="Q79" s="62" t="inlineStr">
        <is>
          <t>MSFT|2</t>
        </is>
      </c>
    </row>
    <row r="80">
      <c r="A80" s="69" t="inlineStr">
        <is>
          <t>MSFT</t>
        </is>
      </c>
      <c r="B80" s="69" t="inlineStr">
        <is>
          <t>FY2026Q2</t>
        </is>
      </c>
      <c r="C80" s="70" t="n">
        <v>2026</v>
      </c>
      <c r="D80" s="70" t="n">
        <v>2</v>
      </c>
      <c r="E80" s="71" t="n">
        <v>46022</v>
      </c>
      <c r="F80" s="69" t="inlineStr">
        <is>
          <t>N</t>
        </is>
      </c>
      <c r="G80" s="69" t="inlineStr">
        <is>
          <t>actual</t>
        </is>
      </c>
      <c r="H80" s="69" t="inlineStr">
        <is>
          <t>street</t>
        </is>
      </c>
      <c r="I80" s="72" t="n">
        <v>81273</v>
      </c>
      <c r="J80" s="72" t="n">
        <v>55295</v>
      </c>
      <c r="K80" s="73" t="n">
        <v>4.14</v>
      </c>
      <c r="L80" s="72" t="n">
        <v>7460</v>
      </c>
      <c r="M80" s="72" t="n">
        <v>390875</v>
      </c>
      <c r="N80" s="73" t="n">
        <v>0.91</v>
      </c>
      <c r="O80" s="73" t="n">
        <v>483.6199951171875</v>
      </c>
      <c r="P80" s="47" t="n">
        <v>3</v>
      </c>
      <c r="Q80" s="62" t="inlineStr">
        <is>
          <t>MSFT|3</t>
        </is>
      </c>
    </row>
    <row r="81">
      <c r="A81" s="69" t="inlineStr">
        <is>
          <t>MSFT</t>
        </is>
      </c>
      <c r="B81" s="69" t="inlineStr">
        <is>
          <t>FY2026Q1</t>
        </is>
      </c>
      <c r="C81" s="70" t="n">
        <v>2026</v>
      </c>
      <c r="D81" s="70" t="n">
        <v>1</v>
      </c>
      <c r="E81" s="71" t="n">
        <v>45930</v>
      </c>
      <c r="F81" s="69" t="inlineStr">
        <is>
          <t>N</t>
        </is>
      </c>
      <c r="G81" s="69" t="inlineStr">
        <is>
          <t>actual</t>
        </is>
      </c>
      <c r="H81" s="69" t="inlineStr">
        <is>
          <t>street</t>
        </is>
      </c>
      <c r="I81" s="72" t="n">
        <v>77673</v>
      </c>
      <c r="J81" s="72" t="n">
        <v>53630</v>
      </c>
      <c r="K81" s="73" t="n">
        <v>4.13</v>
      </c>
      <c r="L81" s="72" t="n">
        <v>7466</v>
      </c>
      <c r="M81" s="72" t="n">
        <v>363076</v>
      </c>
      <c r="N81" s="73" t="n">
        <v>0.83</v>
      </c>
      <c r="O81" s="73" t="n">
        <v>517.9500122070312</v>
      </c>
      <c r="P81" s="47" t="n">
        <v>4</v>
      </c>
      <c r="Q81" s="62" t="inlineStr">
        <is>
          <t>MSFT|4</t>
        </is>
      </c>
    </row>
    <row r="82">
      <c r="A82" s="69" t="inlineStr">
        <is>
          <t>MSFT</t>
        </is>
      </c>
      <c r="B82" s="69" t="inlineStr">
        <is>
          <t>FY2025Q4</t>
        </is>
      </c>
      <c r="C82" s="70" t="n">
        <v>2025</v>
      </c>
      <c r="D82" s="70" t="n">
        <v>4</v>
      </c>
      <c r="E82" s="71" t="n">
        <v>45838</v>
      </c>
      <c r="F82" s="69" t="inlineStr">
        <is>
          <t>N</t>
        </is>
      </c>
      <c r="G82" s="69" t="inlineStr">
        <is>
          <t>actual</t>
        </is>
      </c>
      <c r="H82" s="69" t="inlineStr">
        <is>
          <t>street</t>
        </is>
      </c>
      <c r="I82" s="72" t="n">
        <v>76441</v>
      </c>
      <c r="J82" s="72" t="n">
        <v>52427</v>
      </c>
      <c r="K82" s="73" t="n">
        <v>3.65</v>
      </c>
      <c r="L82" s="72" t="n">
        <v>7461</v>
      </c>
      <c r="M82" s="72" t="n">
        <v>343479</v>
      </c>
      <c r="N82" s="73" t="n">
        <v>0.83</v>
      </c>
      <c r="O82" s="73" t="n">
        <v>497.4100036621094</v>
      </c>
      <c r="P82" s="47" t="n">
        <v>5</v>
      </c>
      <c r="Q82" s="62" t="inlineStr">
        <is>
          <t>MSFT|5</t>
        </is>
      </c>
    </row>
    <row r="83">
      <c r="A83" s="69" t="inlineStr">
        <is>
          <t>MSFT</t>
        </is>
      </c>
      <c r="B83" s="69" t="inlineStr">
        <is>
          <t>FY2025Q3</t>
        </is>
      </c>
      <c r="C83" s="70" t="n">
        <v>2025</v>
      </c>
      <c r="D83" s="70" t="n">
        <v>3</v>
      </c>
      <c r="E83" s="71" t="n">
        <v>45747</v>
      </c>
      <c r="F83" s="69" t="inlineStr">
        <is>
          <t>N</t>
        </is>
      </c>
      <c r="G83" s="69" t="inlineStr">
        <is>
          <t>actual</t>
        </is>
      </c>
      <c r="H83" s="69" t="inlineStr">
        <is>
          <t>street</t>
        </is>
      </c>
      <c r="I83" s="72" t="n">
        <v>70066</v>
      </c>
      <c r="J83" s="72" t="n">
        <v>48147</v>
      </c>
      <c r="K83" s="73" t="n">
        <v>3.46</v>
      </c>
      <c r="L83" s="72" t="n">
        <v>7468.25</v>
      </c>
      <c r="M83" s="72" t="n">
        <v>321891</v>
      </c>
      <c r="N83" s="73" t="n">
        <v>0.83</v>
      </c>
      <c r="O83" s="73" t="n">
        <v>375.3900146484375</v>
      </c>
      <c r="P83" s="47" t="n">
        <v>6</v>
      </c>
      <c r="Q83" s="62" t="inlineStr">
        <is>
          <t>MSFT|6</t>
        </is>
      </c>
    </row>
    <row r="84">
      <c r="A84" s="69" t="inlineStr">
        <is>
          <t>MSFT</t>
        </is>
      </c>
      <c r="B84" s="69" t="inlineStr">
        <is>
          <t>FY2025Q2</t>
        </is>
      </c>
      <c r="C84" s="70" t="n">
        <v>2025</v>
      </c>
      <c r="D84" s="70" t="n">
        <v>2</v>
      </c>
      <c r="E84" s="71" t="n">
        <v>45657</v>
      </c>
      <c r="F84" s="69" t="inlineStr">
        <is>
          <t>N</t>
        </is>
      </c>
      <c r="G84" s="69" t="inlineStr">
        <is>
          <t>actual</t>
        </is>
      </c>
      <c r="H84" s="69" t="inlineStr">
        <is>
          <t>street</t>
        </is>
      </c>
      <c r="I84" s="72" t="n">
        <v>69632</v>
      </c>
      <c r="J84" s="72" t="n">
        <v>47833</v>
      </c>
      <c r="K84" s="73" t="n">
        <v>3.23</v>
      </c>
      <c r="L84" s="72" t="n">
        <v>7471</v>
      </c>
      <c r="M84" s="72" t="n">
        <v>302695</v>
      </c>
      <c r="N84" s="73" t="n">
        <v>0.83</v>
      </c>
      <c r="O84" s="73" t="n">
        <v>421.5</v>
      </c>
      <c r="P84" s="47" t="n">
        <v>7</v>
      </c>
      <c r="Q84" s="62" t="inlineStr">
        <is>
          <t>MSFT|7</t>
        </is>
      </c>
    </row>
    <row r="85">
      <c r="A85" s="69" t="inlineStr">
        <is>
          <t>MSFT</t>
        </is>
      </c>
      <c r="B85" s="69" t="inlineStr">
        <is>
          <t>FY2025Q1</t>
        </is>
      </c>
      <c r="C85" s="70" t="n">
        <v>2025</v>
      </c>
      <c r="D85" s="70" t="n">
        <v>1</v>
      </c>
      <c r="E85" s="71" t="n">
        <v>45565</v>
      </c>
      <c r="F85" s="69" t="inlineStr">
        <is>
          <t>N</t>
        </is>
      </c>
      <c r="G85" s="69" t="inlineStr">
        <is>
          <t>actual</t>
        </is>
      </c>
      <c r="H85" s="69" t="inlineStr">
        <is>
          <t>street</t>
        </is>
      </c>
      <c r="I85" s="72" t="n">
        <v>65585</v>
      </c>
      <c r="J85" s="72" t="n">
        <v>45486</v>
      </c>
      <c r="K85" s="73" t="n">
        <v>3.3</v>
      </c>
      <c r="L85" s="72" t="n">
        <v>7471</v>
      </c>
      <c r="M85" s="72" t="n">
        <v>287723</v>
      </c>
      <c r="N85" s="73" t="n">
        <v>0.75</v>
      </c>
      <c r="O85" s="73" t="n">
        <v>430.2999877929688</v>
      </c>
      <c r="P85" s="47" t="n">
        <v>8</v>
      </c>
      <c r="Q85" s="62" t="inlineStr">
        <is>
          <t>MSFT|8</t>
        </is>
      </c>
    </row>
    <row r="86">
      <c r="A86" s="69" t="inlineStr">
        <is>
          <t>MSFT</t>
        </is>
      </c>
      <c r="B86" s="69" t="inlineStr">
        <is>
          <t>FY2024Q4</t>
        </is>
      </c>
      <c r="C86" s="70" t="n">
        <v>2024</v>
      </c>
      <c r="D86" s="70" t="n">
        <v>4</v>
      </c>
      <c r="E86" s="71" t="n">
        <v>45473</v>
      </c>
      <c r="F86" s="69" t="inlineStr">
        <is>
          <t>N</t>
        </is>
      </c>
      <c r="G86" s="69" t="inlineStr">
        <is>
          <t>actual</t>
        </is>
      </c>
      <c r="H86" s="69" t="inlineStr">
        <is>
          <t>street</t>
        </is>
      </c>
      <c r="I86" s="72" t="n">
        <v>64727</v>
      </c>
      <c r="J86" s="72" t="n">
        <v>45043</v>
      </c>
      <c r="K86" s="73" t="n">
        <v>2.95</v>
      </c>
      <c r="L86" s="72" t="n">
        <v/>
      </c>
      <c r="M86" s="72" t="n">
        <v>268477</v>
      </c>
      <c r="N86" s="73" t="n">
        <v>0.75</v>
      </c>
      <c r="O86" s="73" t="n">
        <v>446.9500122070313</v>
      </c>
      <c r="P86" s="47" t="n">
        <v>9</v>
      </c>
      <c r="Q86" s="62" t="inlineStr">
        <is>
          <t>MSFT|9</t>
        </is>
      </c>
    </row>
    <row r="87">
      <c r="A87" s="69" t="inlineStr">
        <is>
          <t>MSFT</t>
        </is>
      </c>
      <c r="B87" s="69" t="inlineStr">
        <is>
          <t>FY2024Q3</t>
        </is>
      </c>
      <c r="C87" s="70" t="n">
        <v>2024</v>
      </c>
      <c r="D87" s="70" t="n">
        <v>3</v>
      </c>
      <c r="E87" s="71" t="n">
        <v>45382</v>
      </c>
      <c r="F87" s="69" t="inlineStr">
        <is>
          <t>N</t>
        </is>
      </c>
      <c r="G87" s="69" t="inlineStr">
        <is>
          <t>actual</t>
        </is>
      </c>
      <c r="H87" s="69" t="inlineStr">
        <is>
          <t>street</t>
        </is>
      </c>
      <c r="I87" s="72" t="n">
        <v>61858</v>
      </c>
      <c r="J87" s="72" t="n">
        <v>43353</v>
      </c>
      <c r="K87" s="73" t="n">
        <v>2.94</v>
      </c>
      <c r="L87" s="72" t="n">
        <v>7466.75</v>
      </c>
      <c r="M87" s="72" t="n">
        <v>253152</v>
      </c>
      <c r="N87" s="73" t="n">
        <v>0.75</v>
      </c>
      <c r="O87" s="73" t="n">
        <v>420.7200012207031</v>
      </c>
      <c r="P87" s="47" t="n">
        <v>10</v>
      </c>
      <c r="Q87" s="62" t="inlineStr">
        <is>
          <t>MSFT|10</t>
        </is>
      </c>
    </row>
    <row r="88">
      <c r="A88" s="69" t="inlineStr">
        <is>
          <t>MSFT</t>
        </is>
      </c>
      <c r="B88" s="69" t="inlineStr">
        <is>
          <t>FY2024Q2</t>
        </is>
      </c>
      <c r="C88" s="70" t="n">
        <v>2024</v>
      </c>
      <c r="D88" s="70" t="n">
        <v>2</v>
      </c>
      <c r="E88" s="71" t="n">
        <v>45291</v>
      </c>
      <c r="F88" s="69" t="inlineStr">
        <is>
          <t>N</t>
        </is>
      </c>
      <c r="G88" s="69" t="inlineStr">
        <is>
          <t>actual</t>
        </is>
      </c>
      <c r="H88" s="69" t="inlineStr">
        <is>
          <t>street</t>
        </is>
      </c>
      <c r="I88" s="72" t="n">
        <v>62020</v>
      </c>
      <c r="J88" s="72" t="n">
        <v>42397</v>
      </c>
      <c r="K88" s="73" t="n">
        <v>2.93</v>
      </c>
      <c r="L88" s="72" t="n">
        <v>7465</v>
      </c>
      <c r="M88" s="72" t="n">
        <v>238268</v>
      </c>
      <c r="N88" s="73" t="n">
        <v>0.75</v>
      </c>
      <c r="O88" s="73" t="n">
        <v>376.0400085449219</v>
      </c>
      <c r="P88" s="47" t="n">
        <v>11</v>
      </c>
      <c r="Q88" s="62" t="inlineStr">
        <is>
          <t>MSFT|11</t>
        </is>
      </c>
    </row>
    <row r="89">
      <c r="A89" s="69" t="inlineStr">
        <is>
          <t>MSFT</t>
        </is>
      </c>
      <c r="B89" s="69" t="inlineStr">
        <is>
          <t>FY2024Q1</t>
        </is>
      </c>
      <c r="C89" s="70" t="n">
        <v>2024</v>
      </c>
      <c r="D89" s="70" t="n">
        <v>1</v>
      </c>
      <c r="E89" s="71" t="n">
        <v>45199</v>
      </c>
      <c r="F89" s="69" t="inlineStr">
        <is>
          <t>N</t>
        </is>
      </c>
      <c r="G89" s="69" t="inlineStr">
        <is>
          <t>actual</t>
        </is>
      </c>
      <c r="H89" s="69" t="inlineStr">
        <is>
          <t>street</t>
        </is>
      </c>
      <c r="I89" s="72" t="n">
        <v>56517</v>
      </c>
      <c r="J89" s="72" t="n">
        <v>40215</v>
      </c>
      <c r="K89" s="73" t="n">
        <v>2.99</v>
      </c>
      <c r="L89" s="72" t="n">
        <v>7466.25</v>
      </c>
      <c r="M89" s="72" t="n">
        <v>220714</v>
      </c>
      <c r="N89" s="73" t="n">
        <v>0.68</v>
      </c>
      <c r="O89" s="73" t="n">
        <v>315.75</v>
      </c>
      <c r="P89" s="47" t="n">
        <v>12</v>
      </c>
      <c r="Q89" s="62" t="inlineStr">
        <is>
          <t>MSFT|12</t>
        </is>
      </c>
    </row>
    <row r="90">
      <c r="A90" s="69" t="inlineStr">
        <is>
          <t>MSFT</t>
        </is>
      </c>
      <c r="B90" s="69" t="inlineStr">
        <is>
          <t>FY2023Q4</t>
        </is>
      </c>
      <c r="C90" s="70" t="n">
        <v>2023</v>
      </c>
      <c r="D90" s="70" t="n">
        <v>4</v>
      </c>
      <c r="E90" s="71" t="n">
        <v>45107</v>
      </c>
      <c r="F90" s="69" t="inlineStr">
        <is>
          <t>N</t>
        </is>
      </c>
      <c r="G90" s="69" t="inlineStr">
        <is>
          <t>actual</t>
        </is>
      </c>
      <c r="H90" s="69" t="inlineStr">
        <is>
          <t>street</t>
        </is>
      </c>
      <c r="I90" s="72" t="n">
        <v>56189</v>
      </c>
      <c r="J90" s="72" t="n">
        <v>39394</v>
      </c>
      <c r="K90" s="73" t="n">
        <v>2.69</v>
      </c>
      <c r="L90" s="72" t="n">
        <v/>
      </c>
      <c r="M90" s="72" t="n">
        <v>206223</v>
      </c>
      <c r="N90" s="73" t="n">
        <v>0.68</v>
      </c>
      <c r="O90" s="73" t="n">
        <v>340.5400085449219</v>
      </c>
      <c r="P90" s="47" t="n">
        <v>13</v>
      </c>
      <c r="Q90" s="62" t="inlineStr">
        <is>
          <t>MSFT|13</t>
        </is>
      </c>
    </row>
    <row r="91">
      <c r="A91" s="69" t="inlineStr">
        <is>
          <t>MSFT</t>
        </is>
      </c>
      <c r="B91" s="69" t="inlineStr">
        <is>
          <t>FY2023Q3</t>
        </is>
      </c>
      <c r="C91" s="70" t="n">
        <v>2023</v>
      </c>
      <c r="D91" s="70" t="n">
        <v>3</v>
      </c>
      <c r="E91" s="71" t="n">
        <v>45016</v>
      </c>
      <c r="F91" s="69" t="inlineStr">
        <is>
          <t>N</t>
        </is>
      </c>
      <c r="G91" s="69" t="inlineStr">
        <is>
          <t>actual</t>
        </is>
      </c>
      <c r="H91" s="69" t="inlineStr">
        <is>
          <t>street</t>
        </is>
      </c>
      <c r="I91" s="72" t="n">
        <v>52857</v>
      </c>
      <c r="J91" s="72" t="n">
        <v>36729</v>
      </c>
      <c r="K91" s="73" t="n">
        <v>2.45</v>
      </c>
      <c r="L91" s="72" t="n">
        <v>7464</v>
      </c>
      <c r="M91" s="72" t="n">
        <v>194683</v>
      </c>
      <c r="N91" s="73" t="n">
        <v>0.68</v>
      </c>
      <c r="O91" s="73" t="n">
        <v>288.2999877929688</v>
      </c>
      <c r="P91" s="47" t="n">
        <v>14</v>
      </c>
      <c r="Q91" s="62" t="inlineStr">
        <is>
          <t>MSFT|14</t>
        </is>
      </c>
    </row>
    <row r="92">
      <c r="A92" s="69" t="inlineStr">
        <is>
          <t>MSFT</t>
        </is>
      </c>
      <c r="B92" s="69" t="inlineStr">
        <is>
          <t>FY2023Q2</t>
        </is>
      </c>
      <c r="C92" s="70" t="n">
        <v>2023</v>
      </c>
      <c r="D92" s="70" t="n">
        <v>2</v>
      </c>
      <c r="E92" s="71" t="n">
        <v>44926</v>
      </c>
      <c r="F92" s="69" t="inlineStr">
        <is>
          <t>N</t>
        </is>
      </c>
      <c r="G92" s="69" t="inlineStr">
        <is>
          <t>actual</t>
        </is>
      </c>
      <c r="H92" s="69" t="inlineStr">
        <is>
          <t>street</t>
        </is>
      </c>
      <c r="I92" s="72" t="n">
        <v>52747</v>
      </c>
      <c r="J92" s="72" t="n">
        <v>35259</v>
      </c>
      <c r="K92" s="73" t="n">
        <v>2.32</v>
      </c>
      <c r="L92" s="72" t="n">
        <v>7473</v>
      </c>
      <c r="M92" s="72" t="n">
        <v>183136</v>
      </c>
      <c r="N92" s="73" t="n">
        <v>0.68</v>
      </c>
      <c r="O92" s="73" t="n">
        <v>239.8200073242188</v>
      </c>
      <c r="P92" s="47" t="n">
        <v>15</v>
      </c>
      <c r="Q92" s="62" t="inlineStr">
        <is>
          <t>MSFT|15</t>
        </is>
      </c>
    </row>
    <row r="93">
      <c r="A93" s="69" t="inlineStr">
        <is>
          <t>MSFT</t>
        </is>
      </c>
      <c r="B93" s="69" t="inlineStr">
        <is>
          <t>FY2023Q1</t>
        </is>
      </c>
      <c r="C93" s="70" t="n">
        <v>2023</v>
      </c>
      <c r="D93" s="70" t="n">
        <v>1</v>
      </c>
      <c r="E93" s="71" t="n">
        <v>44834</v>
      </c>
      <c r="F93" s="69" t="inlineStr">
        <is>
          <t>N</t>
        </is>
      </c>
      <c r="G93" s="69" t="inlineStr">
        <is>
          <t>actual</t>
        </is>
      </c>
      <c r="H93" s="69" t="inlineStr">
        <is>
          <t>street</t>
        </is>
      </c>
      <c r="I93" s="72" t="n">
        <v>50122</v>
      </c>
      <c r="J93" s="72" t="n">
        <v>34670</v>
      </c>
      <c r="K93" s="73" t="n">
        <v>2.35</v>
      </c>
      <c r="L93" s="72" t="n">
        <v>7485</v>
      </c>
      <c r="M93" s="72" t="n">
        <v>173566</v>
      </c>
      <c r="N93" s="73" t="n">
        <v>0.62</v>
      </c>
      <c r="O93" s="73" t="n">
        <v>232.8999938964844</v>
      </c>
      <c r="P93" s="47" t="n">
        <v>16</v>
      </c>
      <c r="Q93" s="62" t="inlineStr">
        <is>
          <t>MSFT|16</t>
        </is>
      </c>
    </row>
    <row r="94">
      <c r="A94" s="69" t="inlineStr">
        <is>
          <t>MSFT</t>
        </is>
      </c>
      <c r="B94" s="69" t="inlineStr">
        <is>
          <t>FY2022Q4</t>
        </is>
      </c>
      <c r="C94" s="70" t="n">
        <v>2022</v>
      </c>
      <c r="D94" s="70" t="n">
        <v>4</v>
      </c>
      <c r="E94" s="71" t="n">
        <v>44742</v>
      </c>
      <c r="F94" s="69" t="inlineStr">
        <is>
          <t>N</t>
        </is>
      </c>
      <c r="G94" s="69" t="inlineStr">
        <is>
          <t>actual</t>
        </is>
      </c>
      <c r="H94" s="69" t="inlineStr">
        <is>
          <t>street</t>
        </is>
      </c>
      <c r="I94" s="72" t="n">
        <v>51865</v>
      </c>
      <c r="J94" s="72" t="n">
        <v>35436</v>
      </c>
      <c r="K94" s="73" t="n">
        <v>2.23</v>
      </c>
      <c r="L94" s="72" t="n">
        <v/>
      </c>
      <c r="M94" s="72" t="n">
        <v>166542</v>
      </c>
      <c r="N94" s="73" t="n">
        <v>0.62</v>
      </c>
      <c r="O94" s="73" t="n">
        <v>256.8299865722656</v>
      </c>
      <c r="P94" s="47" t="n">
        <v>17</v>
      </c>
      <c r="Q94" s="62" t="inlineStr">
        <is>
          <t>MSFT|17</t>
        </is>
      </c>
    </row>
    <row r="95">
      <c r="A95" s="69" t="inlineStr">
        <is>
          <t>MSFT</t>
        </is>
      </c>
      <c r="B95" s="69" t="inlineStr">
        <is>
          <t>FY2022Q3</t>
        </is>
      </c>
      <c r="C95" s="70" t="n">
        <v>2022</v>
      </c>
      <c r="D95" s="70" t="n">
        <v>3</v>
      </c>
      <c r="E95" s="71" t="n">
        <v>44651</v>
      </c>
      <c r="F95" s="69" t="inlineStr">
        <is>
          <t>N</t>
        </is>
      </c>
      <c r="G95" s="69" t="inlineStr">
        <is>
          <t>actual</t>
        </is>
      </c>
      <c r="H95" s="69" t="inlineStr">
        <is>
          <t>street</t>
        </is>
      </c>
      <c r="I95" s="72" t="n">
        <v>49360</v>
      </c>
      <c r="J95" s="72" t="n">
        <v>33745</v>
      </c>
      <c r="K95" s="73" t="n">
        <v>2.22</v>
      </c>
      <c r="L95" s="72" t="n">
        <v>7534</v>
      </c>
      <c r="M95" s="72" t="n">
        <v>162924</v>
      </c>
      <c r="N95" s="73" t="n">
        <v>0.62</v>
      </c>
      <c r="O95" s="73" t="n">
        <v>308.3099975585937</v>
      </c>
      <c r="P95" s="47" t="n">
        <v>18</v>
      </c>
      <c r="Q95" s="62" t="inlineStr">
        <is>
          <t>MSFT|18</t>
        </is>
      </c>
    </row>
    <row r="96">
      <c r="A96" s="69" t="inlineStr">
        <is>
          <t>MSFT</t>
        </is>
      </c>
      <c r="B96" s="69" t="inlineStr">
        <is>
          <t>FY2022Q2</t>
        </is>
      </c>
      <c r="C96" s="70" t="n">
        <v>2022</v>
      </c>
      <c r="D96" s="70" t="n">
        <v>2</v>
      </c>
      <c r="E96" s="71" t="n">
        <v>44561</v>
      </c>
      <c r="F96" s="69" t="inlineStr">
        <is>
          <t>N</t>
        </is>
      </c>
      <c r="G96" s="69" t="inlineStr">
        <is>
          <t>actual</t>
        </is>
      </c>
      <c r="H96" s="69" t="inlineStr">
        <is>
          <t>street</t>
        </is>
      </c>
      <c r="I96" s="72" t="n">
        <v>51728</v>
      </c>
      <c r="J96" s="72" t="n">
        <v>34768</v>
      </c>
      <c r="K96" s="73" t="n">
        <v>2.48</v>
      </c>
      <c r="L96" s="72" t="n">
        <v>7555</v>
      </c>
      <c r="M96" s="72" t="n">
        <v>160010</v>
      </c>
      <c r="N96" s="73" t="n">
        <v>0.62</v>
      </c>
      <c r="O96" s="73" t="n">
        <v>336.3200073242188</v>
      </c>
      <c r="P96" s="47" t="n">
        <v>19</v>
      </c>
      <c r="Q96" s="62" t="inlineStr">
        <is>
          <t>MSFT|19</t>
        </is>
      </c>
    </row>
    <row r="97">
      <c r="A97" s="69" t="inlineStr">
        <is>
          <t>MSFT</t>
        </is>
      </c>
      <c r="B97" s="69" t="inlineStr">
        <is>
          <t>FY2022Q1</t>
        </is>
      </c>
      <c r="C97" s="70" t="n">
        <v>2022</v>
      </c>
      <c r="D97" s="70" t="n">
        <v>1</v>
      </c>
      <c r="E97" s="71" t="n">
        <v>44469</v>
      </c>
      <c r="F97" s="69" t="inlineStr">
        <is>
          <t>N</t>
        </is>
      </c>
      <c r="G97" s="69" t="inlineStr">
        <is>
          <t>actual</t>
        </is>
      </c>
      <c r="H97" s="69" t="inlineStr">
        <is>
          <t>street</t>
        </is>
      </c>
      <c r="I97" s="72" t="n">
        <v>45317</v>
      </c>
      <c r="J97" s="72" t="n">
        <v>31671</v>
      </c>
      <c r="K97" s="73" t="n">
        <v>2.27</v>
      </c>
      <c r="L97" s="72" t="n">
        <v>7567</v>
      </c>
      <c r="M97" s="72" t="n">
        <v>151978</v>
      </c>
      <c r="N97" s="73" t="n">
        <v>0.5600000000000001</v>
      </c>
      <c r="O97" s="73" t="n">
        <v>281.9200134277344</v>
      </c>
      <c r="P97" s="47" t="n">
        <v>20</v>
      </c>
      <c r="Q97" s="62" t="inlineStr">
        <is>
          <t>MSFT|20</t>
        </is>
      </c>
    </row>
    <row r="98">
      <c r="A98" s="69" t="inlineStr">
        <is>
          <t>MSFT</t>
        </is>
      </c>
      <c r="B98" s="69" t="inlineStr">
        <is>
          <t>FY2021Q4</t>
        </is>
      </c>
      <c r="C98" s="70" t="n">
        <v>2021</v>
      </c>
      <c r="D98" s="70" t="n">
        <v>4</v>
      </c>
      <c r="E98" s="71" t="n">
        <v>44377</v>
      </c>
      <c r="F98" s="69" t="inlineStr">
        <is>
          <t>N</t>
        </is>
      </c>
      <c r="G98" s="69" t="inlineStr">
        <is>
          <t>actual</t>
        </is>
      </c>
      <c r="H98" s="69" t="inlineStr">
        <is>
          <t>street</t>
        </is>
      </c>
      <c r="I98" s="72" t="n">
        <v>46152</v>
      </c>
      <c r="J98" s="72" t="n">
        <v>32161</v>
      </c>
      <c r="K98" s="73" t="n">
        <v>2.17</v>
      </c>
      <c r="L98" s="72" t="n">
        <v/>
      </c>
      <c r="M98" s="72" t="n">
        <v>141988</v>
      </c>
      <c r="N98" s="73" t="n">
        <v>0.5600000000000001</v>
      </c>
      <c r="O98" s="73" t="n">
        <v>270.8999938964844</v>
      </c>
      <c r="P98" s="47" t="n">
        <v>21</v>
      </c>
      <c r="Q98" s="62" t="inlineStr">
        <is>
          <t>MSFT|21</t>
        </is>
      </c>
    </row>
    <row r="99">
      <c r="A99" s="69" t="inlineStr">
        <is>
          <t>MSFT</t>
        </is>
      </c>
      <c r="B99" s="69" t="inlineStr">
        <is>
          <t>FY2021Q3</t>
        </is>
      </c>
      <c r="C99" s="70" t="n">
        <v>2021</v>
      </c>
      <c r="D99" s="70" t="n">
        <v>3</v>
      </c>
      <c r="E99" s="71" t="n">
        <v>44286</v>
      </c>
      <c r="F99" s="69" t="inlineStr">
        <is>
          <t>N</t>
        </is>
      </c>
      <c r="G99" s="69" t="inlineStr">
        <is>
          <t>actual</t>
        </is>
      </c>
      <c r="H99" s="69" t="inlineStr">
        <is>
          <t>street</t>
        </is>
      </c>
      <c r="I99" s="72" t="n">
        <v>41706</v>
      </c>
      <c r="J99" s="72" t="n">
        <v>28661</v>
      </c>
      <c r="K99" s="73" t="n">
        <v>1.95</v>
      </c>
      <c r="L99" s="72" t="n">
        <v>7597</v>
      </c>
      <c r="M99" s="72" t="n">
        <v>134505</v>
      </c>
      <c r="N99" s="73" t="n">
        <v>0.5600000000000001</v>
      </c>
      <c r="O99" s="73" t="n">
        <v>235.7700042724609</v>
      </c>
      <c r="P99" s="47" t="n">
        <v>22</v>
      </c>
      <c r="Q99" s="62" t="inlineStr">
        <is>
          <t>MSFT|22</t>
        </is>
      </c>
    </row>
    <row r="100">
      <c r="A100" s="69" t="inlineStr">
        <is>
          <t>MSFT</t>
        </is>
      </c>
      <c r="B100" s="69" t="inlineStr">
        <is>
          <t>FY2021Q2</t>
        </is>
      </c>
      <c r="C100" s="70" t="n">
        <v>2021</v>
      </c>
      <c r="D100" s="70" t="n">
        <v>2</v>
      </c>
      <c r="E100" s="71" t="n">
        <v>44196</v>
      </c>
      <c r="F100" s="69" t="inlineStr">
        <is>
          <t>N</t>
        </is>
      </c>
      <c r="G100" s="69" t="inlineStr">
        <is>
          <t>actual</t>
        </is>
      </c>
      <c r="H100" s="69" t="inlineStr">
        <is>
          <t>street</t>
        </is>
      </c>
      <c r="I100" s="72" t="n">
        <v>43076</v>
      </c>
      <c r="J100" s="72" t="n">
        <v>28882</v>
      </c>
      <c r="K100" s="73" t="n">
        <v>2.03</v>
      </c>
      <c r="L100" s="72" t="n">
        <v>7616</v>
      </c>
      <c r="M100" s="72" t="n">
        <v>130236</v>
      </c>
      <c r="N100" s="73" t="n">
        <v>0.5600000000000001</v>
      </c>
      <c r="O100" s="73" t="n">
        <v>222.4199981689453</v>
      </c>
      <c r="P100" s="47" t="n">
        <v>23</v>
      </c>
      <c r="Q100" s="62" t="inlineStr">
        <is>
          <t>MSFT|23</t>
        </is>
      </c>
    </row>
    <row r="101">
      <c r="A101" s="69" t="inlineStr">
        <is>
          <t>MSFT</t>
        </is>
      </c>
      <c r="B101" s="69" t="inlineStr">
        <is>
          <t>FY2021Q1</t>
        </is>
      </c>
      <c r="C101" s="70" t="n">
        <v>2021</v>
      </c>
      <c r="D101" s="70" t="n">
        <v>1</v>
      </c>
      <c r="E101" s="71" t="n">
        <v>44104</v>
      </c>
      <c r="F101" s="69" t="inlineStr">
        <is>
          <t>N</t>
        </is>
      </c>
      <c r="G101" s="69" t="inlineStr">
        <is>
          <t>actual</t>
        </is>
      </c>
      <c r="H101" s="69" t="inlineStr">
        <is>
          <t>street</t>
        </is>
      </c>
      <c r="I101" s="72" t="n">
        <v>37154</v>
      </c>
      <c r="J101" s="72" t="n">
        <v>26152</v>
      </c>
      <c r="K101" s="73" t="n">
        <v>1.82</v>
      </c>
      <c r="L101" s="72" t="n">
        <v>7637</v>
      </c>
      <c r="M101" s="72" t="n">
        <v>123392</v>
      </c>
      <c r="N101" s="73" t="n">
        <v/>
      </c>
      <c r="O101" s="73" t="n">
        <v>210.3300018310547</v>
      </c>
      <c r="P101" s="47" t="n">
        <v>24</v>
      </c>
      <c r="Q101" s="62" t="inlineStr">
        <is>
          <t>MSFT|24</t>
        </is>
      </c>
    </row>
    <row r="102">
      <c r="A102" s="69" t="inlineStr">
        <is>
          <t>NVDA</t>
        </is>
      </c>
      <c r="B102" s="69" t="inlineStr">
        <is>
          <t>FY2027Q2E</t>
        </is>
      </c>
      <c r="C102" s="70" t="n">
        <v>2027</v>
      </c>
      <c r="D102" s="70" t="n">
        <v>2</v>
      </c>
      <c r="E102" s="71" t="n">
        <v>46233</v>
      </c>
      <c r="F102" s="69" t="inlineStr">
        <is>
          <t>Y</t>
        </is>
      </c>
      <c r="G102" s="69" t="inlineStr">
        <is>
          <t>consensus</t>
        </is>
      </c>
      <c r="H102" s="69" t="inlineStr">
        <is>
          <t>street</t>
        </is>
      </c>
      <c r="I102" s="72" t="n">
        <v/>
      </c>
      <c r="J102" s="72" t="n">
        <v/>
      </c>
      <c r="K102" s="73" t="n">
        <v>2.08869</v>
      </c>
      <c r="L102" s="72" t="n">
        <v/>
      </c>
      <c r="M102" s="72" t="n">
        <v/>
      </c>
      <c r="N102" s="73" t="n">
        <v/>
      </c>
      <c r="O102" s="73" t="n">
        <v/>
      </c>
      <c r="P102" s="47" t="n">
        <v>0</v>
      </c>
      <c r="Q102" s="62" t="inlineStr">
        <is>
          <t>NVDA|0</t>
        </is>
      </c>
    </row>
    <row r="103">
      <c r="A103" s="69" t="inlineStr">
        <is>
          <t>NVDA</t>
        </is>
      </c>
      <c r="B103" s="69" t="inlineStr">
        <is>
          <t>FY2027Q1</t>
        </is>
      </c>
      <c r="C103" s="70" t="n">
        <v>2027</v>
      </c>
      <c r="D103" s="70" t="n">
        <v>1</v>
      </c>
      <c r="E103" s="71" t="n">
        <v>46142</v>
      </c>
      <c r="F103" s="69" t="inlineStr">
        <is>
          <t>N</t>
        </is>
      </c>
      <c r="G103" s="69" t="inlineStr">
        <is>
          <t>actual</t>
        </is>
      </c>
      <c r="H103" s="69" t="inlineStr">
        <is>
          <t>street</t>
        </is>
      </c>
      <c r="I103" s="72" t="n">
        <v>81615</v>
      </c>
      <c r="J103" s="72" t="n">
        <v>61157</v>
      </c>
      <c r="K103" s="73" t="n">
        <v>1.87</v>
      </c>
      <c r="L103" s="72" t="n">
        <v>24391</v>
      </c>
      <c r="M103" s="72" t="n">
        <v>195474</v>
      </c>
      <c r="N103" s="73" t="n">
        <v>0.01</v>
      </c>
      <c r="O103" s="73" t="n">
        <v>199.5700073242188</v>
      </c>
      <c r="P103" s="47" t="n">
        <v>1</v>
      </c>
      <c r="Q103" s="62" t="inlineStr">
        <is>
          <t>NVDA|1</t>
        </is>
      </c>
    </row>
    <row r="104">
      <c r="A104" s="69" t="inlineStr">
        <is>
          <t>NVDA</t>
        </is>
      </c>
      <c r="B104" s="69" t="inlineStr">
        <is>
          <t>FY2026Q4</t>
        </is>
      </c>
      <c r="C104" s="70" t="n">
        <v>2026</v>
      </c>
      <c r="D104" s="70" t="n">
        <v>4</v>
      </c>
      <c r="E104" s="71" t="n">
        <v>46053</v>
      </c>
      <c r="F104" s="69" t="inlineStr">
        <is>
          <t>N</t>
        </is>
      </c>
      <c r="G104" s="69" t="inlineStr">
        <is>
          <t>actual</t>
        </is>
      </c>
      <c r="H104" s="69" t="inlineStr">
        <is>
          <t>street</t>
        </is>
      </c>
      <c r="I104" s="72" t="n">
        <v>68127</v>
      </c>
      <c r="J104" s="72" t="n">
        <v>51093</v>
      </c>
      <c r="K104" s="73" t="n">
        <v>1.62</v>
      </c>
      <c r="L104" s="72" t="n">
        <v>24432</v>
      </c>
      <c r="M104" s="72" t="n">
        <v>157293</v>
      </c>
      <c r="N104" s="73" t="n">
        <v>0.01</v>
      </c>
      <c r="O104" s="73" t="n">
        <v>191.1300048828125</v>
      </c>
      <c r="P104" s="47" t="n">
        <v>2</v>
      </c>
      <c r="Q104" s="62" t="inlineStr">
        <is>
          <t>NVDA|2</t>
        </is>
      </c>
    </row>
    <row r="105">
      <c r="A105" s="69" t="inlineStr">
        <is>
          <t>NVDA</t>
        </is>
      </c>
      <c r="B105" s="69" t="inlineStr">
        <is>
          <t>FY2026Q3</t>
        </is>
      </c>
      <c r="C105" s="70" t="n">
        <v>2026</v>
      </c>
      <c r="D105" s="70" t="n">
        <v>3</v>
      </c>
      <c r="E105" s="71" t="n">
        <v>45961</v>
      </c>
      <c r="F105" s="69" t="inlineStr">
        <is>
          <t>N</t>
        </is>
      </c>
      <c r="G105" s="69" t="inlineStr">
        <is>
          <t>actual</t>
        </is>
      </c>
      <c r="H105" s="69" t="inlineStr">
        <is>
          <t>street</t>
        </is>
      </c>
      <c r="I105" s="72" t="n">
        <v>57006</v>
      </c>
      <c r="J105" s="72" t="n">
        <v>41849</v>
      </c>
      <c r="K105" s="73" t="n">
        <v>1.3</v>
      </c>
      <c r="L105" s="72" t="n">
        <v>24483</v>
      </c>
      <c r="M105" s="72" t="n">
        <v>118897</v>
      </c>
      <c r="N105" s="73" t="n">
        <v>0.01</v>
      </c>
      <c r="O105" s="73" t="n">
        <v>202.4900054931641</v>
      </c>
      <c r="P105" s="47" t="n">
        <v>3</v>
      </c>
      <c r="Q105" s="62" t="inlineStr">
        <is>
          <t>NVDA|3</t>
        </is>
      </c>
    </row>
    <row r="106">
      <c r="A106" s="69" t="inlineStr">
        <is>
          <t>NVDA</t>
        </is>
      </c>
      <c r="B106" s="69" t="inlineStr">
        <is>
          <t>FY2026Q2</t>
        </is>
      </c>
      <c r="C106" s="70" t="n">
        <v>2026</v>
      </c>
      <c r="D106" s="70" t="n">
        <v>2</v>
      </c>
      <c r="E106" s="71" t="n">
        <v>45869</v>
      </c>
      <c r="F106" s="69" t="inlineStr">
        <is>
          <t>N</t>
        </is>
      </c>
      <c r="G106" s="69" t="inlineStr">
        <is>
          <t>actual</t>
        </is>
      </c>
      <c r="H106" s="69" t="inlineStr">
        <is>
          <t>street</t>
        </is>
      </c>
      <c r="I106" s="72" t="n">
        <v>46743</v>
      </c>
      <c r="J106" s="72" t="n">
        <v>33853</v>
      </c>
      <c r="K106" s="73" t="n">
        <v>1.05</v>
      </c>
      <c r="L106" s="72" t="n">
        <v>24532</v>
      </c>
      <c r="M106" s="72" t="n">
        <v>100131</v>
      </c>
      <c r="N106" s="73" t="n">
        <v>0.01</v>
      </c>
      <c r="O106" s="73" t="n">
        <v>177.8699951171875</v>
      </c>
      <c r="P106" s="47" t="n">
        <v>4</v>
      </c>
      <c r="Q106" s="62" t="inlineStr">
        <is>
          <t>NVDA|4</t>
        </is>
      </c>
    </row>
    <row r="107">
      <c r="A107" s="69" t="inlineStr">
        <is>
          <t>NVDA</t>
        </is>
      </c>
      <c r="B107" s="69" t="inlineStr">
        <is>
          <t>FY2026Q1</t>
        </is>
      </c>
      <c r="C107" s="70" t="n">
        <v>2026</v>
      </c>
      <c r="D107" s="70" t="n">
        <v>1</v>
      </c>
      <c r="E107" s="71" t="n">
        <v>45777</v>
      </c>
      <c r="F107" s="69" t="inlineStr">
        <is>
          <t>N</t>
        </is>
      </c>
      <c r="G107" s="69" t="inlineStr">
        <is>
          <t>actual</t>
        </is>
      </c>
      <c r="H107" s="69" t="inlineStr">
        <is>
          <t>street</t>
        </is>
      </c>
      <c r="I107" s="72" t="n">
        <v>44062</v>
      </c>
      <c r="J107" s="72" t="n">
        <v>26668</v>
      </c>
      <c r="K107" s="73" t="n">
        <v>0.8100000000000001</v>
      </c>
      <c r="L107" s="72" t="n">
        <v>24611</v>
      </c>
      <c r="M107" s="72" t="n">
        <v>83843</v>
      </c>
      <c r="N107" s="73" t="n">
        <v>0.01</v>
      </c>
      <c r="O107" s="73" t="n">
        <v>108.9199981689453</v>
      </c>
      <c r="P107" s="47" t="n">
        <v>5</v>
      </c>
      <c r="Q107" s="62" t="inlineStr">
        <is>
          <t>NVDA|5</t>
        </is>
      </c>
    </row>
    <row r="108">
      <c r="A108" s="69" t="inlineStr">
        <is>
          <t>NVDA</t>
        </is>
      </c>
      <c r="B108" s="69" t="inlineStr">
        <is>
          <t>FY2025Q4</t>
        </is>
      </c>
      <c r="C108" s="70" t="n">
        <v>2025</v>
      </c>
      <c r="D108" s="70" t="n">
        <v>4</v>
      </c>
      <c r="E108" s="71" t="n">
        <v>45688</v>
      </c>
      <c r="F108" s="69" t="inlineStr">
        <is>
          <t>N</t>
        </is>
      </c>
      <c r="G108" s="69" t="inlineStr">
        <is>
          <t>actual</t>
        </is>
      </c>
      <c r="H108" s="69" t="inlineStr">
        <is>
          <t>street</t>
        </is>
      </c>
      <c r="I108" s="72" t="n">
        <v>39331</v>
      </c>
      <c r="J108" s="72" t="n">
        <v>28723</v>
      </c>
      <c r="K108" s="73" t="n">
        <v>0.89</v>
      </c>
      <c r="L108" s="72" t="n">
        <v>24804</v>
      </c>
      <c r="M108" s="72" t="n">
        <v>79327</v>
      </c>
      <c r="N108" s="73" t="n">
        <v>0.01</v>
      </c>
      <c r="O108" s="73" t="n">
        <v>120.0699996948242</v>
      </c>
      <c r="P108" s="47" t="n">
        <v>6</v>
      </c>
      <c r="Q108" s="62" t="inlineStr">
        <is>
          <t>NVDA|6</t>
        </is>
      </c>
    </row>
    <row r="109">
      <c r="A109" s="69" t="inlineStr">
        <is>
          <t>NVDA</t>
        </is>
      </c>
      <c r="B109" s="69" t="inlineStr">
        <is>
          <t>FY2025Q3</t>
        </is>
      </c>
      <c r="C109" s="70" t="n">
        <v>2025</v>
      </c>
      <c r="D109" s="70" t="n">
        <v>3</v>
      </c>
      <c r="E109" s="71" t="n">
        <v>45596</v>
      </c>
      <c r="F109" s="69" t="inlineStr">
        <is>
          <t>N</t>
        </is>
      </c>
      <c r="G109" s="69" t="inlineStr">
        <is>
          <t>actual</t>
        </is>
      </c>
      <c r="H109" s="69" t="inlineStr">
        <is>
          <t>street</t>
        </is>
      </c>
      <c r="I109" s="72" t="n">
        <v>35082</v>
      </c>
      <c r="J109" s="72" t="n">
        <v>26156</v>
      </c>
      <c r="K109" s="73" t="n">
        <v>0.8100000000000001</v>
      </c>
      <c r="L109" s="72" t="n">
        <v>24862.75</v>
      </c>
      <c r="M109" s="72" t="n">
        <v>65899</v>
      </c>
      <c r="N109" s="73" t="n">
        <v>0.01</v>
      </c>
      <c r="O109" s="73" t="n">
        <v>132.7599945068359</v>
      </c>
      <c r="P109" s="47" t="n">
        <v>7</v>
      </c>
      <c r="Q109" s="62" t="inlineStr">
        <is>
          <t>NVDA|7</t>
        </is>
      </c>
    </row>
    <row r="110">
      <c r="A110" s="69" t="inlineStr">
        <is>
          <t>NVDA</t>
        </is>
      </c>
      <c r="B110" s="69" t="inlineStr">
        <is>
          <t>FY2025Q2</t>
        </is>
      </c>
      <c r="C110" s="70" t="n">
        <v>2025</v>
      </c>
      <c r="D110" s="70" t="n">
        <v>2</v>
      </c>
      <c r="E110" s="71" t="n">
        <v>45504</v>
      </c>
      <c r="F110" s="69" t="inlineStr">
        <is>
          <t>N</t>
        </is>
      </c>
      <c r="G110" s="69" t="inlineStr">
        <is>
          <t>actual</t>
        </is>
      </c>
      <c r="H110" s="69" t="inlineStr">
        <is>
          <t>street</t>
        </is>
      </c>
      <c r="I110" s="72" t="n">
        <v>30040</v>
      </c>
      <c r="J110" s="72" t="n">
        <v>22574</v>
      </c>
      <c r="K110" s="73" t="n">
        <v>0.68</v>
      </c>
      <c r="L110" s="72" t="n">
        <v>24900.5</v>
      </c>
      <c r="M110" s="72" t="n">
        <v>58157</v>
      </c>
      <c r="N110" s="73" t="n">
        <v>0.01</v>
      </c>
      <c r="O110" s="73" t="n">
        <v>117.0199966430664</v>
      </c>
      <c r="P110" s="47" t="n">
        <v>8</v>
      </c>
      <c r="Q110" s="62" t="inlineStr">
        <is>
          <t>NVDA|8</t>
        </is>
      </c>
    </row>
    <row r="111">
      <c r="A111" s="69" t="inlineStr">
        <is>
          <t>NVDA</t>
        </is>
      </c>
      <c r="B111" s="69" t="inlineStr">
        <is>
          <t>FY2025Q1</t>
        </is>
      </c>
      <c r="C111" s="70" t="n">
        <v>2025</v>
      </c>
      <c r="D111" s="70" t="n">
        <v>1</v>
      </c>
      <c r="E111" s="71" t="n">
        <v>45412</v>
      </c>
      <c r="F111" s="69" t="inlineStr">
        <is>
          <t>N</t>
        </is>
      </c>
      <c r="G111" s="69" t="inlineStr">
        <is>
          <t>actual</t>
        </is>
      </c>
      <c r="H111" s="69" t="inlineStr">
        <is>
          <t>street</t>
        </is>
      </c>
      <c r="I111" s="72" t="n">
        <v>26044</v>
      </c>
      <c r="J111" s="72" t="n">
        <v>20406</v>
      </c>
      <c r="K111" s="73" t="n">
        <v>0.61</v>
      </c>
      <c r="L111" s="72" t="n">
        <v>24937.5</v>
      </c>
      <c r="M111" s="72" t="n">
        <v>49142</v>
      </c>
      <c r="N111" s="73" t="n">
        <v>0.004</v>
      </c>
      <c r="O111" s="73" t="n">
        <v>86.40200042724609</v>
      </c>
      <c r="P111" s="47" t="n">
        <v>9</v>
      </c>
      <c r="Q111" s="62" t="inlineStr">
        <is>
          <t>NVDA|9</t>
        </is>
      </c>
    </row>
    <row r="112">
      <c r="A112" s="69" t="inlineStr">
        <is>
          <t>NVDA</t>
        </is>
      </c>
      <c r="B112" s="69" t="inlineStr">
        <is>
          <t>FY2024Q4</t>
        </is>
      </c>
      <c r="C112" s="70" t="n">
        <v>2024</v>
      </c>
      <c r="D112" s="70" t="n">
        <v>4</v>
      </c>
      <c r="E112" s="71" t="n">
        <v>45322</v>
      </c>
      <c r="F112" s="69" t="inlineStr">
        <is>
          <t>N</t>
        </is>
      </c>
      <c r="G112" s="69" t="inlineStr">
        <is>
          <t>actual</t>
        </is>
      </c>
      <c r="H112" s="69" t="inlineStr">
        <is>
          <t>street</t>
        </is>
      </c>
      <c r="I112" s="72" t="n">
        <v>22103</v>
      </c>
      <c r="J112" s="72" t="n">
        <v>16791</v>
      </c>
      <c r="K112" s="73" t="n">
        <v>0.52</v>
      </c>
      <c r="L112" s="72" t="n">
        <v>24940</v>
      </c>
      <c r="M112" s="72" t="n">
        <v>42978</v>
      </c>
      <c r="N112" s="73" t="n">
        <v>0.004</v>
      </c>
      <c r="O112" s="73" t="n">
        <v>61.52700042724609</v>
      </c>
      <c r="P112" s="47" t="n">
        <v>10</v>
      </c>
      <c r="Q112" s="62" t="inlineStr">
        <is>
          <t>NVDA|10</t>
        </is>
      </c>
    </row>
    <row r="113">
      <c r="A113" s="69" t="inlineStr">
        <is>
          <t>NVDA</t>
        </is>
      </c>
      <c r="B113" s="69" t="inlineStr">
        <is>
          <t>FY2024Q3</t>
        </is>
      </c>
      <c r="C113" s="70" t="n">
        <v>2024</v>
      </c>
      <c r="D113" s="70" t="n">
        <v>3</v>
      </c>
      <c r="E113" s="71" t="n">
        <v>45230</v>
      </c>
      <c r="F113" s="69" t="inlineStr">
        <is>
          <t>N</t>
        </is>
      </c>
      <c r="G113" s="69" t="inlineStr">
        <is>
          <t>actual</t>
        </is>
      </c>
      <c r="H113" s="69" t="inlineStr">
        <is>
          <t>street</t>
        </is>
      </c>
      <c r="I113" s="72" t="n">
        <v>18120</v>
      </c>
      <c r="J113" s="72" t="n">
        <v>13400</v>
      </c>
      <c r="K113" s="73" t="n">
        <v>0.4</v>
      </c>
      <c r="L113" s="72" t="n">
        <v>24897.5</v>
      </c>
      <c r="M113" s="72" t="n">
        <v>33265</v>
      </c>
      <c r="N113" s="73" t="n">
        <v>0.004</v>
      </c>
      <c r="O113" s="73" t="n">
        <v>40.77999877929688</v>
      </c>
      <c r="P113" s="47" t="n">
        <v>11</v>
      </c>
      <c r="Q113" s="62" t="inlineStr">
        <is>
          <t>NVDA|11</t>
        </is>
      </c>
    </row>
    <row r="114">
      <c r="A114" s="69" t="inlineStr">
        <is>
          <t>NVDA</t>
        </is>
      </c>
      <c r="B114" s="69" t="inlineStr">
        <is>
          <t>FY2024Q2</t>
        </is>
      </c>
      <c r="C114" s="70" t="n">
        <v>2024</v>
      </c>
      <c r="D114" s="70" t="n">
        <v>2</v>
      </c>
      <c r="E114" s="71" t="n">
        <v>45138</v>
      </c>
      <c r="F114" s="69" t="inlineStr">
        <is>
          <t>N</t>
        </is>
      </c>
      <c r="G114" s="69" t="inlineStr">
        <is>
          <t>actual</t>
        </is>
      </c>
      <c r="H114" s="69" t="inlineStr">
        <is>
          <t>street</t>
        </is>
      </c>
      <c r="I114" s="72" t="n">
        <v>13507</v>
      </c>
      <c r="J114" s="72" t="n">
        <v>9462</v>
      </c>
      <c r="K114" s="73" t="n">
        <v>0.27</v>
      </c>
      <c r="L114" s="72" t="n">
        <v>24994</v>
      </c>
      <c r="M114" s="72" t="n">
        <v>27501</v>
      </c>
      <c r="N114" s="73" t="n">
        <v>0.004</v>
      </c>
      <c r="O114" s="73" t="n">
        <v>46.72900009155273</v>
      </c>
      <c r="P114" s="47" t="n">
        <v>12</v>
      </c>
      <c r="Q114" s="62" t="inlineStr">
        <is>
          <t>NVDA|12</t>
        </is>
      </c>
    </row>
    <row r="115">
      <c r="A115" s="69" t="inlineStr">
        <is>
          <t>NVDA</t>
        </is>
      </c>
      <c r="B115" s="69" t="inlineStr">
        <is>
          <t>FY2024Q1</t>
        </is>
      </c>
      <c r="C115" s="70" t="n">
        <v>2024</v>
      </c>
      <c r="D115" s="70" t="n">
        <v>1</v>
      </c>
      <c r="E115" s="71" t="n">
        <v>45046</v>
      </c>
      <c r="F115" s="69" t="inlineStr">
        <is>
          <t>N</t>
        </is>
      </c>
      <c r="G115" s="69" t="inlineStr">
        <is>
          <t>actual</t>
        </is>
      </c>
      <c r="H115" s="69" t="inlineStr">
        <is>
          <t>street</t>
        </is>
      </c>
      <c r="I115" s="72" t="n">
        <v>7192</v>
      </c>
      <c r="J115" s="72" t="n">
        <v>4648</v>
      </c>
      <c r="K115" s="73" t="n">
        <v>0.11</v>
      </c>
      <c r="L115" s="72" t="n">
        <v>24900</v>
      </c>
      <c r="M115" s="72" t="n">
        <v>24520</v>
      </c>
      <c r="N115" s="73" t="n">
        <v>0.004</v>
      </c>
      <c r="O115" s="73" t="n">
        <v>27.74900054931641</v>
      </c>
      <c r="P115" s="47" t="n">
        <v>13</v>
      </c>
      <c r="Q115" s="62" t="inlineStr">
        <is>
          <t>NVDA|13</t>
        </is>
      </c>
    </row>
    <row r="116">
      <c r="A116" s="69" t="inlineStr">
        <is>
          <t>NVDA</t>
        </is>
      </c>
      <c r="B116" s="69" t="inlineStr">
        <is>
          <t>FY2023Q4</t>
        </is>
      </c>
      <c r="C116" s="70" t="n">
        <v>2023</v>
      </c>
      <c r="D116" s="70" t="n">
        <v>4</v>
      </c>
      <c r="E116" s="71" t="n">
        <v>44957</v>
      </c>
      <c r="F116" s="69" t="inlineStr">
        <is>
          <t>N</t>
        </is>
      </c>
      <c r="G116" s="69" t="inlineStr">
        <is>
          <t>actual</t>
        </is>
      </c>
      <c r="H116" s="69" t="inlineStr">
        <is>
          <t>street</t>
        </is>
      </c>
      <c r="I116" s="72" t="n">
        <v>6051</v>
      </c>
      <c r="J116" s="72" t="n">
        <v>3833</v>
      </c>
      <c r="K116" s="73" t="n">
        <v>0.09</v>
      </c>
      <c r="L116" s="72" t="n">
        <v/>
      </c>
      <c r="M116" s="72" t="n">
        <v>22101</v>
      </c>
      <c r="N116" s="73" t="n">
        <v>0.004</v>
      </c>
      <c r="O116" s="73" t="n">
        <v>19.53700065612793</v>
      </c>
      <c r="P116" s="47" t="n">
        <v>14</v>
      </c>
      <c r="Q116" s="62" t="inlineStr">
        <is>
          <t>NVDA|14</t>
        </is>
      </c>
    </row>
    <row r="117">
      <c r="A117" s="69" t="inlineStr">
        <is>
          <t>NVDA</t>
        </is>
      </c>
      <c r="B117" s="69" t="inlineStr">
        <is>
          <t>FY2023Q3</t>
        </is>
      </c>
      <c r="C117" s="70" t="n">
        <v>2023</v>
      </c>
      <c r="D117" s="70" t="n">
        <v>3</v>
      </c>
      <c r="E117" s="71" t="n">
        <v>44865</v>
      </c>
      <c r="F117" s="69" t="inlineStr">
        <is>
          <t>N</t>
        </is>
      </c>
      <c r="G117" s="69" t="inlineStr">
        <is>
          <t>actual</t>
        </is>
      </c>
      <c r="H117" s="69" t="inlineStr">
        <is>
          <t>street</t>
        </is>
      </c>
      <c r="I117" s="72" t="n">
        <v>5931</v>
      </c>
      <c r="J117" s="72" t="n">
        <v>3177</v>
      </c>
      <c r="K117" s="73" t="n">
        <v>0.06</v>
      </c>
      <c r="L117" s="72" t="n">
        <v>24990</v>
      </c>
      <c r="M117" s="72" t="n">
        <v>21349</v>
      </c>
      <c r="N117" s="73" t="n">
        <v>0.004</v>
      </c>
      <c r="O117" s="73" t="n">
        <v>13.49699974060059</v>
      </c>
      <c r="P117" s="47" t="n">
        <v>15</v>
      </c>
      <c r="Q117" s="62" t="inlineStr">
        <is>
          <t>NVDA|15</t>
        </is>
      </c>
    </row>
    <row r="118">
      <c r="A118" s="69" t="inlineStr">
        <is>
          <t>NVDA</t>
        </is>
      </c>
      <c r="B118" s="69" t="inlineStr">
        <is>
          <t>FY2023Q2</t>
        </is>
      </c>
      <c r="C118" s="70" t="n">
        <v>2023</v>
      </c>
      <c r="D118" s="70" t="n">
        <v>2</v>
      </c>
      <c r="E118" s="71" t="n">
        <v>44773</v>
      </c>
      <c r="F118" s="69" t="inlineStr">
        <is>
          <t>N</t>
        </is>
      </c>
      <c r="G118" s="69" t="inlineStr">
        <is>
          <t>actual</t>
        </is>
      </c>
      <c r="H118" s="69" t="inlineStr">
        <is>
          <t>street</t>
        </is>
      </c>
      <c r="I118" s="72" t="n">
        <v>6704</v>
      </c>
      <c r="J118" s="72" t="n">
        <v>2915</v>
      </c>
      <c r="K118" s="73" t="n">
        <v>0.05</v>
      </c>
      <c r="L118" s="72" t="n">
        <v>25160</v>
      </c>
      <c r="M118" s="72" t="n">
        <v>23851</v>
      </c>
      <c r="N118" s="73" t="n">
        <v>0.004</v>
      </c>
      <c r="O118" s="73" t="n">
        <v>18.16300010681152</v>
      </c>
      <c r="P118" s="47" t="n">
        <v>16</v>
      </c>
      <c r="Q118" s="62" t="inlineStr">
        <is>
          <t>NVDA|16</t>
        </is>
      </c>
    </row>
    <row r="119">
      <c r="A119" s="69" t="inlineStr">
        <is>
          <t>NVDA</t>
        </is>
      </c>
      <c r="B119" s="69" t="inlineStr">
        <is>
          <t>FY2023Q1</t>
        </is>
      </c>
      <c r="C119" s="70" t="n">
        <v>2023</v>
      </c>
      <c r="D119" s="70" t="n">
        <v>1</v>
      </c>
      <c r="E119" s="71" t="n">
        <v>44681</v>
      </c>
      <c r="F119" s="69" t="inlineStr">
        <is>
          <t>N</t>
        </is>
      </c>
      <c r="G119" s="69" t="inlineStr">
        <is>
          <t>actual</t>
        </is>
      </c>
      <c r="H119" s="69" t="inlineStr">
        <is>
          <t>street</t>
        </is>
      </c>
      <c r="I119" s="72" t="n">
        <v>8288</v>
      </c>
      <c r="J119" s="72" t="n">
        <v>5431</v>
      </c>
      <c r="K119" s="73" t="n">
        <v>0.14</v>
      </c>
      <c r="L119" s="72" t="n">
        <v>25370</v>
      </c>
      <c r="M119" s="72" t="n">
        <v>26320</v>
      </c>
      <c r="N119" s="73" t="n">
        <v>0.004</v>
      </c>
      <c r="O119" s="73" t="n">
        <v>18.54700088500977</v>
      </c>
      <c r="P119" s="47" t="n">
        <v>17</v>
      </c>
      <c r="Q119" s="62" t="inlineStr">
        <is>
          <t>NVDA|17</t>
        </is>
      </c>
    </row>
    <row r="120">
      <c r="A120" s="69" t="inlineStr">
        <is>
          <t>NVDA</t>
        </is>
      </c>
      <c r="B120" s="69" t="inlineStr">
        <is>
          <t>FY2022Q4</t>
        </is>
      </c>
      <c r="C120" s="70" t="n">
        <v>2022</v>
      </c>
      <c r="D120" s="70" t="n">
        <v>4</v>
      </c>
      <c r="E120" s="71" t="n">
        <v>44592</v>
      </c>
      <c r="F120" s="69" t="inlineStr">
        <is>
          <t>N</t>
        </is>
      </c>
      <c r="G120" s="69" t="inlineStr">
        <is>
          <t>actual</t>
        </is>
      </c>
      <c r="H120" s="69" t="inlineStr">
        <is>
          <t>street</t>
        </is>
      </c>
      <c r="I120" s="72" t="n">
        <v>7643</v>
      </c>
      <c r="J120" s="72" t="n">
        <v>4999</v>
      </c>
      <c r="K120" s="73" t="n">
        <v>0.13</v>
      </c>
      <c r="L120" s="72" t="n">
        <v/>
      </c>
      <c r="M120" s="72" t="n">
        <v>26612</v>
      </c>
      <c r="N120" s="73" t="n">
        <v>0.004</v>
      </c>
      <c r="O120" s="73" t="n">
        <v>24.48600006103516</v>
      </c>
      <c r="P120" s="47" t="n">
        <v>18</v>
      </c>
      <c r="Q120" s="62" t="inlineStr">
        <is>
          <t>NVDA|18</t>
        </is>
      </c>
    </row>
    <row r="121">
      <c r="A121" s="69" t="inlineStr">
        <is>
          <t>NVDA</t>
        </is>
      </c>
      <c r="B121" s="69" t="inlineStr">
        <is>
          <t>FY2022Q3</t>
        </is>
      </c>
      <c r="C121" s="70" t="n">
        <v>2022</v>
      </c>
      <c r="D121" s="70" t="n">
        <v>3</v>
      </c>
      <c r="E121" s="71" t="n">
        <v>44500</v>
      </c>
      <c r="F121" s="69" t="inlineStr">
        <is>
          <t>N</t>
        </is>
      </c>
      <c r="G121" s="69" t="inlineStr">
        <is>
          <t>actual</t>
        </is>
      </c>
      <c r="H121" s="69" t="inlineStr">
        <is>
          <t>street</t>
        </is>
      </c>
      <c r="I121" s="72" t="n">
        <v>7103</v>
      </c>
      <c r="J121" s="72" t="n">
        <v>4631</v>
      </c>
      <c r="K121" s="73" t="n">
        <v>0.12</v>
      </c>
      <c r="L121" s="72" t="n">
        <v>25380</v>
      </c>
      <c r="M121" s="72" t="n">
        <v>23798</v>
      </c>
      <c r="N121" s="73" t="n">
        <v>0.004</v>
      </c>
      <c r="O121" s="73" t="n">
        <v>25.5669994354248</v>
      </c>
      <c r="P121" s="47" t="n">
        <v>19</v>
      </c>
      <c r="Q121" s="62" t="inlineStr">
        <is>
          <t>NVDA|19</t>
        </is>
      </c>
    </row>
    <row r="122">
      <c r="A122" s="69" t="inlineStr">
        <is>
          <t>NVDA</t>
        </is>
      </c>
      <c r="B122" s="69" t="inlineStr">
        <is>
          <t>FY2022Q2</t>
        </is>
      </c>
      <c r="C122" s="70" t="n">
        <v>2022</v>
      </c>
      <c r="D122" s="70" t="n">
        <v>2</v>
      </c>
      <c r="E122" s="71" t="n">
        <v>44408</v>
      </c>
      <c r="F122" s="69" t="inlineStr">
        <is>
          <t>N</t>
        </is>
      </c>
      <c r="G122" s="69" t="inlineStr">
        <is>
          <t>actual</t>
        </is>
      </c>
      <c r="H122" s="69" t="inlineStr">
        <is>
          <t>street</t>
        </is>
      </c>
      <c r="I122" s="72" t="n">
        <v>6507</v>
      </c>
      <c r="J122" s="72" t="n">
        <v>4215</v>
      </c>
      <c r="K122" s="73" t="n">
        <v>0.1</v>
      </c>
      <c r="L122" s="72" t="n">
        <v>25320</v>
      </c>
      <c r="M122" s="72" t="n">
        <v>21147</v>
      </c>
      <c r="N122" s="73" t="n">
        <v>0.004</v>
      </c>
      <c r="O122" s="73" t="n">
        <v>19.49900054931641</v>
      </c>
      <c r="P122" s="47" t="n">
        <v>20</v>
      </c>
      <c r="Q122" s="62" t="inlineStr">
        <is>
          <t>NVDA|20</t>
        </is>
      </c>
    </row>
    <row r="123">
      <c r="A123" s="69" t="inlineStr">
        <is>
          <t>NVDA</t>
        </is>
      </c>
      <c r="B123" s="69" t="inlineStr">
        <is>
          <t>FY2022Q1</t>
        </is>
      </c>
      <c r="C123" s="70" t="n">
        <v>2022</v>
      </c>
      <c r="D123" s="70" t="n">
        <v>1</v>
      </c>
      <c r="E123" s="71" t="n">
        <v>44316</v>
      </c>
      <c r="F123" s="69" t="inlineStr">
        <is>
          <t>N</t>
        </is>
      </c>
      <c r="G123" s="69" t="inlineStr">
        <is>
          <t>actual</t>
        </is>
      </c>
      <c r="H123" s="69" t="inlineStr">
        <is>
          <t>street</t>
        </is>
      </c>
      <c r="I123" s="72" t="n">
        <v>5661</v>
      </c>
      <c r="J123" s="72" t="n">
        <v>3629</v>
      </c>
      <c r="K123" s="73" t="n">
        <v>0.09</v>
      </c>
      <c r="L123" s="72" t="n">
        <v>25280</v>
      </c>
      <c r="M123" s="72" t="n">
        <v>18774</v>
      </c>
      <c r="N123" s="73" t="n">
        <v>0.004</v>
      </c>
      <c r="O123" s="73" t="n">
        <v>15.00949954986572</v>
      </c>
      <c r="P123" s="47" t="n">
        <v>21</v>
      </c>
      <c r="Q123" s="62" t="inlineStr">
        <is>
          <t>NVDA|21</t>
        </is>
      </c>
    </row>
    <row r="124">
      <c r="A124" s="69" t="inlineStr">
        <is>
          <t>NVDA</t>
        </is>
      </c>
      <c r="B124" s="69" t="inlineStr">
        <is>
          <t>FY2021Q4</t>
        </is>
      </c>
      <c r="C124" s="70" t="n">
        <v>2021</v>
      </c>
      <c r="D124" s="70" t="n">
        <v>4</v>
      </c>
      <c r="E124" s="71" t="n">
        <v>44227</v>
      </c>
      <c r="F124" s="69" t="inlineStr">
        <is>
          <t>N</t>
        </is>
      </c>
      <c r="G124" s="69" t="inlineStr">
        <is>
          <t>actual</t>
        </is>
      </c>
      <c r="H124" s="69" t="inlineStr">
        <is>
          <t>street</t>
        </is>
      </c>
      <c r="I124" s="72" t="n">
        <v>5003</v>
      </c>
      <c r="J124" s="72" t="n">
        <v>3156</v>
      </c>
      <c r="K124" s="73" t="n">
        <v>0.08</v>
      </c>
      <c r="L124" s="72" t="n">
        <v/>
      </c>
      <c r="M124" s="72" t="n">
        <v>16893</v>
      </c>
      <c r="N124" s="73" t="n">
        <v>0.004</v>
      </c>
      <c r="O124" s="73" t="n">
        <v>12.98974990844727</v>
      </c>
      <c r="P124" s="47" t="n">
        <v>22</v>
      </c>
      <c r="Q124" s="62" t="inlineStr">
        <is>
          <t>NVDA|22</t>
        </is>
      </c>
    </row>
    <row r="125">
      <c r="A125" s="69" t="inlineStr">
        <is>
          <t>NVDA</t>
        </is>
      </c>
      <c r="B125" s="69" t="inlineStr">
        <is>
          <t>FY2021Q3</t>
        </is>
      </c>
      <c r="C125" s="70" t="n">
        <v>2021</v>
      </c>
      <c r="D125" s="70" t="n">
        <v>3</v>
      </c>
      <c r="E125" s="71" t="n">
        <v>44135</v>
      </c>
      <c r="F125" s="69" t="inlineStr">
        <is>
          <t>N</t>
        </is>
      </c>
      <c r="G125" s="69" t="inlineStr">
        <is>
          <t>actual</t>
        </is>
      </c>
      <c r="H125" s="69" t="inlineStr">
        <is>
          <t>street</t>
        </is>
      </c>
      <c r="I125" s="72" t="n">
        <v>4726</v>
      </c>
      <c r="J125" s="72" t="n">
        <v>2960</v>
      </c>
      <c r="K125" s="73" t="n">
        <v>0.07000000000000001</v>
      </c>
      <c r="L125" s="72" t="n">
        <v>25200</v>
      </c>
      <c r="M125" s="72" t="n">
        <v>15334</v>
      </c>
      <c r="N125" s="73" t="n">
        <v>0.004</v>
      </c>
      <c r="O125" s="73" t="n">
        <v>12.53400039672852</v>
      </c>
      <c r="P125" s="47" t="n">
        <v>23</v>
      </c>
      <c r="Q125" s="62" t="inlineStr">
        <is>
          <t>NVDA|23</t>
        </is>
      </c>
    </row>
    <row r="126">
      <c r="A126" s="69" t="inlineStr">
        <is>
          <t>NVDA</t>
        </is>
      </c>
      <c r="B126" s="69" t="inlineStr">
        <is>
          <t>FY2021Q2</t>
        </is>
      </c>
      <c r="C126" s="70" t="n">
        <v>2021</v>
      </c>
      <c r="D126" s="70" t="n">
        <v>2</v>
      </c>
      <c r="E126" s="71" t="n">
        <v>44043</v>
      </c>
      <c r="F126" s="69" t="inlineStr">
        <is>
          <t>N</t>
        </is>
      </c>
      <c r="G126" s="69" t="inlineStr">
        <is>
          <t>actual</t>
        </is>
      </c>
      <c r="H126" s="69" t="inlineStr">
        <is>
          <t>street</t>
        </is>
      </c>
      <c r="I126" s="72" t="n">
        <v>3866</v>
      </c>
      <c r="J126" s="72" t="n">
        <v>2275</v>
      </c>
      <c r="K126" s="73" t="n">
        <v>0.05</v>
      </c>
      <c r="L126" s="72" t="n">
        <v>25040</v>
      </c>
      <c r="M126" s="72" t="n">
        <v>13914</v>
      </c>
      <c r="N126" s="73" t="n">
        <v/>
      </c>
      <c r="O126" s="73" t="n">
        <v>10.61474990844727</v>
      </c>
      <c r="P126" s="47" t="n">
        <v>24</v>
      </c>
      <c r="Q126" s="62" t="inlineStr">
        <is>
          <t>NVDA|24</t>
        </is>
      </c>
    </row>
    <row r="128">
      <c r="A128" s="74" t="inlineStr">
        <is>
          <t>⚠ 黃底＝資料管線寫入區，請勿手改。seq 與 key 是公式：is_est="Y" 記為 0（當季預估），實際季由新到舊排 1、2、3…；補進新一季時整欄自動重排。</t>
        </is>
      </c>
    </row>
    <row r="129">
      <c r="A129" s="4" t="inlineStr">
        <is>
          <t>每一欄的用途：</t>
        </is>
      </c>
    </row>
    <row r="130">
      <c r="A130" s="75" t="inlineStr">
        <is>
          <t>A  ticker</t>
        </is>
      </c>
      <c r="C130" s="27" t="inlineStr">
        <is>
          <t>鍵值</t>
        </is>
      </c>
    </row>
    <row r="131">
      <c r="A131" s="75" t="inlineStr">
        <is>
          <t>B  period</t>
        </is>
      </c>
      <c r="C131" s="27" t="inlineStr">
        <is>
          <t>鍵值</t>
        </is>
      </c>
    </row>
    <row r="132">
      <c r="A132" s="75" t="inlineStr">
        <is>
          <t>C  fy</t>
        </is>
      </c>
      <c r="C132" s="27" t="inlineStr">
        <is>
          <t>鍵值</t>
        </is>
      </c>
    </row>
    <row r="133">
      <c r="A133" s="75" t="inlineStr">
        <is>
          <t>D  fq</t>
        </is>
      </c>
      <c r="C133" s="27" t="inlineStr">
        <is>
          <t>鍵值</t>
        </is>
      </c>
    </row>
    <row r="134">
      <c r="A134" s="75" t="inlineStr">
        <is>
          <t>E  period_end</t>
        </is>
      </c>
      <c r="C134" s="27" t="inlineStr">
        <is>
          <t>鍵值</t>
        </is>
      </c>
    </row>
    <row r="135">
      <c r="A135" s="75" t="inlineStr">
        <is>
          <t>F  is_est</t>
        </is>
      </c>
      <c r="C135" s="27" t="inlineStr">
        <is>
          <t>治理</t>
        </is>
      </c>
    </row>
    <row r="136">
      <c r="A136" s="75" t="inlineStr">
        <is>
          <t>G  est_source</t>
        </is>
      </c>
      <c r="C136" s="27" t="inlineStr">
        <is>
          <t>治理</t>
        </is>
      </c>
    </row>
    <row r="137">
      <c r="A137" s="75" t="inlineStr">
        <is>
          <t>H  eps_basis</t>
        </is>
      </c>
      <c r="C137" s="27" t="inlineStr">
        <is>
          <t>EPS 口徑：street=市場口徑，gaap=降級</t>
        </is>
      </c>
    </row>
    <row r="138">
      <c r="A138" s="75" t="inlineStr">
        <is>
          <t>I  revenue ($M)</t>
        </is>
      </c>
      <c r="C138" s="27" t="inlineStr">
        <is>
          <t>營收成長率 · 毛利率分母</t>
        </is>
      </c>
    </row>
    <row r="139">
      <c r="A139" s="75" t="inlineStr">
        <is>
          <t>J  gross_profit ($M)</t>
        </is>
      </c>
      <c r="C139" s="27" t="inlineStr">
        <is>
          <t>毛利率分子</t>
        </is>
      </c>
    </row>
    <row r="140">
      <c r="A140" s="75" t="inlineStr">
        <is>
          <t>K  eps_diluted_adj</t>
        </is>
      </c>
      <c r="C140" s="27" t="inlineStr">
        <is>
          <t>EPS · PE · PEG · EPS成長率</t>
        </is>
      </c>
    </row>
    <row r="141">
      <c r="A141" s="75" t="inlineStr">
        <is>
          <t>L  shares_diluted (M)</t>
        </is>
      </c>
      <c r="C141" s="27" t="inlineStr">
        <is>
          <t>反推 ROE 淨利 · ROE_F 的 BVPS</t>
        </is>
      </c>
    </row>
    <row r="142">
      <c r="A142" s="75" t="inlineStr">
        <is>
          <t>M  total_equity ($M)</t>
        </is>
      </c>
      <c r="C142" s="27" t="inlineStr">
        <is>
          <t>ROE 分母</t>
        </is>
      </c>
    </row>
    <row r="143">
      <c r="A143" s="75" t="inlineStr">
        <is>
          <t>N  dps (每股配息)</t>
        </is>
      </c>
      <c r="C143" s="27" t="inlineStr">
        <is>
          <t>殖利率</t>
        </is>
      </c>
    </row>
    <row r="144">
      <c r="A144" s="75" t="inlineStr">
        <is>
          <t>O  price_at_end</t>
        </is>
      </c>
      <c r="C144" s="27" t="inlineStr">
        <is>
          <t>歷史 PE · PEG_T · 歷史殖利率</t>
        </is>
      </c>
    </row>
    <row r="146">
      <c r="A146" s="27" t="inlineStr">
        <is>
          <t>示範資料為合成數字，非真實財報。</t>
        </is>
      </c>
    </row>
  </sheetData>
  <autoFilter ref="A1:Q12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2" customWidth="1" min="4" max="4"/>
    <col width="11" customWidth="1" min="5" max="5"/>
    <col width="12" customWidth="1" min="6" max="6"/>
  </cols>
  <sheetData>
    <row r="1" ht="32" customHeight="1">
      <c r="A1" s="19" t="inlineStr">
        <is>
          <t>ticker</t>
        </is>
      </c>
      <c r="B1" s="19" t="inlineStr">
        <is>
          <t>eps_f1</t>
        </is>
      </c>
      <c r="C1" s="19" t="inlineStr">
        <is>
          <t>eps_f2</t>
        </is>
      </c>
      <c r="D1" s="19" t="inlineStr">
        <is>
          <t>fy1_end</t>
        </is>
      </c>
      <c r="E1" s="19" t="inlineStr">
        <is>
          <t>n_analysts</t>
        </is>
      </c>
      <c r="F1" s="19" t="inlineStr">
        <is>
          <t>as_of</t>
        </is>
      </c>
    </row>
    <row r="2">
      <c r="A2" s="69" t="inlineStr">
        <is>
          <t>AAPL</t>
        </is>
      </c>
      <c r="B2" s="73" t="n">
        <v>8.81249</v>
      </c>
      <c r="C2" s="73" t="n">
        <v>9.531269999999999</v>
      </c>
      <c r="D2" s="71" t="n">
        <v>46295</v>
      </c>
      <c r="E2" s="70" t="n">
        <v>28</v>
      </c>
      <c r="F2" s="71" t="n">
        <v>46258</v>
      </c>
    </row>
    <row r="3">
      <c r="A3" s="69" t="inlineStr">
        <is>
          <t>MSFT</t>
        </is>
      </c>
      <c r="B3" s="73" t="n">
        <v>19.72885</v>
      </c>
      <c r="C3" s="73" t="n">
        <v>23.57328</v>
      </c>
      <c r="D3" s="71" t="n">
        <v>46568</v>
      </c>
      <c r="E3" s="70" t="n">
        <v>26</v>
      </c>
      <c r="F3" s="71" t="n">
        <v>46258</v>
      </c>
    </row>
    <row r="4">
      <c r="A4" s="69" t="inlineStr">
        <is>
          <t>NVDA</t>
        </is>
      </c>
      <c r="B4" s="73" t="n">
        <v>9.008979999999999</v>
      </c>
      <c r="C4" s="73" t="n">
        <v>13.02727</v>
      </c>
      <c r="D4" s="71" t="n">
        <v>46418</v>
      </c>
      <c r="E4" s="70" t="n">
        <v>41</v>
      </c>
      <c r="F4" s="71" t="n">
        <v>46258</v>
      </c>
    </row>
    <row r="5">
      <c r="A5" s="69" t="inlineStr">
        <is>
          <t>COST</t>
        </is>
      </c>
      <c r="B5" s="73" t="n">
        <v>20.59016</v>
      </c>
      <c r="C5" s="73" t="n">
        <v>22.70401</v>
      </c>
      <c r="D5" s="71" t="n">
        <v>46265</v>
      </c>
      <c r="E5" s="70" t="n">
        <v>28</v>
      </c>
      <c r="F5" s="71" t="n">
        <v>46258</v>
      </c>
    </row>
    <row r="6">
      <c r="A6" s="69" t="inlineStr">
        <is>
          <t>ADBE</t>
        </is>
      </c>
      <c r="B6" s="73" t="n">
        <v>24.41188</v>
      </c>
      <c r="C6" s="73" t="n">
        <v>27.49039</v>
      </c>
      <c r="D6" s="71" t="n">
        <v>46356</v>
      </c>
      <c r="E6" s="70" t="n">
        <v>29</v>
      </c>
      <c r="F6" s="71" t="n">
        <v>46258</v>
      </c>
    </row>
    <row r="8">
      <c r="A8" s="27" t="inlineStr">
        <is>
          <t>eps_f1＝本財年共識、eps_f2＝下一財年共識，皆為 Adjusted 口徑（與 EPS_TTM 同口徑）。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2" customWidth="1" min="5" max="5"/>
  </cols>
  <sheetData>
    <row r="1" ht="32" customHeight="1">
      <c r="A1" s="19" t="inlineStr">
        <is>
          <t>ticker</t>
        </is>
      </c>
      <c r="B1" s="19" t="inlineStr">
        <is>
          <t>price</t>
        </is>
      </c>
      <c r="C1" s="19" t="inlineStr">
        <is>
          <t>price_date</t>
        </is>
      </c>
      <c r="D1" s="19" t="inlineStr">
        <is>
          <t>next_earnings</t>
        </is>
      </c>
      <c r="E1" s="19" t="inlineStr">
        <is>
          <t>as_of</t>
        </is>
      </c>
    </row>
    <row r="2">
      <c r="A2" s="69" t="inlineStr">
        <is>
          <t>AAPL</t>
        </is>
      </c>
      <c r="B2" s="73" t="n">
        <v>312.989990234375</v>
      </c>
      <c r="C2" s="71" t="n">
        <v>46258</v>
      </c>
      <c r="D2" s="71" t="n">
        <v>46324</v>
      </c>
      <c r="E2" s="71" t="n">
        <v>46258</v>
      </c>
    </row>
    <row r="3">
      <c r="A3" s="69" t="inlineStr">
        <is>
          <t>MSFT</t>
        </is>
      </c>
      <c r="B3" s="73" t="n">
        <v>488.3500061035156</v>
      </c>
      <c r="C3" s="71" t="n">
        <v>46258</v>
      </c>
      <c r="D3" s="71" t="n">
        <v>46323</v>
      </c>
      <c r="E3" s="71" t="n">
        <v>46258</v>
      </c>
    </row>
    <row r="4">
      <c r="A4" s="69" t="inlineStr">
        <is>
          <t>NVDA</t>
        </is>
      </c>
      <c r="B4" s="73" t="n">
        <v>209.6799926757812</v>
      </c>
      <c r="C4" s="71" t="n">
        <v>46258</v>
      </c>
      <c r="D4" s="71" t="n">
        <v>46260</v>
      </c>
      <c r="E4" s="71" t="n">
        <v>46258</v>
      </c>
    </row>
    <row r="5">
      <c r="A5" s="69" t="inlineStr">
        <is>
          <t>COST</t>
        </is>
      </c>
      <c r="B5" s="73" t="n">
        <v>962.8200073242188</v>
      </c>
      <c r="C5" s="71" t="n">
        <v>46258</v>
      </c>
      <c r="D5" s="71" t="n">
        <v>46289</v>
      </c>
      <c r="E5" s="71" t="n">
        <v>46258</v>
      </c>
    </row>
    <row r="6">
      <c r="A6" s="69" t="inlineStr">
        <is>
          <t>ADBE</t>
        </is>
      </c>
      <c r="B6" s="73" t="n">
        <v>278.4100036621094</v>
      </c>
      <c r="C6" s="71" t="n">
        <v>46258</v>
      </c>
      <c r="D6" s="71" t="n">
        <v>46275</v>
      </c>
      <c r="E6" s="71" t="n">
        <v>46258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S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8" customWidth="1" min="3" max="3"/>
    <col width="9" customWidth="1" min="4" max="4"/>
    <col width="12" customWidth="1" min="5" max="5"/>
    <col width="12" customWidth="1" min="6" max="6"/>
    <col width="12" customWidth="1" min="7" max="7"/>
    <col width="10" customWidth="1" min="8" max="8"/>
    <col width="11" customWidth="1" min="9" max="9"/>
    <col width="9" customWidth="1" min="10" max="10"/>
    <col width="10" customWidth="1" min="11" max="11"/>
    <col width="9" customWidth="1" min="12" max="12"/>
    <col width="10" customWidth="1" min="13" max="13"/>
    <col width="8" customWidth="1" min="14" max="14"/>
    <col width="8" customWidth="1" min="15" max="15"/>
    <col width="10" customWidth="1" min="16" max="16"/>
    <col width="9" customWidth="1" min="17" max="17"/>
    <col width="10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1" customWidth="1" min="26" max="26"/>
    <col width="12" customWidth="1" min="27" max="27"/>
    <col width="15" customWidth="1" min="28" max="28"/>
    <col width="12" customWidth="1" min="29" max="29"/>
    <col width="10" customWidth="1" min="30" max="30"/>
    <col width="13" customWidth="1" min="31" max="31"/>
    <col width="10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0" customWidth="1" min="38" max="38"/>
    <col width="12" customWidth="1" min="39" max="39"/>
    <col width="11" customWidth="1" min="40" max="40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</cols>
  <sheetData>
    <row r="1" ht="32" customHeight="1">
      <c r="A1" s="19" t="inlineStr">
        <is>
          <t>ticker</t>
        </is>
      </c>
      <c r="B1" s="19" t="inlineStr">
        <is>
          <t>公司</t>
        </is>
      </c>
      <c r="C1" s="19" t="inlineStr">
        <is>
          <t>等級</t>
        </is>
      </c>
      <c r="D1" s="19" t="inlineStr">
        <is>
          <t>股價</t>
        </is>
      </c>
      <c r="E1" s="19" t="inlineStr">
        <is>
          <t>Rev_TTM($M)</t>
        </is>
      </c>
      <c r="F1" s="19" t="inlineStr">
        <is>
          <t>EPS_TTM(Adj)</t>
        </is>
      </c>
      <c r="G1" s="19" t="inlineStr">
        <is>
          <t>EPS_TTM_fwd</t>
        </is>
      </c>
      <c r="H1" s="19" t="inlineStr">
        <is>
          <t>EPS_NTM</t>
        </is>
      </c>
      <c r="I1" s="19" t="inlineStr">
        <is>
          <t>EPS_TTM_YoY</t>
        </is>
      </c>
      <c r="J1" s="19" t="inlineStr">
        <is>
          <t>PE_TTM</t>
        </is>
      </c>
      <c r="K1" s="19" t="inlineStr">
        <is>
          <t>PE_TTM_fwd</t>
        </is>
      </c>
      <c r="L1" s="19" t="inlineStr">
        <is>
          <t>PE_NTM</t>
        </is>
      </c>
      <c r="M1" s="19" t="inlineStr">
        <is>
          <t>EPS成長_F</t>
        </is>
      </c>
      <c r="N1" s="19" t="inlineStr">
        <is>
          <t>PEG_T</t>
        </is>
      </c>
      <c r="O1" s="19" t="inlineStr">
        <is>
          <t>PEG_F</t>
        </is>
      </c>
      <c r="P1" s="19" t="inlineStr">
        <is>
          <t>DPS_TTM</t>
        </is>
      </c>
      <c r="Q1" s="19" t="inlineStr">
        <is>
          <t>殖利率</t>
        </is>
      </c>
      <c r="R1" s="19" t="inlineStr">
        <is>
          <t>配息YoY</t>
        </is>
      </c>
      <c r="S1" s="19" t="inlineStr">
        <is>
          <t>營收YoY_最新季</t>
        </is>
      </c>
      <c r="T1" s="19" t="inlineStr">
        <is>
          <t>營收QoQ_最新季</t>
        </is>
      </c>
      <c r="U1" s="19" t="inlineStr">
        <is>
          <t>營收QoQ_上一季</t>
        </is>
      </c>
      <c r="V1" s="19" t="inlineStr">
        <is>
          <t>營收加速度(pp)</t>
        </is>
      </c>
      <c r="W1" s="19" t="inlineStr">
        <is>
          <t>動能判讀</t>
        </is>
      </c>
      <c r="X1" s="19" t="inlineStr">
        <is>
          <t>同期加速度(pp)</t>
        </is>
      </c>
      <c r="Y1" s="19" t="inlineStr">
        <is>
          <t>EPS_YoY_最新季</t>
        </is>
      </c>
      <c r="Z1" s="19" t="inlineStr">
        <is>
          <t>毛利率_TTM</t>
        </is>
      </c>
      <c r="AA1" s="19" t="inlineStr">
        <is>
          <t>毛利率_5年平均</t>
        </is>
      </c>
      <c r="AB1" s="19" t="inlineStr">
        <is>
          <t>GM vs 5年平均(bps)</t>
        </is>
      </c>
      <c r="AC1" s="19" t="inlineStr">
        <is>
          <t>ΔGM_YoY(bps)</t>
        </is>
      </c>
      <c r="AD1" s="19" t="inlineStr">
        <is>
          <t>每股淨值</t>
        </is>
      </c>
      <c r="AE1" s="19" t="inlineStr">
        <is>
          <t>淨利_TTM($M)</t>
        </is>
      </c>
      <c r="AF1" s="19" t="inlineStr">
        <is>
          <t>ROE_TTM</t>
        </is>
      </c>
      <c r="AG1" s="19" t="inlineStr">
        <is>
          <t>ROE_5年平均</t>
        </is>
      </c>
      <c r="AH1" s="19" t="inlineStr">
        <is>
          <t>ROE_Forward</t>
        </is>
      </c>
      <c r="AI1" s="19" t="inlineStr">
        <is>
          <t>當季EPS預估</t>
        </is>
      </c>
      <c r="AJ1" s="19" t="inlineStr">
        <is>
          <t>預估期別</t>
        </is>
      </c>
      <c r="AK1" s="19" t="inlineStr">
        <is>
          <t>預估來源</t>
        </is>
      </c>
      <c r="AL1" s="19" t="inlineStr">
        <is>
          <t>分析師家數</t>
        </is>
      </c>
      <c r="AM1" s="19" t="inlineStr">
        <is>
          <t>下次財報日</t>
        </is>
      </c>
      <c r="AN1" s="19" t="inlineStr">
        <is>
          <t>資料日期</t>
        </is>
      </c>
      <c r="AO1" s="19" t="inlineStr">
        <is>
          <t>ROE錨點_seq1</t>
        </is>
      </c>
      <c r="AP1" s="19" t="inlineStr">
        <is>
          <t>ROE錨點_seq5</t>
        </is>
      </c>
      <c r="AQ1" s="19" t="inlineStr">
        <is>
          <t>ROE錨點_seq9</t>
        </is>
      </c>
      <c r="AR1" s="19" t="inlineStr">
        <is>
          <t>ROE錨點_seq13</t>
        </is>
      </c>
      <c r="AS1" s="19" t="inlineStr">
        <is>
          <t>ROE錨點_seq17</t>
        </is>
      </c>
    </row>
    <row r="2">
      <c r="A2" s="20">
        <f>IF(Tickers!A2="","",Tickers!A2)</f>
        <v/>
      </c>
      <c r="B2" s="62">
        <f>IF($A2="","",IFERROR(INDEX(Tickers!$B$2:$B$100,MATCH($A2,Tickers!$A$2:$A$100,0)),""))</f>
        <v/>
      </c>
      <c r="C2" s="62">
        <f>IF($A2="","",IFERROR(INDEX(Tickers!$D$2:$D$100,MATCH($A2,Tickers!$A$2:$A$100,0)),""))</f>
        <v/>
      </c>
      <c r="D2" s="51">
        <f>IF($A2="","",IFERROR(INDEX(Raw_Price!$B$2:$B$100,MATCH($A2,Raw_Price!$A$2:$A$100,0)),""))</f>
        <v/>
      </c>
      <c r="E2" s="48">
        <f>IF($A2="","",IFERROR(SUMIFS(Raw_Q!$I$2:$I$600,Raw_Q!$A$2:$A$600,$A2,Raw_Q!$P$2:$P$600,"&gt;=1",Raw_Q!$P$2:$P$600,"&lt;=4"),""))</f>
        <v/>
      </c>
      <c r="F2" s="51">
        <f>IF($A2="","",IFERROR(SUMIFS(Raw_Q!$K$2:$K$600,Raw_Q!$A$2:$A$600,$A2,Raw_Q!$P$2:$P$600,"&gt;=1",Raw_Q!$P$2:$P$600,"&lt;=4"),""))</f>
        <v/>
      </c>
      <c r="G2" s="51">
        <f>IF($A2="","",IFERROR(SUMIFS(Raw_Q!$K$2:$K$600,Raw_Q!$A$2:$A$600,$A2,Raw_Q!$P$2:$P$600,"&gt;=0",Raw_Q!$P$2:$P$600,"&lt;=3"),""))</f>
        <v/>
      </c>
      <c r="H2" s="51">
        <f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/>
      </c>
      <c r="I2" s="49">
        <f>IF($A2="","",IFERROR(SUMIFS(Raw_Q!$K$2:$K$600,Raw_Q!$A$2:$A$600,$A2,Raw_Q!$P$2:$P$600,"&gt;=1",Raw_Q!$P$2:$P$600,"&lt;=4")/SUMIFS(Raw_Q!$K$2:$K$600,Raw_Q!$A$2:$A$600,$A2,Raw_Q!$P$2:$P$600,"&gt;=5",Raw_Q!$P$2:$P$600,"&lt;=8")-1,""))</f>
        <v/>
      </c>
      <c r="J2" s="52">
        <f>IF($A2="","",IFERROR(IF(F2&lt;=0,"N/M",D2/F2),"N/M"))</f>
        <v/>
      </c>
      <c r="K2" s="52">
        <f>IF($A2="","",IFERROR(IF(G2&lt;=0,"N/M",D2/G2),"N/M"))</f>
        <v/>
      </c>
      <c r="L2" s="52">
        <f>IF($A2="","",IFERROR(IF(H2&lt;=0,"N/M",D2/H2),"N/M"))</f>
        <v/>
      </c>
      <c r="M2" s="49">
        <f>IF($A2="","",IFERROR(INDEX(Raw_Est!$C$2:$C$100,MATCH($A2,Raw_Est!$A$2:$A$100,0))/INDEX(Raw_Est!$B$2:$B$100,MATCH($A2,Raw_Est!$A$2:$A$100,0))-1,""))</f>
        <v/>
      </c>
      <c r="N2" s="51">
        <f>IF($A2="","",IFERROR(IF(OR(NOT(ISNUMBER(J2)),I2&lt;Config!$B$6),"N/M",J2/(I2*100)),"N/M"))</f>
        <v/>
      </c>
      <c r="O2" s="51">
        <f>IF($A2="","",IFERROR(IF(OR(NOT(ISNUMBER(L2)),M2&lt;Config!$B$6),"N/M",L2/(M2*100)),"N/M"))</f>
        <v/>
      </c>
      <c r="P2" s="51">
        <f>IF($A2="","",IFERROR(SUMIFS(Raw_Q!$N$2:$N$600,Raw_Q!$A$2:$A$600,$A2,Raw_Q!$P$2:$P$600,"&gt;=1",Raw_Q!$P$2:$P$600,"&lt;=4"),""))</f>
        <v/>
      </c>
      <c r="Q2" s="49">
        <f>IF($A2="","",IFERROR(IF(P2=0,"不配息",P2/D2),""))</f>
        <v/>
      </c>
      <c r="R2" s="49">
        <f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/>
      </c>
      <c r="S2" s="49">
        <f>IF($A2="","",IFERROR(SUMIFS(Raw_Q!$I$2:$I$600,Raw_Q!$A$2:$A$600,$A2,Raw_Q!$P$2:$P$600,1)/SUMIFS(Raw_Q!$I$2:$I$600,Raw_Q!$A$2:$A$600,$A2,Raw_Q!$P$2:$P$600,5)-1,""))</f>
        <v/>
      </c>
      <c r="T2" s="49">
        <f>IF($A2="","",IFERROR(SUMIFS(Raw_Q!$I$2:$I$600,Raw_Q!$A$2:$A$600,$A2,Raw_Q!$P$2:$P$600,1)/SUMIFS(Raw_Q!$I$2:$I$600,Raw_Q!$A$2:$A$600,$A2,Raw_Q!$P$2:$P$600,2)-1,""))</f>
        <v/>
      </c>
      <c r="U2" s="49">
        <f>IF($A2="","",IFERROR(SUMIFS(Raw_Q!$I$2:$I$600,Raw_Q!$A$2:$A$600,$A2,Raw_Q!$P$2:$P$600,2)/SUMIFS(Raw_Q!$I$2:$I$600,Raw_Q!$A$2:$A$600,$A2,Raw_Q!$P$2:$P$600,3)-1,""))</f>
        <v/>
      </c>
      <c r="V2" s="64">
        <f>IF($A2="","",IFERROR((T2-U2)*100,""))</f>
        <v/>
      </c>
      <c r="W2" s="62">
        <f>IF($A2="","",IFERROR(IF(NOT(ISNUMBER(T2)),"",IF(T2&gt;0,IF(V2&gt;0,"成長且加速","成長但減速"),IF(V2&gt;0,"衰退但收斂","衰退且惡化"))),""))</f>
        <v/>
      </c>
      <c r="X2" s="64">
        <f>IF($A2="","",IFERROR((T2-(SUMIFS(Raw_Q!$I$2:$I$600,Raw_Q!$A$2:$A$600,$A2,Raw_Q!$P$2:$P$600,5)/SUMIFS(Raw_Q!$I$2:$I$600,Raw_Q!$A$2:$A$600,$A2,Raw_Q!$P$2:$P$600,6)-1))*100,""))</f>
        <v/>
      </c>
      <c r="Y2" s="49">
        <f>IF($A2="","",IFERROR(SUMIFS(Raw_Q!$K$2:$K$600,Raw_Q!$A$2:$A$600,$A2,Raw_Q!$P$2:$P$600,1)/SUMIFS(Raw_Q!$K$2:$K$600,Raw_Q!$A$2:$A$600,$A2,Raw_Q!$P$2:$P$600,5)-1,""))</f>
        <v/>
      </c>
      <c r="Z2" s="49">
        <f>IF($A2="","",IFERROR(SUMIFS(Raw_Q!$J$2:$J$600,Raw_Q!$A$2:$A$600,$A2,Raw_Q!$P$2:$P$600,"&gt;=1",Raw_Q!$P$2:$P$600,"&lt;=4")/E2,""))</f>
        <v/>
      </c>
      <c r="AA2" s="49">
        <f>IF($A2="","",IFERROR(SUMIFS(Raw_Q!$J$2:$J$600,Raw_Q!$A$2:$A$600,$A2,Raw_Q!$P$2:$P$600,"&gt;=1",Raw_Q!$P$2:$P$600,"&lt;="&amp;Config!$B$5)/SUMIFS(Raw_Q!$I$2:$I$600,Raw_Q!$A$2:$A$600,$A2,Raw_Q!$P$2:$P$600,"&gt;=1",Raw_Q!$P$2:$P$600,"&lt;="&amp;Config!$B$5),""))</f>
        <v/>
      </c>
      <c r="AB2" s="50">
        <f>IF($A2="","",IFERROR((Z2-AA2)*10000,""))</f>
        <v/>
      </c>
      <c r="AC2" s="50">
        <f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/>
      </c>
      <c r="AD2" s="51">
        <f>IF($A2="","",IFERROR(SUMIFS(Raw_Q!$M$2:$M$600,Raw_Q!$A$2:$A$600,$A2,Raw_Q!$P$2:$P$600,1)/SUMIFS(Raw_Q!$L$2:$L$600,Raw_Q!$A$2:$A$600,$A2,Raw_Q!$P$2:$P$600,1),""))</f>
        <v/>
      </c>
      <c r="AE2" s="48">
        <f>IF($A2="","",IFERROR(SUMPRODUCT((Raw_Q!$A$2:$A$600=$A2)*(Raw_Q!$P$2:$P$600&gt;=1)*(Raw_Q!$P$2:$P$600&lt;=4)*Raw_Q!$K$2:$K$600*Raw_Q!$L$2:$L$600),""))</f>
        <v/>
      </c>
      <c r="AF2" s="49">
        <f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/>
      </c>
      <c r="AG2" s="49">
        <f>IF($A2="","",IFERROR(AVERAGE(AO2:AS2),""))</f>
        <v/>
      </c>
      <c r="AH2" s="49">
        <f>IF($A2="","",IFERROR(IF(AD2&lt;=0,"N/M",INDEX(Raw_Est!$B$2:$B$100,MATCH($A2,Raw_Est!$A$2:$A$100,0))/AD2),"N/M"))</f>
        <v/>
      </c>
      <c r="AI2" s="51">
        <f>IF($A2="","",IFERROR(SUMIFS(Raw_Q!$K$2:$K$600,Raw_Q!$A$2:$A$600,$A2,Raw_Q!$P$2:$P$600,0),""))</f>
        <v/>
      </c>
      <c r="AJ2" s="62">
        <f>IF($A2="","",IFERROR(INDEX(Raw_Q!$B$2:$B$600,MATCH($A2&amp;"|"&amp;0,Raw_Q!$Q$2:$Q$600,0)),""))</f>
        <v/>
      </c>
      <c r="AK2" s="62">
        <f>IF($A2="","",IFERROR(INDEX(Raw_Q!$G$2:$G$600,MATCH($A2&amp;"|"&amp;0,Raw_Q!$Q$2:$Q$600,0)),""))</f>
        <v/>
      </c>
      <c r="AL2" s="47">
        <f>IF($A2="","",IFERROR(INDEX(Raw_Est!$E$2:$E$100,MATCH($A2,Raw_Est!$A$2:$A$100,0)),""))</f>
        <v/>
      </c>
      <c r="AM2" s="63">
        <f>IF($A2="","",IFERROR(INDEX(Raw_Price!$D$2:$D$100,MATCH($A2,Raw_Price!$A$2:$A$100,0)),""))</f>
        <v/>
      </c>
      <c r="AN2" s="63">
        <f>IF($A2="","",IFERROR(INDEX(Raw_Price!$E$2:$E$100,MATCH($A2,Raw_Price!$A$2:$A$100,0)),""))</f>
        <v/>
      </c>
      <c r="AO2" s="49">
        <f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/>
      </c>
      <c r="AP2" s="49">
        <f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/>
      </c>
      <c r="AQ2" s="49">
        <f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/>
      </c>
      <c r="AR2" s="49">
        <f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/>
      </c>
      <c r="AS2" s="49">
        <f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/>
      </c>
    </row>
    <row r="3">
      <c r="A3" s="20">
        <f>IF(Tickers!A3="","",Tickers!A3)</f>
        <v/>
      </c>
      <c r="B3" s="62">
        <f>IF($A3="","",IFERROR(INDEX(Tickers!$B$2:$B$100,MATCH($A3,Tickers!$A$2:$A$100,0)),""))</f>
        <v/>
      </c>
      <c r="C3" s="62">
        <f>IF($A3="","",IFERROR(INDEX(Tickers!$D$2:$D$100,MATCH($A3,Tickers!$A$2:$A$100,0)),""))</f>
        <v/>
      </c>
      <c r="D3" s="51">
        <f>IF($A3="","",IFERROR(INDEX(Raw_Price!$B$2:$B$100,MATCH($A3,Raw_Price!$A$2:$A$100,0)),""))</f>
        <v/>
      </c>
      <c r="E3" s="48">
        <f>IF($A3="","",IFERROR(SUMIFS(Raw_Q!$I$2:$I$600,Raw_Q!$A$2:$A$600,$A3,Raw_Q!$P$2:$P$600,"&gt;=1",Raw_Q!$P$2:$P$600,"&lt;=4"),""))</f>
        <v/>
      </c>
      <c r="F3" s="51">
        <f>IF($A3="","",IFERROR(SUMIFS(Raw_Q!$K$2:$K$600,Raw_Q!$A$2:$A$600,$A3,Raw_Q!$P$2:$P$600,"&gt;=1",Raw_Q!$P$2:$P$600,"&lt;=4"),""))</f>
        <v/>
      </c>
      <c r="G3" s="51">
        <f>IF($A3="","",IFERROR(SUMIFS(Raw_Q!$K$2:$K$600,Raw_Q!$A$2:$A$600,$A3,Raw_Q!$P$2:$P$600,"&gt;=0",Raw_Q!$P$2:$P$600,"&lt;=3"),""))</f>
        <v/>
      </c>
      <c r="H3" s="51">
        <f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/>
      </c>
      <c r="I3" s="49">
        <f>IF($A3="","",IFERROR(SUMIFS(Raw_Q!$K$2:$K$600,Raw_Q!$A$2:$A$600,$A3,Raw_Q!$P$2:$P$600,"&gt;=1",Raw_Q!$P$2:$P$600,"&lt;=4")/SUMIFS(Raw_Q!$K$2:$K$600,Raw_Q!$A$2:$A$600,$A3,Raw_Q!$P$2:$P$600,"&gt;=5",Raw_Q!$P$2:$P$600,"&lt;=8")-1,""))</f>
        <v/>
      </c>
      <c r="J3" s="52">
        <f>IF($A3="","",IFERROR(IF(F3&lt;=0,"N/M",D3/F3),"N/M"))</f>
        <v/>
      </c>
      <c r="K3" s="52">
        <f>IF($A3="","",IFERROR(IF(G3&lt;=0,"N/M",D3/G3),"N/M"))</f>
        <v/>
      </c>
      <c r="L3" s="52">
        <f>IF($A3="","",IFERROR(IF(H3&lt;=0,"N/M",D3/H3),"N/M"))</f>
        <v/>
      </c>
      <c r="M3" s="49">
        <f>IF($A3="","",IFERROR(INDEX(Raw_Est!$C$2:$C$100,MATCH($A3,Raw_Est!$A$2:$A$100,0))/INDEX(Raw_Est!$B$2:$B$100,MATCH($A3,Raw_Est!$A$2:$A$100,0))-1,""))</f>
        <v/>
      </c>
      <c r="N3" s="51">
        <f>IF($A3="","",IFERROR(IF(OR(NOT(ISNUMBER(J3)),I3&lt;Config!$B$6),"N/M",J3/(I3*100)),"N/M"))</f>
        <v/>
      </c>
      <c r="O3" s="51">
        <f>IF($A3="","",IFERROR(IF(OR(NOT(ISNUMBER(L3)),M3&lt;Config!$B$6),"N/M",L3/(M3*100)),"N/M"))</f>
        <v/>
      </c>
      <c r="P3" s="51">
        <f>IF($A3="","",IFERROR(SUMIFS(Raw_Q!$N$2:$N$600,Raw_Q!$A$2:$A$600,$A3,Raw_Q!$P$2:$P$600,"&gt;=1",Raw_Q!$P$2:$P$600,"&lt;=4"),""))</f>
        <v/>
      </c>
      <c r="Q3" s="49">
        <f>IF($A3="","",IFERROR(IF(P3=0,"不配息",P3/D3),""))</f>
        <v/>
      </c>
      <c r="R3" s="49">
        <f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/>
      </c>
      <c r="S3" s="49">
        <f>IF($A3="","",IFERROR(SUMIFS(Raw_Q!$I$2:$I$600,Raw_Q!$A$2:$A$600,$A3,Raw_Q!$P$2:$P$600,1)/SUMIFS(Raw_Q!$I$2:$I$600,Raw_Q!$A$2:$A$600,$A3,Raw_Q!$P$2:$P$600,5)-1,""))</f>
        <v/>
      </c>
      <c r="T3" s="49">
        <f>IF($A3="","",IFERROR(SUMIFS(Raw_Q!$I$2:$I$600,Raw_Q!$A$2:$A$600,$A3,Raw_Q!$P$2:$P$600,1)/SUMIFS(Raw_Q!$I$2:$I$600,Raw_Q!$A$2:$A$600,$A3,Raw_Q!$P$2:$P$600,2)-1,""))</f>
        <v/>
      </c>
      <c r="U3" s="49">
        <f>IF($A3="","",IFERROR(SUMIFS(Raw_Q!$I$2:$I$600,Raw_Q!$A$2:$A$600,$A3,Raw_Q!$P$2:$P$600,2)/SUMIFS(Raw_Q!$I$2:$I$600,Raw_Q!$A$2:$A$600,$A3,Raw_Q!$P$2:$P$600,3)-1,""))</f>
        <v/>
      </c>
      <c r="V3" s="64">
        <f>IF($A3="","",IFERROR((T3-U3)*100,""))</f>
        <v/>
      </c>
      <c r="W3" s="62">
        <f>IF($A3="","",IFERROR(IF(NOT(ISNUMBER(T3)),"",IF(T3&gt;0,IF(V3&gt;0,"成長且加速","成長但減速"),IF(V3&gt;0,"衰退但收斂","衰退且惡化"))),""))</f>
        <v/>
      </c>
      <c r="X3" s="64">
        <f>IF($A3="","",IFERROR((T3-(SUMIFS(Raw_Q!$I$2:$I$600,Raw_Q!$A$2:$A$600,$A3,Raw_Q!$P$2:$P$600,5)/SUMIFS(Raw_Q!$I$2:$I$600,Raw_Q!$A$2:$A$600,$A3,Raw_Q!$P$2:$P$600,6)-1))*100,""))</f>
        <v/>
      </c>
      <c r="Y3" s="49">
        <f>IF($A3="","",IFERROR(SUMIFS(Raw_Q!$K$2:$K$600,Raw_Q!$A$2:$A$600,$A3,Raw_Q!$P$2:$P$600,1)/SUMIFS(Raw_Q!$K$2:$K$600,Raw_Q!$A$2:$A$600,$A3,Raw_Q!$P$2:$P$600,5)-1,""))</f>
        <v/>
      </c>
      <c r="Z3" s="49">
        <f>IF($A3="","",IFERROR(SUMIFS(Raw_Q!$J$2:$J$600,Raw_Q!$A$2:$A$600,$A3,Raw_Q!$P$2:$P$600,"&gt;=1",Raw_Q!$P$2:$P$600,"&lt;=4")/E3,""))</f>
        <v/>
      </c>
      <c r="AA3" s="49">
        <f>IF($A3="","",IFERROR(SUMIFS(Raw_Q!$J$2:$J$600,Raw_Q!$A$2:$A$600,$A3,Raw_Q!$P$2:$P$600,"&gt;=1",Raw_Q!$P$2:$P$600,"&lt;="&amp;Config!$B$5)/SUMIFS(Raw_Q!$I$2:$I$600,Raw_Q!$A$2:$A$600,$A3,Raw_Q!$P$2:$P$600,"&gt;=1",Raw_Q!$P$2:$P$600,"&lt;="&amp;Config!$B$5),""))</f>
        <v/>
      </c>
      <c r="AB3" s="50">
        <f>IF($A3="","",IFERROR((Z3-AA3)*10000,""))</f>
        <v/>
      </c>
      <c r="AC3" s="50">
        <f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/>
      </c>
      <c r="AD3" s="51">
        <f>IF($A3="","",IFERROR(SUMIFS(Raw_Q!$M$2:$M$600,Raw_Q!$A$2:$A$600,$A3,Raw_Q!$P$2:$P$600,1)/SUMIFS(Raw_Q!$L$2:$L$600,Raw_Q!$A$2:$A$600,$A3,Raw_Q!$P$2:$P$600,1),""))</f>
        <v/>
      </c>
      <c r="AE3" s="48">
        <f>IF($A3="","",IFERROR(SUMPRODUCT((Raw_Q!$A$2:$A$600=$A3)*(Raw_Q!$P$2:$P$600&gt;=1)*(Raw_Q!$P$2:$P$600&lt;=4)*Raw_Q!$K$2:$K$600*Raw_Q!$L$2:$L$600),""))</f>
        <v/>
      </c>
      <c r="AF3" s="49">
        <f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/>
      </c>
      <c r="AG3" s="49">
        <f>IF($A3="","",IFERROR(AVERAGE(AO3:AS3),""))</f>
        <v/>
      </c>
      <c r="AH3" s="49">
        <f>IF($A3="","",IFERROR(IF(AD3&lt;=0,"N/M",INDEX(Raw_Est!$B$2:$B$100,MATCH($A3,Raw_Est!$A$2:$A$100,0))/AD3),"N/M"))</f>
        <v/>
      </c>
      <c r="AI3" s="51">
        <f>IF($A3="","",IFERROR(SUMIFS(Raw_Q!$K$2:$K$600,Raw_Q!$A$2:$A$600,$A3,Raw_Q!$P$2:$P$600,0),""))</f>
        <v/>
      </c>
      <c r="AJ3" s="62">
        <f>IF($A3="","",IFERROR(INDEX(Raw_Q!$B$2:$B$600,MATCH($A3&amp;"|"&amp;0,Raw_Q!$Q$2:$Q$600,0)),""))</f>
        <v/>
      </c>
      <c r="AK3" s="62">
        <f>IF($A3="","",IFERROR(INDEX(Raw_Q!$G$2:$G$600,MATCH($A3&amp;"|"&amp;0,Raw_Q!$Q$2:$Q$600,0)),""))</f>
        <v/>
      </c>
      <c r="AL3" s="47">
        <f>IF($A3="","",IFERROR(INDEX(Raw_Est!$E$2:$E$100,MATCH($A3,Raw_Est!$A$2:$A$100,0)),""))</f>
        <v/>
      </c>
      <c r="AM3" s="63">
        <f>IF($A3="","",IFERROR(INDEX(Raw_Price!$D$2:$D$100,MATCH($A3,Raw_Price!$A$2:$A$100,0)),""))</f>
        <v/>
      </c>
      <c r="AN3" s="63">
        <f>IF($A3="","",IFERROR(INDEX(Raw_Price!$E$2:$E$100,MATCH($A3,Raw_Price!$A$2:$A$100,0)),""))</f>
        <v/>
      </c>
      <c r="AO3" s="49">
        <f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/>
      </c>
      <c r="AP3" s="49">
        <f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/>
      </c>
      <c r="AQ3" s="49">
        <f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/>
      </c>
      <c r="AR3" s="49">
        <f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/>
      </c>
      <c r="AS3" s="49">
        <f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/>
      </c>
    </row>
    <row r="4">
      <c r="A4" s="20">
        <f>IF(Tickers!A4="","",Tickers!A4)</f>
        <v/>
      </c>
      <c r="B4" s="62">
        <f>IF($A4="","",IFERROR(INDEX(Tickers!$B$2:$B$100,MATCH($A4,Tickers!$A$2:$A$100,0)),""))</f>
        <v/>
      </c>
      <c r="C4" s="62">
        <f>IF($A4="","",IFERROR(INDEX(Tickers!$D$2:$D$100,MATCH($A4,Tickers!$A$2:$A$100,0)),""))</f>
        <v/>
      </c>
      <c r="D4" s="51">
        <f>IF($A4="","",IFERROR(INDEX(Raw_Price!$B$2:$B$100,MATCH($A4,Raw_Price!$A$2:$A$100,0)),""))</f>
        <v/>
      </c>
      <c r="E4" s="48">
        <f>IF($A4="","",IFERROR(SUMIFS(Raw_Q!$I$2:$I$600,Raw_Q!$A$2:$A$600,$A4,Raw_Q!$P$2:$P$600,"&gt;=1",Raw_Q!$P$2:$P$600,"&lt;=4"),""))</f>
        <v/>
      </c>
      <c r="F4" s="51">
        <f>IF($A4="","",IFERROR(SUMIFS(Raw_Q!$K$2:$K$600,Raw_Q!$A$2:$A$600,$A4,Raw_Q!$P$2:$P$600,"&gt;=1",Raw_Q!$P$2:$P$600,"&lt;=4"),""))</f>
        <v/>
      </c>
      <c r="G4" s="51">
        <f>IF($A4="","",IFERROR(SUMIFS(Raw_Q!$K$2:$K$600,Raw_Q!$A$2:$A$600,$A4,Raw_Q!$P$2:$P$600,"&gt;=0",Raw_Q!$P$2:$P$600,"&lt;=3"),""))</f>
        <v/>
      </c>
      <c r="H4" s="51">
        <f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/>
      </c>
      <c r="I4" s="49">
        <f>IF($A4="","",IFERROR(SUMIFS(Raw_Q!$K$2:$K$600,Raw_Q!$A$2:$A$600,$A4,Raw_Q!$P$2:$P$600,"&gt;=1",Raw_Q!$P$2:$P$600,"&lt;=4")/SUMIFS(Raw_Q!$K$2:$K$600,Raw_Q!$A$2:$A$600,$A4,Raw_Q!$P$2:$P$600,"&gt;=5",Raw_Q!$P$2:$P$600,"&lt;=8")-1,""))</f>
        <v/>
      </c>
      <c r="J4" s="52">
        <f>IF($A4="","",IFERROR(IF(F4&lt;=0,"N/M",D4/F4),"N/M"))</f>
        <v/>
      </c>
      <c r="K4" s="52">
        <f>IF($A4="","",IFERROR(IF(G4&lt;=0,"N/M",D4/G4),"N/M"))</f>
        <v/>
      </c>
      <c r="L4" s="52">
        <f>IF($A4="","",IFERROR(IF(H4&lt;=0,"N/M",D4/H4),"N/M"))</f>
        <v/>
      </c>
      <c r="M4" s="49">
        <f>IF($A4="","",IFERROR(INDEX(Raw_Est!$C$2:$C$100,MATCH($A4,Raw_Est!$A$2:$A$100,0))/INDEX(Raw_Est!$B$2:$B$100,MATCH($A4,Raw_Est!$A$2:$A$100,0))-1,""))</f>
        <v/>
      </c>
      <c r="N4" s="51">
        <f>IF($A4="","",IFERROR(IF(OR(NOT(ISNUMBER(J4)),I4&lt;Config!$B$6),"N/M",J4/(I4*100)),"N/M"))</f>
        <v/>
      </c>
      <c r="O4" s="51">
        <f>IF($A4="","",IFERROR(IF(OR(NOT(ISNUMBER(L4)),M4&lt;Config!$B$6),"N/M",L4/(M4*100)),"N/M"))</f>
        <v/>
      </c>
      <c r="P4" s="51">
        <f>IF($A4="","",IFERROR(SUMIFS(Raw_Q!$N$2:$N$600,Raw_Q!$A$2:$A$600,$A4,Raw_Q!$P$2:$P$600,"&gt;=1",Raw_Q!$P$2:$P$600,"&lt;=4"),""))</f>
        <v/>
      </c>
      <c r="Q4" s="49">
        <f>IF($A4="","",IFERROR(IF(P4=0,"不配息",P4/D4),""))</f>
        <v/>
      </c>
      <c r="R4" s="49">
        <f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/>
      </c>
      <c r="S4" s="49">
        <f>IF($A4="","",IFERROR(SUMIFS(Raw_Q!$I$2:$I$600,Raw_Q!$A$2:$A$600,$A4,Raw_Q!$P$2:$P$600,1)/SUMIFS(Raw_Q!$I$2:$I$600,Raw_Q!$A$2:$A$600,$A4,Raw_Q!$P$2:$P$600,5)-1,""))</f>
        <v/>
      </c>
      <c r="T4" s="49">
        <f>IF($A4="","",IFERROR(SUMIFS(Raw_Q!$I$2:$I$600,Raw_Q!$A$2:$A$600,$A4,Raw_Q!$P$2:$P$600,1)/SUMIFS(Raw_Q!$I$2:$I$600,Raw_Q!$A$2:$A$600,$A4,Raw_Q!$P$2:$P$600,2)-1,""))</f>
        <v/>
      </c>
      <c r="U4" s="49">
        <f>IF($A4="","",IFERROR(SUMIFS(Raw_Q!$I$2:$I$600,Raw_Q!$A$2:$A$600,$A4,Raw_Q!$P$2:$P$600,2)/SUMIFS(Raw_Q!$I$2:$I$600,Raw_Q!$A$2:$A$600,$A4,Raw_Q!$P$2:$P$600,3)-1,""))</f>
        <v/>
      </c>
      <c r="V4" s="64">
        <f>IF($A4="","",IFERROR((T4-U4)*100,""))</f>
        <v/>
      </c>
      <c r="W4" s="62">
        <f>IF($A4="","",IFERROR(IF(NOT(ISNUMBER(T4)),"",IF(T4&gt;0,IF(V4&gt;0,"成長且加速","成長但減速"),IF(V4&gt;0,"衰退但收斂","衰退且惡化"))),""))</f>
        <v/>
      </c>
      <c r="X4" s="64">
        <f>IF($A4="","",IFERROR((T4-(SUMIFS(Raw_Q!$I$2:$I$600,Raw_Q!$A$2:$A$600,$A4,Raw_Q!$P$2:$P$600,5)/SUMIFS(Raw_Q!$I$2:$I$600,Raw_Q!$A$2:$A$600,$A4,Raw_Q!$P$2:$P$600,6)-1))*100,""))</f>
        <v/>
      </c>
      <c r="Y4" s="49">
        <f>IF($A4="","",IFERROR(SUMIFS(Raw_Q!$K$2:$K$600,Raw_Q!$A$2:$A$600,$A4,Raw_Q!$P$2:$P$600,1)/SUMIFS(Raw_Q!$K$2:$K$600,Raw_Q!$A$2:$A$600,$A4,Raw_Q!$P$2:$P$600,5)-1,""))</f>
        <v/>
      </c>
      <c r="Z4" s="49">
        <f>IF($A4="","",IFERROR(SUMIFS(Raw_Q!$J$2:$J$600,Raw_Q!$A$2:$A$600,$A4,Raw_Q!$P$2:$P$600,"&gt;=1",Raw_Q!$P$2:$P$600,"&lt;=4")/E4,""))</f>
        <v/>
      </c>
      <c r="AA4" s="49">
        <f>IF($A4="","",IFERROR(SUMIFS(Raw_Q!$J$2:$J$600,Raw_Q!$A$2:$A$600,$A4,Raw_Q!$P$2:$P$600,"&gt;=1",Raw_Q!$P$2:$P$600,"&lt;="&amp;Config!$B$5)/SUMIFS(Raw_Q!$I$2:$I$600,Raw_Q!$A$2:$A$600,$A4,Raw_Q!$P$2:$P$600,"&gt;=1",Raw_Q!$P$2:$P$600,"&lt;="&amp;Config!$B$5),""))</f>
        <v/>
      </c>
      <c r="AB4" s="50">
        <f>IF($A4="","",IFERROR((Z4-AA4)*10000,""))</f>
        <v/>
      </c>
      <c r="AC4" s="50">
        <f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/>
      </c>
      <c r="AD4" s="51">
        <f>IF($A4="","",IFERROR(SUMIFS(Raw_Q!$M$2:$M$600,Raw_Q!$A$2:$A$600,$A4,Raw_Q!$P$2:$P$600,1)/SUMIFS(Raw_Q!$L$2:$L$600,Raw_Q!$A$2:$A$600,$A4,Raw_Q!$P$2:$P$600,1),""))</f>
        <v/>
      </c>
      <c r="AE4" s="48">
        <f>IF($A4="","",IFERROR(SUMPRODUCT((Raw_Q!$A$2:$A$600=$A4)*(Raw_Q!$P$2:$P$600&gt;=1)*(Raw_Q!$P$2:$P$600&lt;=4)*Raw_Q!$K$2:$K$600*Raw_Q!$L$2:$L$600),""))</f>
        <v/>
      </c>
      <c r="AF4" s="49">
        <f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/>
      </c>
      <c r="AG4" s="49">
        <f>IF($A4="","",IFERROR(AVERAGE(AO4:AS4),""))</f>
        <v/>
      </c>
      <c r="AH4" s="49">
        <f>IF($A4="","",IFERROR(IF(AD4&lt;=0,"N/M",INDEX(Raw_Est!$B$2:$B$100,MATCH($A4,Raw_Est!$A$2:$A$100,0))/AD4),"N/M"))</f>
        <v/>
      </c>
      <c r="AI4" s="51">
        <f>IF($A4="","",IFERROR(SUMIFS(Raw_Q!$K$2:$K$600,Raw_Q!$A$2:$A$600,$A4,Raw_Q!$P$2:$P$600,0),""))</f>
        <v/>
      </c>
      <c r="AJ4" s="62">
        <f>IF($A4="","",IFERROR(INDEX(Raw_Q!$B$2:$B$600,MATCH($A4&amp;"|"&amp;0,Raw_Q!$Q$2:$Q$600,0)),""))</f>
        <v/>
      </c>
      <c r="AK4" s="62">
        <f>IF($A4="","",IFERROR(INDEX(Raw_Q!$G$2:$G$600,MATCH($A4&amp;"|"&amp;0,Raw_Q!$Q$2:$Q$600,0)),""))</f>
        <v/>
      </c>
      <c r="AL4" s="47">
        <f>IF($A4="","",IFERROR(INDEX(Raw_Est!$E$2:$E$100,MATCH($A4,Raw_Est!$A$2:$A$100,0)),""))</f>
        <v/>
      </c>
      <c r="AM4" s="63">
        <f>IF($A4="","",IFERROR(INDEX(Raw_Price!$D$2:$D$100,MATCH($A4,Raw_Price!$A$2:$A$100,0)),""))</f>
        <v/>
      </c>
      <c r="AN4" s="63">
        <f>IF($A4="","",IFERROR(INDEX(Raw_Price!$E$2:$E$100,MATCH($A4,Raw_Price!$A$2:$A$100,0)),""))</f>
        <v/>
      </c>
      <c r="AO4" s="49">
        <f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/>
      </c>
      <c r="AP4" s="49">
        <f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/>
      </c>
      <c r="AQ4" s="49">
        <f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/>
      </c>
      <c r="AR4" s="49">
        <f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/>
      </c>
      <c r="AS4" s="49">
        <f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/>
      </c>
    </row>
    <row r="5">
      <c r="A5" s="20">
        <f>IF(Tickers!A5="","",Tickers!A5)</f>
        <v/>
      </c>
      <c r="B5" s="62">
        <f>IF($A5="","",IFERROR(INDEX(Tickers!$B$2:$B$100,MATCH($A5,Tickers!$A$2:$A$100,0)),""))</f>
        <v/>
      </c>
      <c r="C5" s="62">
        <f>IF($A5="","",IFERROR(INDEX(Tickers!$D$2:$D$100,MATCH($A5,Tickers!$A$2:$A$100,0)),""))</f>
        <v/>
      </c>
      <c r="D5" s="51">
        <f>IF($A5="","",IFERROR(INDEX(Raw_Price!$B$2:$B$100,MATCH($A5,Raw_Price!$A$2:$A$100,0)),""))</f>
        <v/>
      </c>
      <c r="E5" s="48">
        <f>IF($A5="","",IFERROR(SUMIFS(Raw_Q!$I$2:$I$600,Raw_Q!$A$2:$A$600,$A5,Raw_Q!$P$2:$P$600,"&gt;=1",Raw_Q!$P$2:$P$600,"&lt;=4"),""))</f>
        <v/>
      </c>
      <c r="F5" s="51">
        <f>IF($A5="","",IFERROR(SUMIFS(Raw_Q!$K$2:$K$600,Raw_Q!$A$2:$A$600,$A5,Raw_Q!$P$2:$P$600,"&gt;=1",Raw_Q!$P$2:$P$600,"&lt;=4"),""))</f>
        <v/>
      </c>
      <c r="G5" s="51">
        <f>IF($A5="","",IFERROR(SUMIFS(Raw_Q!$K$2:$K$600,Raw_Q!$A$2:$A$600,$A5,Raw_Q!$P$2:$P$600,"&gt;=0",Raw_Q!$P$2:$P$600,"&lt;=3"),""))</f>
        <v/>
      </c>
      <c r="H5" s="51">
        <f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/>
      </c>
      <c r="I5" s="49">
        <f>IF($A5="","",IFERROR(SUMIFS(Raw_Q!$K$2:$K$600,Raw_Q!$A$2:$A$600,$A5,Raw_Q!$P$2:$P$600,"&gt;=1",Raw_Q!$P$2:$P$600,"&lt;=4")/SUMIFS(Raw_Q!$K$2:$K$600,Raw_Q!$A$2:$A$600,$A5,Raw_Q!$P$2:$P$600,"&gt;=5",Raw_Q!$P$2:$P$600,"&lt;=8")-1,""))</f>
        <v/>
      </c>
      <c r="J5" s="52">
        <f>IF($A5="","",IFERROR(IF(F5&lt;=0,"N/M",D5/F5),"N/M"))</f>
        <v/>
      </c>
      <c r="K5" s="52">
        <f>IF($A5="","",IFERROR(IF(G5&lt;=0,"N/M",D5/G5),"N/M"))</f>
        <v/>
      </c>
      <c r="L5" s="52">
        <f>IF($A5="","",IFERROR(IF(H5&lt;=0,"N/M",D5/H5),"N/M"))</f>
        <v/>
      </c>
      <c r="M5" s="49">
        <f>IF($A5="","",IFERROR(INDEX(Raw_Est!$C$2:$C$100,MATCH($A5,Raw_Est!$A$2:$A$100,0))/INDEX(Raw_Est!$B$2:$B$100,MATCH($A5,Raw_Est!$A$2:$A$100,0))-1,""))</f>
        <v/>
      </c>
      <c r="N5" s="51">
        <f>IF($A5="","",IFERROR(IF(OR(NOT(ISNUMBER(J5)),I5&lt;Config!$B$6),"N/M",J5/(I5*100)),"N/M"))</f>
        <v/>
      </c>
      <c r="O5" s="51">
        <f>IF($A5="","",IFERROR(IF(OR(NOT(ISNUMBER(L5)),M5&lt;Config!$B$6),"N/M",L5/(M5*100)),"N/M"))</f>
        <v/>
      </c>
      <c r="P5" s="51">
        <f>IF($A5="","",IFERROR(SUMIFS(Raw_Q!$N$2:$N$600,Raw_Q!$A$2:$A$600,$A5,Raw_Q!$P$2:$P$600,"&gt;=1",Raw_Q!$P$2:$P$600,"&lt;=4"),""))</f>
        <v/>
      </c>
      <c r="Q5" s="49">
        <f>IF($A5="","",IFERROR(IF(P5=0,"不配息",P5/D5),""))</f>
        <v/>
      </c>
      <c r="R5" s="49">
        <f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>
        <f>IF($A5="","",IFERROR(SUMIFS(Raw_Q!$I$2:$I$600,Raw_Q!$A$2:$A$600,$A5,Raw_Q!$P$2:$P$600,1)/SUMIFS(Raw_Q!$I$2:$I$600,Raw_Q!$A$2:$A$600,$A5,Raw_Q!$P$2:$P$600,5)-1,""))</f>
        <v/>
      </c>
      <c r="T5" s="49">
        <f>IF($A5="","",IFERROR(SUMIFS(Raw_Q!$I$2:$I$600,Raw_Q!$A$2:$A$600,$A5,Raw_Q!$P$2:$P$600,1)/SUMIFS(Raw_Q!$I$2:$I$600,Raw_Q!$A$2:$A$600,$A5,Raw_Q!$P$2:$P$600,2)-1,""))</f>
        <v/>
      </c>
      <c r="U5" s="49">
        <f>IF($A5="","",IFERROR(SUMIFS(Raw_Q!$I$2:$I$600,Raw_Q!$A$2:$A$600,$A5,Raw_Q!$P$2:$P$600,2)/SUMIFS(Raw_Q!$I$2:$I$600,Raw_Q!$A$2:$A$600,$A5,Raw_Q!$P$2:$P$600,3)-1,""))</f>
        <v/>
      </c>
      <c r="V5" s="64">
        <f>IF($A5="","",IFERROR((T5-U5)*100,""))</f>
        <v/>
      </c>
      <c r="W5" s="62">
        <f>IF($A5="","",IFERROR(IF(NOT(ISNUMBER(T5)),"",IF(T5&gt;0,IF(V5&gt;0,"成長且加速","成長但減速"),IF(V5&gt;0,"衰退但收斂","衰退且惡化"))),""))</f>
        <v/>
      </c>
      <c r="X5" s="64">
        <f>IF($A5="","",IFERROR((T5-(SUMIFS(Raw_Q!$I$2:$I$600,Raw_Q!$A$2:$A$600,$A5,Raw_Q!$P$2:$P$600,5)/SUMIFS(Raw_Q!$I$2:$I$600,Raw_Q!$A$2:$A$600,$A5,Raw_Q!$P$2:$P$600,6)-1))*100,""))</f>
        <v/>
      </c>
      <c r="Y5" s="49">
        <f>IF($A5="","",IFERROR(SUMIFS(Raw_Q!$K$2:$K$600,Raw_Q!$A$2:$A$600,$A5,Raw_Q!$P$2:$P$600,1)/SUMIFS(Raw_Q!$K$2:$K$600,Raw_Q!$A$2:$A$600,$A5,Raw_Q!$P$2:$P$600,5)-1,""))</f>
        <v/>
      </c>
      <c r="Z5" s="49">
        <f>IF($A5="","",IFERROR(SUMIFS(Raw_Q!$J$2:$J$600,Raw_Q!$A$2:$A$600,$A5,Raw_Q!$P$2:$P$600,"&gt;=1",Raw_Q!$P$2:$P$600,"&lt;=4")/E5,""))</f>
        <v/>
      </c>
      <c r="AA5" s="49">
        <f>IF($A5="","",IFERROR(SUMIFS(Raw_Q!$J$2:$J$600,Raw_Q!$A$2:$A$600,$A5,Raw_Q!$P$2:$P$600,"&gt;=1",Raw_Q!$P$2:$P$600,"&lt;="&amp;Config!$B$5)/SUMIFS(Raw_Q!$I$2:$I$600,Raw_Q!$A$2:$A$600,$A5,Raw_Q!$P$2:$P$600,"&gt;=1",Raw_Q!$P$2:$P$600,"&lt;="&amp;Config!$B$5),""))</f>
        <v/>
      </c>
      <c r="AB5" s="50">
        <f>IF($A5="","",IFERROR((Z5-AA5)*10000,""))</f>
        <v/>
      </c>
      <c r="AC5" s="50">
        <f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/>
      </c>
      <c r="AD5" s="51">
        <f>IF($A5="","",IFERROR(SUMIFS(Raw_Q!$M$2:$M$600,Raw_Q!$A$2:$A$600,$A5,Raw_Q!$P$2:$P$600,1)/SUMIFS(Raw_Q!$L$2:$L$600,Raw_Q!$A$2:$A$600,$A5,Raw_Q!$P$2:$P$600,1),""))</f>
        <v/>
      </c>
      <c r="AE5" s="48">
        <f>IF($A5="","",IFERROR(SUMPRODUCT((Raw_Q!$A$2:$A$600=$A5)*(Raw_Q!$P$2:$P$600&gt;=1)*(Raw_Q!$P$2:$P$600&lt;=4)*Raw_Q!$K$2:$K$600*Raw_Q!$L$2:$L$600),""))</f>
        <v/>
      </c>
      <c r="AF5" s="49">
        <f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/>
      </c>
      <c r="AG5" s="49">
        <f>IF($A5="","",IFERROR(AVERAGE(AO5:AS5),""))</f>
        <v/>
      </c>
      <c r="AH5" s="49">
        <f>IF($A5="","",IFERROR(IF(AD5&lt;=0,"N/M",INDEX(Raw_Est!$B$2:$B$100,MATCH($A5,Raw_Est!$A$2:$A$100,0))/AD5),"N/M"))</f>
        <v/>
      </c>
      <c r="AI5" s="51">
        <f>IF($A5="","",IFERROR(SUMIFS(Raw_Q!$K$2:$K$600,Raw_Q!$A$2:$A$600,$A5,Raw_Q!$P$2:$P$600,0),""))</f>
        <v/>
      </c>
      <c r="AJ5" s="62">
        <f>IF($A5="","",IFERROR(INDEX(Raw_Q!$B$2:$B$600,MATCH($A5&amp;"|"&amp;0,Raw_Q!$Q$2:$Q$600,0)),""))</f>
        <v/>
      </c>
      <c r="AK5" s="62">
        <f>IF($A5="","",IFERROR(INDEX(Raw_Q!$G$2:$G$600,MATCH($A5&amp;"|"&amp;0,Raw_Q!$Q$2:$Q$600,0)),""))</f>
        <v/>
      </c>
      <c r="AL5" s="47">
        <f>IF($A5="","",IFERROR(INDEX(Raw_Est!$E$2:$E$100,MATCH($A5,Raw_Est!$A$2:$A$100,0)),""))</f>
        <v/>
      </c>
      <c r="AM5" s="63">
        <f>IF($A5="","",IFERROR(INDEX(Raw_Price!$D$2:$D$100,MATCH($A5,Raw_Price!$A$2:$A$100,0)),""))</f>
        <v/>
      </c>
      <c r="AN5" s="63">
        <f>IF($A5="","",IFERROR(INDEX(Raw_Price!$E$2:$E$100,MATCH($A5,Raw_Price!$A$2:$A$100,0)),""))</f>
        <v/>
      </c>
      <c r="AO5" s="49">
        <f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/>
      </c>
      <c r="AP5" s="49">
        <f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/>
      </c>
      <c r="AQ5" s="49">
        <f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/>
      </c>
      <c r="AR5" s="49">
        <f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/>
      </c>
      <c r="AS5" s="49">
        <f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/>
      </c>
    </row>
    <row r="6">
      <c r="A6" s="20">
        <f>IF(Tickers!A6="","",Tickers!A6)</f>
        <v/>
      </c>
      <c r="B6" s="62">
        <f>IF($A6="","",IFERROR(INDEX(Tickers!$B$2:$B$100,MATCH($A6,Tickers!$A$2:$A$100,0)),""))</f>
        <v/>
      </c>
      <c r="C6" s="62">
        <f>IF($A6="","",IFERROR(INDEX(Tickers!$D$2:$D$100,MATCH($A6,Tickers!$A$2:$A$100,0)),""))</f>
        <v/>
      </c>
      <c r="D6" s="51">
        <f>IF($A6="","",IFERROR(INDEX(Raw_Price!$B$2:$B$100,MATCH($A6,Raw_Price!$A$2:$A$100,0)),""))</f>
        <v/>
      </c>
      <c r="E6" s="48">
        <f>IF($A6="","",IFERROR(SUMIFS(Raw_Q!$I$2:$I$600,Raw_Q!$A$2:$A$600,$A6,Raw_Q!$P$2:$P$600,"&gt;=1",Raw_Q!$P$2:$P$600,"&lt;=4"),""))</f>
        <v/>
      </c>
      <c r="F6" s="51">
        <f>IF($A6="","",IFERROR(SUMIFS(Raw_Q!$K$2:$K$600,Raw_Q!$A$2:$A$600,$A6,Raw_Q!$P$2:$P$600,"&gt;=1",Raw_Q!$P$2:$P$600,"&lt;=4"),""))</f>
        <v/>
      </c>
      <c r="G6" s="51">
        <f>IF($A6="","",IFERROR(SUMIFS(Raw_Q!$K$2:$K$600,Raw_Q!$A$2:$A$600,$A6,Raw_Q!$P$2:$P$600,"&gt;=0",Raw_Q!$P$2:$P$600,"&lt;=3"),""))</f>
        <v/>
      </c>
      <c r="H6" s="51">
        <f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/>
      </c>
      <c r="I6" s="49">
        <f>IF($A6="","",IFERROR(SUMIFS(Raw_Q!$K$2:$K$600,Raw_Q!$A$2:$A$600,$A6,Raw_Q!$P$2:$P$600,"&gt;=1",Raw_Q!$P$2:$P$600,"&lt;=4")/SUMIFS(Raw_Q!$K$2:$K$600,Raw_Q!$A$2:$A$600,$A6,Raw_Q!$P$2:$P$600,"&gt;=5",Raw_Q!$P$2:$P$600,"&lt;=8")-1,""))</f>
        <v/>
      </c>
      <c r="J6" s="52">
        <f>IF($A6="","",IFERROR(IF(F6&lt;=0,"N/M",D6/F6),"N/M"))</f>
        <v/>
      </c>
      <c r="K6" s="52">
        <f>IF($A6="","",IFERROR(IF(G6&lt;=0,"N/M",D6/G6),"N/M"))</f>
        <v/>
      </c>
      <c r="L6" s="52">
        <f>IF($A6="","",IFERROR(IF(H6&lt;=0,"N/M",D6/H6),"N/M"))</f>
        <v/>
      </c>
      <c r="M6" s="49">
        <f>IF($A6="","",IFERROR(INDEX(Raw_Est!$C$2:$C$100,MATCH($A6,Raw_Est!$A$2:$A$100,0))/INDEX(Raw_Est!$B$2:$B$100,MATCH($A6,Raw_Est!$A$2:$A$100,0))-1,""))</f>
        <v/>
      </c>
      <c r="N6" s="51">
        <f>IF($A6="","",IFERROR(IF(OR(NOT(ISNUMBER(J6)),I6&lt;Config!$B$6),"N/M",J6/(I6*100)),"N/M"))</f>
        <v/>
      </c>
      <c r="O6" s="51">
        <f>IF($A6="","",IFERROR(IF(OR(NOT(ISNUMBER(L6)),M6&lt;Config!$B$6),"N/M",L6/(M6*100)),"N/M"))</f>
        <v/>
      </c>
      <c r="P6" s="51">
        <f>IF($A6="","",IFERROR(SUMIFS(Raw_Q!$N$2:$N$600,Raw_Q!$A$2:$A$600,$A6,Raw_Q!$P$2:$P$600,"&gt;=1",Raw_Q!$P$2:$P$600,"&lt;=4"),""))</f>
        <v/>
      </c>
      <c r="Q6" s="49">
        <f>IF($A6="","",IFERROR(IF(P6=0,"不配息",P6/D6),""))</f>
        <v/>
      </c>
      <c r="R6" s="49">
        <f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>
        <f>IF($A6="","",IFERROR(SUMIFS(Raw_Q!$I$2:$I$600,Raw_Q!$A$2:$A$600,$A6,Raw_Q!$P$2:$P$600,1)/SUMIFS(Raw_Q!$I$2:$I$600,Raw_Q!$A$2:$A$600,$A6,Raw_Q!$P$2:$P$600,5)-1,""))</f>
        <v/>
      </c>
      <c r="T6" s="49">
        <f>IF($A6="","",IFERROR(SUMIFS(Raw_Q!$I$2:$I$600,Raw_Q!$A$2:$A$600,$A6,Raw_Q!$P$2:$P$600,1)/SUMIFS(Raw_Q!$I$2:$I$600,Raw_Q!$A$2:$A$600,$A6,Raw_Q!$P$2:$P$600,2)-1,""))</f>
        <v/>
      </c>
      <c r="U6" s="49">
        <f>IF($A6="","",IFERROR(SUMIFS(Raw_Q!$I$2:$I$600,Raw_Q!$A$2:$A$600,$A6,Raw_Q!$P$2:$P$600,2)/SUMIFS(Raw_Q!$I$2:$I$600,Raw_Q!$A$2:$A$600,$A6,Raw_Q!$P$2:$P$600,3)-1,""))</f>
        <v/>
      </c>
      <c r="V6" s="64">
        <f>IF($A6="","",IFERROR((T6-U6)*100,""))</f>
        <v/>
      </c>
      <c r="W6" s="62">
        <f>IF($A6="","",IFERROR(IF(NOT(ISNUMBER(T6)),"",IF(T6&gt;0,IF(V6&gt;0,"成長且加速","成長但減速"),IF(V6&gt;0,"衰退但收斂","衰退且惡化"))),""))</f>
        <v/>
      </c>
      <c r="X6" s="64">
        <f>IF($A6="","",IFERROR((T6-(SUMIFS(Raw_Q!$I$2:$I$600,Raw_Q!$A$2:$A$600,$A6,Raw_Q!$P$2:$P$600,5)/SUMIFS(Raw_Q!$I$2:$I$600,Raw_Q!$A$2:$A$600,$A6,Raw_Q!$P$2:$P$600,6)-1))*100,""))</f>
        <v/>
      </c>
      <c r="Y6" s="49">
        <f>IF($A6="","",IFERROR(SUMIFS(Raw_Q!$K$2:$K$600,Raw_Q!$A$2:$A$600,$A6,Raw_Q!$P$2:$P$600,1)/SUMIFS(Raw_Q!$K$2:$K$600,Raw_Q!$A$2:$A$600,$A6,Raw_Q!$P$2:$P$600,5)-1,""))</f>
        <v/>
      </c>
      <c r="Z6" s="49">
        <f>IF($A6="","",IFERROR(SUMIFS(Raw_Q!$J$2:$J$600,Raw_Q!$A$2:$A$600,$A6,Raw_Q!$P$2:$P$600,"&gt;=1",Raw_Q!$P$2:$P$600,"&lt;=4")/E6,""))</f>
        <v/>
      </c>
      <c r="AA6" s="49">
        <f>IF($A6="","",IFERROR(SUMIFS(Raw_Q!$J$2:$J$600,Raw_Q!$A$2:$A$600,$A6,Raw_Q!$P$2:$P$600,"&gt;=1",Raw_Q!$P$2:$P$600,"&lt;="&amp;Config!$B$5)/SUMIFS(Raw_Q!$I$2:$I$600,Raw_Q!$A$2:$A$600,$A6,Raw_Q!$P$2:$P$600,"&gt;=1",Raw_Q!$P$2:$P$600,"&lt;="&amp;Config!$B$5),""))</f>
        <v/>
      </c>
      <c r="AB6" s="50">
        <f>IF($A6="","",IFERROR((Z6-AA6)*10000,""))</f>
        <v/>
      </c>
      <c r="AC6" s="50">
        <f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/>
      </c>
      <c r="AD6" s="51">
        <f>IF($A6="","",IFERROR(SUMIFS(Raw_Q!$M$2:$M$600,Raw_Q!$A$2:$A$600,$A6,Raw_Q!$P$2:$P$600,1)/SUMIFS(Raw_Q!$L$2:$L$600,Raw_Q!$A$2:$A$600,$A6,Raw_Q!$P$2:$P$600,1),""))</f>
        <v/>
      </c>
      <c r="AE6" s="48">
        <f>IF($A6="","",IFERROR(SUMPRODUCT((Raw_Q!$A$2:$A$600=$A6)*(Raw_Q!$P$2:$P$600&gt;=1)*(Raw_Q!$P$2:$P$600&lt;=4)*Raw_Q!$K$2:$K$600*Raw_Q!$L$2:$L$600),""))</f>
        <v/>
      </c>
      <c r="AF6" s="49">
        <f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/>
      </c>
      <c r="AG6" s="49">
        <f>IF($A6="","",IFERROR(AVERAGE(AO6:AS6),""))</f>
        <v/>
      </c>
      <c r="AH6" s="49">
        <f>IF($A6="","",IFERROR(IF(AD6&lt;=0,"N/M",INDEX(Raw_Est!$B$2:$B$100,MATCH($A6,Raw_Est!$A$2:$A$100,0))/AD6),"N/M"))</f>
        <v/>
      </c>
      <c r="AI6" s="51">
        <f>IF($A6="","",IFERROR(SUMIFS(Raw_Q!$K$2:$K$600,Raw_Q!$A$2:$A$600,$A6,Raw_Q!$P$2:$P$600,0),""))</f>
        <v/>
      </c>
      <c r="AJ6" s="62">
        <f>IF($A6="","",IFERROR(INDEX(Raw_Q!$B$2:$B$600,MATCH($A6&amp;"|"&amp;0,Raw_Q!$Q$2:$Q$600,0)),""))</f>
        <v/>
      </c>
      <c r="AK6" s="62">
        <f>IF($A6="","",IFERROR(INDEX(Raw_Q!$G$2:$G$600,MATCH($A6&amp;"|"&amp;0,Raw_Q!$Q$2:$Q$600,0)),""))</f>
        <v/>
      </c>
      <c r="AL6" s="47">
        <f>IF($A6="","",IFERROR(INDEX(Raw_Est!$E$2:$E$100,MATCH($A6,Raw_Est!$A$2:$A$100,0)),""))</f>
        <v/>
      </c>
      <c r="AM6" s="63">
        <f>IF($A6="","",IFERROR(INDEX(Raw_Price!$D$2:$D$100,MATCH($A6,Raw_Price!$A$2:$A$100,0)),""))</f>
        <v/>
      </c>
      <c r="AN6" s="63">
        <f>IF($A6="","",IFERROR(INDEX(Raw_Price!$E$2:$E$100,MATCH($A6,Raw_Price!$A$2:$A$100,0)),""))</f>
        <v/>
      </c>
      <c r="AO6" s="49">
        <f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/>
      </c>
      <c r="AP6" s="49">
        <f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/>
      </c>
      <c r="AQ6" s="49">
        <f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/>
      </c>
      <c r="AR6" s="49">
        <f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/>
      </c>
      <c r="AS6" s="49">
        <f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/>
      </c>
    </row>
    <row r="7">
      <c r="A7" s="20">
        <f>IF(Tickers!A7="","",Tickers!A7)</f>
        <v/>
      </c>
      <c r="B7" s="62">
        <f>IF($A7="","",IFERROR(INDEX(Tickers!$B$2:$B$100,MATCH($A7,Tickers!$A$2:$A$100,0)),""))</f>
        <v/>
      </c>
      <c r="C7" s="62">
        <f>IF($A7="","",IFERROR(INDEX(Tickers!$D$2:$D$100,MATCH($A7,Tickers!$A$2:$A$100,0)),""))</f>
        <v/>
      </c>
      <c r="D7" s="51">
        <f>IF($A7="","",IFERROR(INDEX(Raw_Price!$B$2:$B$100,MATCH($A7,Raw_Price!$A$2:$A$100,0)),""))</f>
        <v/>
      </c>
      <c r="E7" s="48">
        <f>IF($A7="","",IFERROR(SUMIFS(Raw_Q!$I$2:$I$600,Raw_Q!$A$2:$A$600,$A7,Raw_Q!$P$2:$P$600,"&gt;=1",Raw_Q!$P$2:$P$600,"&lt;=4"),""))</f>
        <v/>
      </c>
      <c r="F7" s="51">
        <f>IF($A7="","",IFERROR(SUMIFS(Raw_Q!$K$2:$K$600,Raw_Q!$A$2:$A$600,$A7,Raw_Q!$P$2:$P$600,"&gt;=1",Raw_Q!$P$2:$P$600,"&lt;=4"),""))</f>
        <v/>
      </c>
      <c r="G7" s="51">
        <f>IF($A7="","",IFERROR(SUMIFS(Raw_Q!$K$2:$K$600,Raw_Q!$A$2:$A$600,$A7,Raw_Q!$P$2:$P$600,"&gt;=0",Raw_Q!$P$2:$P$600,"&lt;=3"),""))</f>
        <v/>
      </c>
      <c r="H7" s="51">
        <f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>
        <f>IF($A7="","",IFERROR(SUMIFS(Raw_Q!$K$2:$K$600,Raw_Q!$A$2:$A$600,$A7,Raw_Q!$P$2:$P$600,"&gt;=1",Raw_Q!$P$2:$P$600,"&lt;=4")/SUMIFS(Raw_Q!$K$2:$K$600,Raw_Q!$A$2:$A$600,$A7,Raw_Q!$P$2:$P$600,"&gt;=5",Raw_Q!$P$2:$P$600,"&lt;=8")-1,""))</f>
        <v/>
      </c>
      <c r="J7" s="52">
        <f>IF($A7="","",IFERROR(IF(F7&lt;=0,"N/M",D7/F7),"N/M"))</f>
        <v/>
      </c>
      <c r="K7" s="52">
        <f>IF($A7="","",IFERROR(IF(G7&lt;=0,"N/M",D7/G7),"N/M"))</f>
        <v/>
      </c>
      <c r="L7" s="52">
        <f>IF($A7="","",IFERROR(IF(H7&lt;=0,"N/M",D7/H7),"N/M"))</f>
        <v/>
      </c>
      <c r="M7" s="49">
        <f>IF($A7="","",IFERROR(INDEX(Raw_Est!$C$2:$C$100,MATCH($A7,Raw_Est!$A$2:$A$100,0))/INDEX(Raw_Est!$B$2:$B$100,MATCH($A7,Raw_Est!$A$2:$A$100,0))-1,""))</f>
        <v/>
      </c>
      <c r="N7" s="51">
        <f>IF($A7="","",IFERROR(IF(OR(NOT(ISNUMBER(J7)),I7&lt;Config!$B$6),"N/M",J7/(I7*100)),"N/M"))</f>
        <v/>
      </c>
      <c r="O7" s="51">
        <f>IF($A7="","",IFERROR(IF(OR(NOT(ISNUMBER(L7)),M7&lt;Config!$B$6),"N/M",L7/(M7*100)),"N/M"))</f>
        <v/>
      </c>
      <c r="P7" s="51">
        <f>IF($A7="","",IFERROR(SUMIFS(Raw_Q!$N$2:$N$600,Raw_Q!$A$2:$A$600,$A7,Raw_Q!$P$2:$P$600,"&gt;=1",Raw_Q!$P$2:$P$600,"&lt;=4"),""))</f>
        <v/>
      </c>
      <c r="Q7" s="49">
        <f>IF($A7="","",IFERROR(IF(P7=0,"不配息",P7/D7),""))</f>
        <v/>
      </c>
      <c r="R7" s="49">
        <f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>
        <f>IF($A7="","",IFERROR(SUMIFS(Raw_Q!$I$2:$I$600,Raw_Q!$A$2:$A$600,$A7,Raw_Q!$P$2:$P$600,1)/SUMIFS(Raw_Q!$I$2:$I$600,Raw_Q!$A$2:$A$600,$A7,Raw_Q!$P$2:$P$600,5)-1,""))</f>
        <v/>
      </c>
      <c r="T7" s="49">
        <f>IF($A7="","",IFERROR(SUMIFS(Raw_Q!$I$2:$I$600,Raw_Q!$A$2:$A$600,$A7,Raw_Q!$P$2:$P$600,1)/SUMIFS(Raw_Q!$I$2:$I$600,Raw_Q!$A$2:$A$600,$A7,Raw_Q!$P$2:$P$600,2)-1,""))</f>
        <v/>
      </c>
      <c r="U7" s="49">
        <f>IF($A7="","",IFERROR(SUMIFS(Raw_Q!$I$2:$I$600,Raw_Q!$A$2:$A$600,$A7,Raw_Q!$P$2:$P$600,2)/SUMIFS(Raw_Q!$I$2:$I$600,Raw_Q!$A$2:$A$600,$A7,Raw_Q!$P$2:$P$600,3)-1,""))</f>
        <v/>
      </c>
      <c r="V7" s="64">
        <f>IF($A7="","",IFERROR((T7-U7)*100,""))</f>
        <v/>
      </c>
      <c r="W7" s="62">
        <f>IF($A7="","",IFERROR(IF(NOT(ISNUMBER(T7)),"",IF(T7&gt;0,IF(V7&gt;0,"成長且加速","成長但減速"),IF(V7&gt;0,"衰退但收斂","衰退且惡化"))),""))</f>
        <v/>
      </c>
      <c r="X7" s="64">
        <f>IF($A7="","",IFERROR((T7-(SUMIFS(Raw_Q!$I$2:$I$600,Raw_Q!$A$2:$A$600,$A7,Raw_Q!$P$2:$P$600,5)/SUMIFS(Raw_Q!$I$2:$I$600,Raw_Q!$A$2:$A$600,$A7,Raw_Q!$P$2:$P$600,6)-1))*100,""))</f>
        <v/>
      </c>
      <c r="Y7" s="49">
        <f>IF($A7="","",IFERROR(SUMIFS(Raw_Q!$K$2:$K$600,Raw_Q!$A$2:$A$600,$A7,Raw_Q!$P$2:$P$600,1)/SUMIFS(Raw_Q!$K$2:$K$600,Raw_Q!$A$2:$A$600,$A7,Raw_Q!$P$2:$P$600,5)-1,""))</f>
        <v/>
      </c>
      <c r="Z7" s="49">
        <f>IF($A7="","",IFERROR(SUMIFS(Raw_Q!$J$2:$J$600,Raw_Q!$A$2:$A$600,$A7,Raw_Q!$P$2:$P$600,"&gt;=1",Raw_Q!$P$2:$P$600,"&lt;=4")/E7,""))</f>
        <v/>
      </c>
      <c r="AA7" s="49">
        <f>IF($A7="","",IFERROR(SUMIFS(Raw_Q!$J$2:$J$600,Raw_Q!$A$2:$A$600,$A7,Raw_Q!$P$2:$P$600,"&gt;=1",Raw_Q!$P$2:$P$600,"&lt;="&amp;Config!$B$5)/SUMIFS(Raw_Q!$I$2:$I$600,Raw_Q!$A$2:$A$600,$A7,Raw_Q!$P$2:$P$600,"&gt;=1",Raw_Q!$P$2:$P$600,"&lt;="&amp;Config!$B$5),""))</f>
        <v/>
      </c>
      <c r="AB7" s="50">
        <f>IF($A7="","",IFERROR((Z7-AA7)*10000,""))</f>
        <v/>
      </c>
      <c r="AC7" s="50">
        <f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/>
      </c>
      <c r="AD7" s="51">
        <f>IF($A7="","",IFERROR(SUMIFS(Raw_Q!$M$2:$M$600,Raw_Q!$A$2:$A$600,$A7,Raw_Q!$P$2:$P$600,1)/SUMIFS(Raw_Q!$L$2:$L$600,Raw_Q!$A$2:$A$600,$A7,Raw_Q!$P$2:$P$600,1),""))</f>
        <v/>
      </c>
      <c r="AE7" s="48">
        <f>IF($A7="","",IFERROR(SUMPRODUCT((Raw_Q!$A$2:$A$600=$A7)*(Raw_Q!$P$2:$P$600&gt;=1)*(Raw_Q!$P$2:$P$600&lt;=4)*Raw_Q!$K$2:$K$600*Raw_Q!$L$2:$L$600),""))</f>
        <v/>
      </c>
      <c r="AF7" s="49">
        <f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/>
      </c>
      <c r="AG7" s="49">
        <f>IF($A7="","",IFERROR(AVERAGE(AO7:AS7),""))</f>
        <v/>
      </c>
      <c r="AH7" s="49">
        <f>IF($A7="","",IFERROR(IF(AD7&lt;=0,"N/M",INDEX(Raw_Est!$B$2:$B$100,MATCH($A7,Raw_Est!$A$2:$A$100,0))/AD7),"N/M"))</f>
        <v/>
      </c>
      <c r="AI7" s="51">
        <f>IF($A7="","",IFERROR(SUMIFS(Raw_Q!$K$2:$K$600,Raw_Q!$A$2:$A$600,$A7,Raw_Q!$P$2:$P$600,0),""))</f>
        <v/>
      </c>
      <c r="AJ7" s="62">
        <f>IF($A7="","",IFERROR(INDEX(Raw_Q!$B$2:$B$600,MATCH($A7&amp;"|"&amp;0,Raw_Q!$Q$2:$Q$600,0)),""))</f>
        <v/>
      </c>
      <c r="AK7" s="62">
        <f>IF($A7="","",IFERROR(INDEX(Raw_Q!$G$2:$G$600,MATCH($A7&amp;"|"&amp;0,Raw_Q!$Q$2:$Q$600,0)),""))</f>
        <v/>
      </c>
      <c r="AL7" s="47">
        <f>IF($A7="","",IFERROR(INDEX(Raw_Est!$E$2:$E$100,MATCH($A7,Raw_Est!$A$2:$A$100,0)),""))</f>
        <v/>
      </c>
      <c r="AM7" s="63">
        <f>IF($A7="","",IFERROR(INDEX(Raw_Price!$D$2:$D$100,MATCH($A7,Raw_Price!$A$2:$A$100,0)),""))</f>
        <v/>
      </c>
      <c r="AN7" s="63">
        <f>IF($A7="","",IFERROR(INDEX(Raw_Price!$E$2:$E$100,MATCH($A7,Raw_Price!$A$2:$A$100,0)),""))</f>
        <v/>
      </c>
      <c r="AO7" s="49">
        <f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/>
      </c>
      <c r="AP7" s="49">
        <f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/>
      </c>
      <c r="AQ7" s="49">
        <f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/>
      </c>
      <c r="AR7" s="49">
        <f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/>
      </c>
      <c r="AS7" s="49">
        <f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/>
      </c>
    </row>
    <row r="8">
      <c r="A8" s="20">
        <f>IF(Tickers!A8="","",Tickers!A8)</f>
        <v/>
      </c>
      <c r="B8" s="62">
        <f>IF($A8="","",IFERROR(INDEX(Tickers!$B$2:$B$100,MATCH($A8,Tickers!$A$2:$A$100,0)),""))</f>
        <v/>
      </c>
      <c r="C8" s="62">
        <f>IF($A8="","",IFERROR(INDEX(Tickers!$D$2:$D$100,MATCH($A8,Tickers!$A$2:$A$100,0)),""))</f>
        <v/>
      </c>
      <c r="D8" s="51">
        <f>IF($A8="","",IFERROR(INDEX(Raw_Price!$B$2:$B$100,MATCH($A8,Raw_Price!$A$2:$A$100,0)),""))</f>
        <v/>
      </c>
      <c r="E8" s="48">
        <f>IF($A8="","",IFERROR(SUMIFS(Raw_Q!$I$2:$I$600,Raw_Q!$A$2:$A$600,$A8,Raw_Q!$P$2:$P$600,"&gt;=1",Raw_Q!$P$2:$P$600,"&lt;=4"),""))</f>
        <v/>
      </c>
      <c r="F8" s="51">
        <f>IF($A8="","",IFERROR(SUMIFS(Raw_Q!$K$2:$K$600,Raw_Q!$A$2:$A$600,$A8,Raw_Q!$P$2:$P$600,"&gt;=1",Raw_Q!$P$2:$P$600,"&lt;=4"),""))</f>
        <v/>
      </c>
      <c r="G8" s="51">
        <f>IF($A8="","",IFERROR(SUMIFS(Raw_Q!$K$2:$K$600,Raw_Q!$A$2:$A$600,$A8,Raw_Q!$P$2:$P$600,"&gt;=0",Raw_Q!$P$2:$P$600,"&lt;=3"),""))</f>
        <v/>
      </c>
      <c r="H8" s="51">
        <f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>
        <f>IF($A8="","",IFERROR(SUMIFS(Raw_Q!$K$2:$K$600,Raw_Q!$A$2:$A$600,$A8,Raw_Q!$P$2:$P$600,"&gt;=1",Raw_Q!$P$2:$P$600,"&lt;=4")/SUMIFS(Raw_Q!$K$2:$K$600,Raw_Q!$A$2:$A$600,$A8,Raw_Q!$P$2:$P$600,"&gt;=5",Raw_Q!$P$2:$P$600,"&lt;=8")-1,""))</f>
        <v/>
      </c>
      <c r="J8" s="52">
        <f>IF($A8="","",IFERROR(IF(F8&lt;=0,"N/M",D8/F8),"N/M"))</f>
        <v/>
      </c>
      <c r="K8" s="52">
        <f>IF($A8="","",IFERROR(IF(G8&lt;=0,"N/M",D8/G8),"N/M"))</f>
        <v/>
      </c>
      <c r="L8" s="52">
        <f>IF($A8="","",IFERROR(IF(H8&lt;=0,"N/M",D8/H8),"N/M"))</f>
        <v/>
      </c>
      <c r="M8" s="49">
        <f>IF($A8="","",IFERROR(INDEX(Raw_Est!$C$2:$C$100,MATCH($A8,Raw_Est!$A$2:$A$100,0))/INDEX(Raw_Est!$B$2:$B$100,MATCH($A8,Raw_Est!$A$2:$A$100,0))-1,""))</f>
        <v/>
      </c>
      <c r="N8" s="51">
        <f>IF($A8="","",IFERROR(IF(OR(NOT(ISNUMBER(J8)),I8&lt;Config!$B$6),"N/M",J8/(I8*100)),"N/M"))</f>
        <v/>
      </c>
      <c r="O8" s="51">
        <f>IF($A8="","",IFERROR(IF(OR(NOT(ISNUMBER(L8)),M8&lt;Config!$B$6),"N/M",L8/(M8*100)),"N/M"))</f>
        <v/>
      </c>
      <c r="P8" s="51">
        <f>IF($A8="","",IFERROR(SUMIFS(Raw_Q!$N$2:$N$600,Raw_Q!$A$2:$A$600,$A8,Raw_Q!$P$2:$P$600,"&gt;=1",Raw_Q!$P$2:$P$600,"&lt;=4"),""))</f>
        <v/>
      </c>
      <c r="Q8" s="49">
        <f>IF($A8="","",IFERROR(IF(P8=0,"不配息",P8/D8),""))</f>
        <v/>
      </c>
      <c r="R8" s="49">
        <f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/>
      </c>
      <c r="S8" s="49">
        <f>IF($A8="","",IFERROR(SUMIFS(Raw_Q!$I$2:$I$600,Raw_Q!$A$2:$A$600,$A8,Raw_Q!$P$2:$P$600,1)/SUMIFS(Raw_Q!$I$2:$I$600,Raw_Q!$A$2:$A$600,$A8,Raw_Q!$P$2:$P$600,5)-1,""))</f>
        <v/>
      </c>
      <c r="T8" s="49">
        <f>IF($A8="","",IFERROR(SUMIFS(Raw_Q!$I$2:$I$600,Raw_Q!$A$2:$A$600,$A8,Raw_Q!$P$2:$P$600,1)/SUMIFS(Raw_Q!$I$2:$I$600,Raw_Q!$A$2:$A$600,$A8,Raw_Q!$P$2:$P$600,2)-1,""))</f>
        <v/>
      </c>
      <c r="U8" s="49">
        <f>IF($A8="","",IFERROR(SUMIFS(Raw_Q!$I$2:$I$600,Raw_Q!$A$2:$A$600,$A8,Raw_Q!$P$2:$P$600,2)/SUMIFS(Raw_Q!$I$2:$I$600,Raw_Q!$A$2:$A$600,$A8,Raw_Q!$P$2:$P$600,3)-1,""))</f>
        <v/>
      </c>
      <c r="V8" s="64">
        <f>IF($A8="","",IFERROR((T8-U8)*100,""))</f>
        <v/>
      </c>
      <c r="W8" s="62">
        <f>IF($A8="","",IFERROR(IF(NOT(ISNUMBER(T8)),"",IF(T8&gt;0,IF(V8&gt;0,"成長且加速","成長但減速"),IF(V8&gt;0,"衰退但收斂","衰退且惡化"))),""))</f>
        <v/>
      </c>
      <c r="X8" s="64">
        <f>IF($A8="","",IFERROR((T8-(SUMIFS(Raw_Q!$I$2:$I$600,Raw_Q!$A$2:$A$600,$A8,Raw_Q!$P$2:$P$600,5)/SUMIFS(Raw_Q!$I$2:$I$600,Raw_Q!$A$2:$A$600,$A8,Raw_Q!$P$2:$P$600,6)-1))*100,""))</f>
        <v/>
      </c>
      <c r="Y8" s="49">
        <f>IF($A8="","",IFERROR(SUMIFS(Raw_Q!$K$2:$K$600,Raw_Q!$A$2:$A$600,$A8,Raw_Q!$P$2:$P$600,1)/SUMIFS(Raw_Q!$K$2:$K$600,Raw_Q!$A$2:$A$600,$A8,Raw_Q!$P$2:$P$600,5)-1,""))</f>
        <v/>
      </c>
      <c r="Z8" s="49">
        <f>IF($A8="","",IFERROR(SUMIFS(Raw_Q!$J$2:$J$600,Raw_Q!$A$2:$A$600,$A8,Raw_Q!$P$2:$P$600,"&gt;=1",Raw_Q!$P$2:$P$600,"&lt;=4")/E8,""))</f>
        <v/>
      </c>
      <c r="AA8" s="49">
        <f>IF($A8="","",IFERROR(SUMIFS(Raw_Q!$J$2:$J$600,Raw_Q!$A$2:$A$600,$A8,Raw_Q!$P$2:$P$600,"&gt;=1",Raw_Q!$P$2:$P$600,"&lt;="&amp;Config!$B$5)/SUMIFS(Raw_Q!$I$2:$I$600,Raw_Q!$A$2:$A$600,$A8,Raw_Q!$P$2:$P$600,"&gt;=1",Raw_Q!$P$2:$P$600,"&lt;="&amp;Config!$B$5),""))</f>
        <v/>
      </c>
      <c r="AB8" s="50">
        <f>IF($A8="","",IFERROR((Z8-AA8)*10000,""))</f>
        <v/>
      </c>
      <c r="AC8" s="50">
        <f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/>
      </c>
      <c r="AD8" s="51">
        <f>IF($A8="","",IFERROR(SUMIFS(Raw_Q!$M$2:$M$600,Raw_Q!$A$2:$A$600,$A8,Raw_Q!$P$2:$P$600,1)/SUMIFS(Raw_Q!$L$2:$L$600,Raw_Q!$A$2:$A$600,$A8,Raw_Q!$P$2:$P$600,1),""))</f>
        <v/>
      </c>
      <c r="AE8" s="48">
        <f>IF($A8="","",IFERROR(SUMPRODUCT((Raw_Q!$A$2:$A$600=$A8)*(Raw_Q!$P$2:$P$600&gt;=1)*(Raw_Q!$P$2:$P$600&lt;=4)*Raw_Q!$K$2:$K$600*Raw_Q!$L$2:$L$600),""))</f>
        <v/>
      </c>
      <c r="AF8" s="49">
        <f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/>
      </c>
      <c r="AG8" s="49">
        <f>IF($A8="","",IFERROR(AVERAGE(AO8:AS8),""))</f>
        <v/>
      </c>
      <c r="AH8" s="49">
        <f>IF($A8="","",IFERROR(IF(AD8&lt;=0,"N/M",INDEX(Raw_Est!$B$2:$B$100,MATCH($A8,Raw_Est!$A$2:$A$100,0))/AD8),"N/M"))</f>
        <v/>
      </c>
      <c r="AI8" s="51">
        <f>IF($A8="","",IFERROR(SUMIFS(Raw_Q!$K$2:$K$600,Raw_Q!$A$2:$A$600,$A8,Raw_Q!$P$2:$P$600,0),""))</f>
        <v/>
      </c>
      <c r="AJ8" s="62">
        <f>IF($A8="","",IFERROR(INDEX(Raw_Q!$B$2:$B$600,MATCH($A8&amp;"|"&amp;0,Raw_Q!$Q$2:$Q$600,0)),""))</f>
        <v/>
      </c>
      <c r="AK8" s="62">
        <f>IF($A8="","",IFERROR(INDEX(Raw_Q!$G$2:$G$600,MATCH($A8&amp;"|"&amp;0,Raw_Q!$Q$2:$Q$600,0)),""))</f>
        <v/>
      </c>
      <c r="AL8" s="47">
        <f>IF($A8="","",IFERROR(INDEX(Raw_Est!$E$2:$E$100,MATCH($A8,Raw_Est!$A$2:$A$100,0)),""))</f>
        <v/>
      </c>
      <c r="AM8" s="63">
        <f>IF($A8="","",IFERROR(INDEX(Raw_Price!$D$2:$D$100,MATCH($A8,Raw_Price!$A$2:$A$100,0)),""))</f>
        <v/>
      </c>
      <c r="AN8" s="63">
        <f>IF($A8="","",IFERROR(INDEX(Raw_Price!$E$2:$E$100,MATCH($A8,Raw_Price!$A$2:$A$100,0)),""))</f>
        <v/>
      </c>
      <c r="AO8" s="49">
        <f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/>
      </c>
      <c r="AP8" s="49">
        <f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/>
      </c>
      <c r="AQ8" s="49">
        <f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/>
      </c>
      <c r="AR8" s="49">
        <f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/>
      </c>
      <c r="AS8" s="49">
        <f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/>
      </c>
    </row>
    <row r="9">
      <c r="A9" s="20">
        <f>IF(Tickers!A9="","",Tickers!A9)</f>
        <v/>
      </c>
      <c r="B9" s="62">
        <f>IF($A9="","",IFERROR(INDEX(Tickers!$B$2:$B$100,MATCH($A9,Tickers!$A$2:$A$100,0)),""))</f>
        <v/>
      </c>
      <c r="C9" s="62">
        <f>IF($A9="","",IFERROR(INDEX(Tickers!$D$2:$D$100,MATCH($A9,Tickers!$A$2:$A$100,0)),""))</f>
        <v/>
      </c>
      <c r="D9" s="51">
        <f>IF($A9="","",IFERROR(INDEX(Raw_Price!$B$2:$B$100,MATCH($A9,Raw_Price!$A$2:$A$100,0)),""))</f>
        <v/>
      </c>
      <c r="E9" s="48">
        <f>IF($A9="","",IFERROR(SUMIFS(Raw_Q!$I$2:$I$600,Raw_Q!$A$2:$A$600,$A9,Raw_Q!$P$2:$P$600,"&gt;=1",Raw_Q!$P$2:$P$600,"&lt;=4"),""))</f>
        <v/>
      </c>
      <c r="F9" s="51">
        <f>IF($A9="","",IFERROR(SUMIFS(Raw_Q!$K$2:$K$600,Raw_Q!$A$2:$A$600,$A9,Raw_Q!$P$2:$P$600,"&gt;=1",Raw_Q!$P$2:$P$600,"&lt;=4"),""))</f>
        <v/>
      </c>
      <c r="G9" s="51">
        <f>IF($A9="","",IFERROR(SUMIFS(Raw_Q!$K$2:$K$600,Raw_Q!$A$2:$A$600,$A9,Raw_Q!$P$2:$P$600,"&gt;=0",Raw_Q!$P$2:$P$600,"&lt;=3"),""))</f>
        <v/>
      </c>
      <c r="H9" s="51">
        <f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>
        <f>IF($A9="","",IFERROR(SUMIFS(Raw_Q!$K$2:$K$600,Raw_Q!$A$2:$A$600,$A9,Raw_Q!$P$2:$P$600,"&gt;=1",Raw_Q!$P$2:$P$600,"&lt;=4")/SUMIFS(Raw_Q!$K$2:$K$600,Raw_Q!$A$2:$A$600,$A9,Raw_Q!$P$2:$P$600,"&gt;=5",Raw_Q!$P$2:$P$600,"&lt;=8")-1,""))</f>
        <v/>
      </c>
      <c r="J9" s="52">
        <f>IF($A9="","",IFERROR(IF(F9&lt;=0,"N/M",D9/F9),"N/M"))</f>
        <v/>
      </c>
      <c r="K9" s="52">
        <f>IF($A9="","",IFERROR(IF(G9&lt;=0,"N/M",D9/G9),"N/M"))</f>
        <v/>
      </c>
      <c r="L9" s="52">
        <f>IF($A9="","",IFERROR(IF(H9&lt;=0,"N/M",D9/H9),"N/M"))</f>
        <v/>
      </c>
      <c r="M9" s="49">
        <f>IF($A9="","",IFERROR(INDEX(Raw_Est!$C$2:$C$100,MATCH($A9,Raw_Est!$A$2:$A$100,0))/INDEX(Raw_Est!$B$2:$B$100,MATCH($A9,Raw_Est!$A$2:$A$100,0))-1,""))</f>
        <v/>
      </c>
      <c r="N9" s="51">
        <f>IF($A9="","",IFERROR(IF(OR(NOT(ISNUMBER(J9)),I9&lt;Config!$B$6),"N/M",J9/(I9*100)),"N/M"))</f>
        <v/>
      </c>
      <c r="O9" s="51">
        <f>IF($A9="","",IFERROR(IF(OR(NOT(ISNUMBER(L9)),M9&lt;Config!$B$6),"N/M",L9/(M9*100)),"N/M"))</f>
        <v/>
      </c>
      <c r="P9" s="51">
        <f>IF($A9="","",IFERROR(SUMIFS(Raw_Q!$N$2:$N$600,Raw_Q!$A$2:$A$600,$A9,Raw_Q!$P$2:$P$600,"&gt;=1",Raw_Q!$P$2:$P$600,"&lt;=4"),""))</f>
        <v/>
      </c>
      <c r="Q9" s="49">
        <f>IF($A9="","",IFERROR(IF(P9=0,"不配息",P9/D9),""))</f>
        <v/>
      </c>
      <c r="R9" s="49">
        <f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/>
      </c>
      <c r="S9" s="49">
        <f>IF($A9="","",IFERROR(SUMIFS(Raw_Q!$I$2:$I$600,Raw_Q!$A$2:$A$600,$A9,Raw_Q!$P$2:$P$600,1)/SUMIFS(Raw_Q!$I$2:$I$600,Raw_Q!$A$2:$A$600,$A9,Raw_Q!$P$2:$P$600,5)-1,""))</f>
        <v/>
      </c>
      <c r="T9" s="49">
        <f>IF($A9="","",IFERROR(SUMIFS(Raw_Q!$I$2:$I$600,Raw_Q!$A$2:$A$600,$A9,Raw_Q!$P$2:$P$600,1)/SUMIFS(Raw_Q!$I$2:$I$600,Raw_Q!$A$2:$A$600,$A9,Raw_Q!$P$2:$P$600,2)-1,""))</f>
        <v/>
      </c>
      <c r="U9" s="49">
        <f>IF($A9="","",IFERROR(SUMIFS(Raw_Q!$I$2:$I$600,Raw_Q!$A$2:$A$600,$A9,Raw_Q!$P$2:$P$600,2)/SUMIFS(Raw_Q!$I$2:$I$600,Raw_Q!$A$2:$A$600,$A9,Raw_Q!$P$2:$P$600,3)-1,""))</f>
        <v/>
      </c>
      <c r="V9" s="64">
        <f>IF($A9="","",IFERROR((T9-U9)*100,""))</f>
        <v/>
      </c>
      <c r="W9" s="62">
        <f>IF($A9="","",IFERROR(IF(NOT(ISNUMBER(T9)),"",IF(T9&gt;0,IF(V9&gt;0,"成長且加速","成長但減速"),IF(V9&gt;0,"衰退但收斂","衰退且惡化"))),""))</f>
        <v/>
      </c>
      <c r="X9" s="64">
        <f>IF($A9="","",IFERROR((T9-(SUMIFS(Raw_Q!$I$2:$I$600,Raw_Q!$A$2:$A$600,$A9,Raw_Q!$P$2:$P$600,5)/SUMIFS(Raw_Q!$I$2:$I$600,Raw_Q!$A$2:$A$600,$A9,Raw_Q!$P$2:$P$600,6)-1))*100,""))</f>
        <v/>
      </c>
      <c r="Y9" s="49">
        <f>IF($A9="","",IFERROR(SUMIFS(Raw_Q!$K$2:$K$600,Raw_Q!$A$2:$A$600,$A9,Raw_Q!$P$2:$P$600,1)/SUMIFS(Raw_Q!$K$2:$K$600,Raw_Q!$A$2:$A$600,$A9,Raw_Q!$P$2:$P$600,5)-1,""))</f>
        <v/>
      </c>
      <c r="Z9" s="49">
        <f>IF($A9="","",IFERROR(SUMIFS(Raw_Q!$J$2:$J$600,Raw_Q!$A$2:$A$600,$A9,Raw_Q!$P$2:$P$600,"&gt;=1",Raw_Q!$P$2:$P$600,"&lt;=4")/E9,""))</f>
        <v/>
      </c>
      <c r="AA9" s="49">
        <f>IF($A9="","",IFERROR(SUMIFS(Raw_Q!$J$2:$J$600,Raw_Q!$A$2:$A$600,$A9,Raw_Q!$P$2:$P$600,"&gt;=1",Raw_Q!$P$2:$P$600,"&lt;="&amp;Config!$B$5)/SUMIFS(Raw_Q!$I$2:$I$600,Raw_Q!$A$2:$A$600,$A9,Raw_Q!$P$2:$P$600,"&gt;=1",Raw_Q!$P$2:$P$600,"&lt;="&amp;Config!$B$5),""))</f>
        <v/>
      </c>
      <c r="AB9" s="50">
        <f>IF($A9="","",IFERROR((Z9-AA9)*10000,""))</f>
        <v/>
      </c>
      <c r="AC9" s="50">
        <f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/>
      </c>
      <c r="AD9" s="51">
        <f>IF($A9="","",IFERROR(SUMIFS(Raw_Q!$M$2:$M$600,Raw_Q!$A$2:$A$600,$A9,Raw_Q!$P$2:$P$600,1)/SUMIFS(Raw_Q!$L$2:$L$600,Raw_Q!$A$2:$A$600,$A9,Raw_Q!$P$2:$P$600,1),""))</f>
        <v/>
      </c>
      <c r="AE9" s="48">
        <f>IF($A9="","",IFERROR(SUMPRODUCT((Raw_Q!$A$2:$A$600=$A9)*(Raw_Q!$P$2:$P$600&gt;=1)*(Raw_Q!$P$2:$P$600&lt;=4)*Raw_Q!$K$2:$K$600*Raw_Q!$L$2:$L$600),""))</f>
        <v/>
      </c>
      <c r="AF9" s="49">
        <f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/>
      </c>
      <c r="AG9" s="49">
        <f>IF($A9="","",IFERROR(AVERAGE(AO9:AS9),""))</f>
        <v/>
      </c>
      <c r="AH9" s="49">
        <f>IF($A9="","",IFERROR(IF(AD9&lt;=0,"N/M",INDEX(Raw_Est!$B$2:$B$100,MATCH($A9,Raw_Est!$A$2:$A$100,0))/AD9),"N/M"))</f>
        <v/>
      </c>
      <c r="AI9" s="51">
        <f>IF($A9="","",IFERROR(SUMIFS(Raw_Q!$K$2:$K$600,Raw_Q!$A$2:$A$600,$A9,Raw_Q!$P$2:$P$600,0),""))</f>
        <v/>
      </c>
      <c r="AJ9" s="62">
        <f>IF($A9="","",IFERROR(INDEX(Raw_Q!$B$2:$B$600,MATCH($A9&amp;"|"&amp;0,Raw_Q!$Q$2:$Q$600,0)),""))</f>
        <v/>
      </c>
      <c r="AK9" s="62">
        <f>IF($A9="","",IFERROR(INDEX(Raw_Q!$G$2:$G$600,MATCH($A9&amp;"|"&amp;0,Raw_Q!$Q$2:$Q$600,0)),""))</f>
        <v/>
      </c>
      <c r="AL9" s="47">
        <f>IF($A9="","",IFERROR(INDEX(Raw_Est!$E$2:$E$100,MATCH($A9,Raw_Est!$A$2:$A$100,0)),""))</f>
        <v/>
      </c>
      <c r="AM9" s="63">
        <f>IF($A9="","",IFERROR(INDEX(Raw_Price!$D$2:$D$100,MATCH($A9,Raw_Price!$A$2:$A$100,0)),""))</f>
        <v/>
      </c>
      <c r="AN9" s="63">
        <f>IF($A9="","",IFERROR(INDEX(Raw_Price!$E$2:$E$100,MATCH($A9,Raw_Price!$A$2:$A$100,0)),""))</f>
        <v/>
      </c>
      <c r="AO9" s="49">
        <f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>
        <f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>
        <f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>
        <f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>
        <f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>
      <c r="A10" s="20">
        <f>IF(Tickers!A10="","",Tickers!A10)</f>
        <v/>
      </c>
      <c r="B10" s="62">
        <f>IF($A10="","",IFERROR(INDEX(Tickers!$B$2:$B$100,MATCH($A10,Tickers!$A$2:$A$100,0)),""))</f>
        <v/>
      </c>
      <c r="C10" s="62">
        <f>IF($A10="","",IFERROR(INDEX(Tickers!$D$2:$D$100,MATCH($A10,Tickers!$A$2:$A$100,0)),""))</f>
        <v/>
      </c>
      <c r="D10" s="51">
        <f>IF($A10="","",IFERROR(INDEX(Raw_Price!$B$2:$B$100,MATCH($A10,Raw_Price!$A$2:$A$100,0)),""))</f>
        <v/>
      </c>
      <c r="E10" s="48">
        <f>IF($A10="","",IFERROR(SUMIFS(Raw_Q!$I$2:$I$600,Raw_Q!$A$2:$A$600,$A10,Raw_Q!$P$2:$P$600,"&gt;=1",Raw_Q!$P$2:$P$600,"&lt;=4"),""))</f>
        <v/>
      </c>
      <c r="F10" s="51">
        <f>IF($A10="","",IFERROR(SUMIFS(Raw_Q!$K$2:$K$600,Raw_Q!$A$2:$A$600,$A10,Raw_Q!$P$2:$P$600,"&gt;=1",Raw_Q!$P$2:$P$600,"&lt;=4"),""))</f>
        <v/>
      </c>
      <c r="G10" s="51">
        <f>IF($A10="","",IFERROR(SUMIFS(Raw_Q!$K$2:$K$600,Raw_Q!$A$2:$A$600,$A10,Raw_Q!$P$2:$P$600,"&gt;=0",Raw_Q!$P$2:$P$600,"&lt;=3"),""))</f>
        <v/>
      </c>
      <c r="H10" s="51">
        <f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>
        <f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>
        <f>IF($A10="","",IFERROR(IF(F10&lt;=0,"N/M",D10/F10),"N/M"))</f>
        <v/>
      </c>
      <c r="K10" s="52">
        <f>IF($A10="","",IFERROR(IF(G10&lt;=0,"N/M",D10/G10),"N/M"))</f>
        <v/>
      </c>
      <c r="L10" s="52">
        <f>IF($A10="","",IFERROR(IF(H10&lt;=0,"N/M",D10/H10),"N/M"))</f>
        <v/>
      </c>
      <c r="M10" s="49">
        <f>IF($A10="","",IFERROR(INDEX(Raw_Est!$C$2:$C$100,MATCH($A10,Raw_Est!$A$2:$A$100,0))/INDEX(Raw_Est!$B$2:$B$100,MATCH($A10,Raw_Est!$A$2:$A$100,0))-1,""))</f>
        <v/>
      </c>
      <c r="N10" s="51">
        <f>IF($A10="","",IFERROR(IF(OR(NOT(ISNUMBER(J10)),I10&lt;Config!$B$6),"N/M",J10/(I10*100)),"N/M"))</f>
        <v/>
      </c>
      <c r="O10" s="51">
        <f>IF($A10="","",IFERROR(IF(OR(NOT(ISNUMBER(L10)),M10&lt;Config!$B$6),"N/M",L10/(M10*100)),"N/M"))</f>
        <v/>
      </c>
      <c r="P10" s="51">
        <f>IF($A10="","",IFERROR(SUMIFS(Raw_Q!$N$2:$N$600,Raw_Q!$A$2:$A$600,$A10,Raw_Q!$P$2:$P$600,"&gt;=1",Raw_Q!$P$2:$P$600,"&lt;=4"),""))</f>
        <v/>
      </c>
      <c r="Q10" s="49">
        <f>IF($A10="","",IFERROR(IF(P10=0,"不配息",P10/D10),""))</f>
        <v/>
      </c>
      <c r="R10" s="49">
        <f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>
        <f>IF($A10="","",IFERROR(SUMIFS(Raw_Q!$I$2:$I$600,Raw_Q!$A$2:$A$600,$A10,Raw_Q!$P$2:$P$600,1)/SUMIFS(Raw_Q!$I$2:$I$600,Raw_Q!$A$2:$A$600,$A10,Raw_Q!$P$2:$P$600,5)-1,""))</f>
        <v/>
      </c>
      <c r="T10" s="49">
        <f>IF($A10="","",IFERROR(SUMIFS(Raw_Q!$I$2:$I$600,Raw_Q!$A$2:$A$600,$A10,Raw_Q!$P$2:$P$600,1)/SUMIFS(Raw_Q!$I$2:$I$600,Raw_Q!$A$2:$A$600,$A10,Raw_Q!$P$2:$P$600,2)-1,""))</f>
        <v/>
      </c>
      <c r="U10" s="49">
        <f>IF($A10="","",IFERROR(SUMIFS(Raw_Q!$I$2:$I$600,Raw_Q!$A$2:$A$600,$A10,Raw_Q!$P$2:$P$600,2)/SUMIFS(Raw_Q!$I$2:$I$600,Raw_Q!$A$2:$A$600,$A10,Raw_Q!$P$2:$P$600,3)-1,""))</f>
        <v/>
      </c>
      <c r="V10" s="64">
        <f>IF($A10="","",IFERROR((T10-U10)*100,""))</f>
        <v/>
      </c>
      <c r="W10" s="62">
        <f>IF($A10="","",IFERROR(IF(NOT(ISNUMBER(T10)),"",IF(T10&gt;0,IF(V10&gt;0,"成長且加速","成長但減速"),IF(V10&gt;0,"衰退但收斂","衰退且惡化"))),""))</f>
        <v/>
      </c>
      <c r="X10" s="64">
        <f>IF($A10="","",IFERROR((T10-(SUMIFS(Raw_Q!$I$2:$I$600,Raw_Q!$A$2:$A$600,$A10,Raw_Q!$P$2:$P$600,5)/SUMIFS(Raw_Q!$I$2:$I$600,Raw_Q!$A$2:$A$600,$A10,Raw_Q!$P$2:$P$600,6)-1))*100,""))</f>
        <v/>
      </c>
      <c r="Y10" s="49">
        <f>IF($A10="","",IFERROR(SUMIFS(Raw_Q!$K$2:$K$600,Raw_Q!$A$2:$A$600,$A10,Raw_Q!$P$2:$P$600,1)/SUMIFS(Raw_Q!$K$2:$K$600,Raw_Q!$A$2:$A$600,$A10,Raw_Q!$P$2:$P$600,5)-1,""))</f>
        <v/>
      </c>
      <c r="Z10" s="49">
        <f>IF($A10="","",IFERROR(SUMIFS(Raw_Q!$J$2:$J$600,Raw_Q!$A$2:$A$600,$A10,Raw_Q!$P$2:$P$600,"&gt;=1",Raw_Q!$P$2:$P$600,"&lt;=4")/E10,""))</f>
        <v/>
      </c>
      <c r="AA10" s="49">
        <f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>
        <f>IF($A10="","",IFERROR((Z10-AA10)*10000,""))</f>
        <v/>
      </c>
      <c r="AC10" s="50">
        <f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>
        <f>IF($A10="","",IFERROR(SUMIFS(Raw_Q!$M$2:$M$600,Raw_Q!$A$2:$A$600,$A10,Raw_Q!$P$2:$P$600,1)/SUMIFS(Raw_Q!$L$2:$L$600,Raw_Q!$A$2:$A$600,$A10,Raw_Q!$P$2:$P$600,1),""))</f>
        <v/>
      </c>
      <c r="AE10" s="48">
        <f>IF($A10="","",IFERROR(SUMPRODUCT((Raw_Q!$A$2:$A$600=$A10)*(Raw_Q!$P$2:$P$600&gt;=1)*(Raw_Q!$P$2:$P$600&lt;=4)*Raw_Q!$K$2:$K$600*Raw_Q!$L$2:$L$600),""))</f>
        <v/>
      </c>
      <c r="AF10" s="49">
        <f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>
        <f>IF($A10="","",IFERROR(AVERAGE(AO10:AS10),""))</f>
        <v/>
      </c>
      <c r="AH10" s="49">
        <f>IF($A10="","",IFERROR(IF(AD10&lt;=0,"N/M",INDEX(Raw_Est!$B$2:$B$100,MATCH($A10,Raw_Est!$A$2:$A$100,0))/AD10),"N/M"))</f>
        <v/>
      </c>
      <c r="AI10" s="51">
        <f>IF($A10="","",IFERROR(SUMIFS(Raw_Q!$K$2:$K$600,Raw_Q!$A$2:$A$600,$A10,Raw_Q!$P$2:$P$600,0),""))</f>
        <v/>
      </c>
      <c r="AJ10" s="62">
        <f>IF($A10="","",IFERROR(INDEX(Raw_Q!$B$2:$B$600,MATCH($A10&amp;"|"&amp;0,Raw_Q!$Q$2:$Q$600,0)),""))</f>
        <v/>
      </c>
      <c r="AK10" s="62">
        <f>IF($A10="","",IFERROR(INDEX(Raw_Q!$G$2:$G$600,MATCH($A10&amp;"|"&amp;0,Raw_Q!$Q$2:$Q$600,0)),""))</f>
        <v/>
      </c>
      <c r="AL10" s="47">
        <f>IF($A10="","",IFERROR(INDEX(Raw_Est!$E$2:$E$100,MATCH($A10,Raw_Est!$A$2:$A$100,0)),""))</f>
        <v/>
      </c>
      <c r="AM10" s="63">
        <f>IF($A10="","",IFERROR(INDEX(Raw_Price!$D$2:$D$100,MATCH($A10,Raw_Price!$A$2:$A$100,0)),""))</f>
        <v/>
      </c>
      <c r="AN10" s="63">
        <f>IF($A10="","",IFERROR(INDEX(Raw_Price!$E$2:$E$100,MATCH($A10,Raw_Price!$A$2:$A$100,0)),""))</f>
        <v/>
      </c>
      <c r="AO10" s="49">
        <f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>
        <f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>
        <f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>
        <f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>
        <f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>
      <c r="A11" s="20">
        <f>IF(Tickers!A11="","",Tickers!A11)</f>
        <v/>
      </c>
      <c r="B11" s="62">
        <f>IF($A11="","",IFERROR(INDEX(Tickers!$B$2:$B$100,MATCH($A11,Tickers!$A$2:$A$100,0)),""))</f>
        <v/>
      </c>
      <c r="C11" s="62">
        <f>IF($A11="","",IFERROR(INDEX(Tickers!$D$2:$D$100,MATCH($A11,Tickers!$A$2:$A$100,0)),""))</f>
        <v/>
      </c>
      <c r="D11" s="51">
        <f>IF($A11="","",IFERROR(INDEX(Raw_Price!$B$2:$B$100,MATCH($A11,Raw_Price!$A$2:$A$100,0)),""))</f>
        <v/>
      </c>
      <c r="E11" s="48">
        <f>IF($A11="","",IFERROR(SUMIFS(Raw_Q!$I$2:$I$600,Raw_Q!$A$2:$A$600,$A11,Raw_Q!$P$2:$P$600,"&gt;=1",Raw_Q!$P$2:$P$600,"&lt;=4"),""))</f>
        <v/>
      </c>
      <c r="F11" s="51">
        <f>IF($A11="","",IFERROR(SUMIFS(Raw_Q!$K$2:$K$600,Raw_Q!$A$2:$A$600,$A11,Raw_Q!$P$2:$P$600,"&gt;=1",Raw_Q!$P$2:$P$600,"&lt;=4"),""))</f>
        <v/>
      </c>
      <c r="G11" s="51">
        <f>IF($A11="","",IFERROR(SUMIFS(Raw_Q!$K$2:$K$600,Raw_Q!$A$2:$A$600,$A11,Raw_Q!$P$2:$P$600,"&gt;=0",Raw_Q!$P$2:$P$600,"&lt;=3"),""))</f>
        <v/>
      </c>
      <c r="H11" s="51">
        <f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>
        <f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>
        <f>IF($A11="","",IFERROR(IF(F11&lt;=0,"N/M",D11/F11),"N/M"))</f>
        <v/>
      </c>
      <c r="K11" s="52">
        <f>IF($A11="","",IFERROR(IF(G11&lt;=0,"N/M",D11/G11),"N/M"))</f>
        <v/>
      </c>
      <c r="L11" s="52">
        <f>IF($A11="","",IFERROR(IF(H11&lt;=0,"N/M",D11/H11),"N/M"))</f>
        <v/>
      </c>
      <c r="M11" s="49">
        <f>IF($A11="","",IFERROR(INDEX(Raw_Est!$C$2:$C$100,MATCH($A11,Raw_Est!$A$2:$A$100,0))/INDEX(Raw_Est!$B$2:$B$100,MATCH($A11,Raw_Est!$A$2:$A$100,0))-1,""))</f>
        <v/>
      </c>
      <c r="N11" s="51">
        <f>IF($A11="","",IFERROR(IF(OR(NOT(ISNUMBER(J11)),I11&lt;Config!$B$6),"N/M",J11/(I11*100)),"N/M"))</f>
        <v/>
      </c>
      <c r="O11" s="51">
        <f>IF($A11="","",IFERROR(IF(OR(NOT(ISNUMBER(L11)),M11&lt;Config!$B$6),"N/M",L11/(M11*100)),"N/M"))</f>
        <v/>
      </c>
      <c r="P11" s="51">
        <f>IF($A11="","",IFERROR(SUMIFS(Raw_Q!$N$2:$N$600,Raw_Q!$A$2:$A$600,$A11,Raw_Q!$P$2:$P$600,"&gt;=1",Raw_Q!$P$2:$P$600,"&lt;=4"),""))</f>
        <v/>
      </c>
      <c r="Q11" s="49">
        <f>IF($A11="","",IFERROR(IF(P11=0,"不配息",P11/D11),""))</f>
        <v/>
      </c>
      <c r="R11" s="49">
        <f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>
        <f>IF($A11="","",IFERROR(SUMIFS(Raw_Q!$I$2:$I$600,Raw_Q!$A$2:$A$600,$A11,Raw_Q!$P$2:$P$600,1)/SUMIFS(Raw_Q!$I$2:$I$600,Raw_Q!$A$2:$A$600,$A11,Raw_Q!$P$2:$P$600,5)-1,""))</f>
        <v/>
      </c>
      <c r="T11" s="49">
        <f>IF($A11="","",IFERROR(SUMIFS(Raw_Q!$I$2:$I$600,Raw_Q!$A$2:$A$600,$A11,Raw_Q!$P$2:$P$600,1)/SUMIFS(Raw_Q!$I$2:$I$600,Raw_Q!$A$2:$A$600,$A11,Raw_Q!$P$2:$P$600,2)-1,""))</f>
        <v/>
      </c>
      <c r="U11" s="49">
        <f>IF($A11="","",IFERROR(SUMIFS(Raw_Q!$I$2:$I$600,Raw_Q!$A$2:$A$600,$A11,Raw_Q!$P$2:$P$600,2)/SUMIFS(Raw_Q!$I$2:$I$600,Raw_Q!$A$2:$A$600,$A11,Raw_Q!$P$2:$P$600,3)-1,""))</f>
        <v/>
      </c>
      <c r="V11" s="64">
        <f>IF($A11="","",IFERROR((T11-U11)*100,""))</f>
        <v/>
      </c>
      <c r="W11" s="62">
        <f>IF($A11="","",IFERROR(IF(NOT(ISNUMBER(T11)),"",IF(T11&gt;0,IF(V11&gt;0,"成長且加速","成長但減速"),IF(V11&gt;0,"衰退但收斂","衰退且惡化"))),""))</f>
        <v/>
      </c>
      <c r="X11" s="64">
        <f>IF($A11="","",IFERROR((T11-(SUMIFS(Raw_Q!$I$2:$I$600,Raw_Q!$A$2:$A$600,$A11,Raw_Q!$P$2:$P$600,5)/SUMIFS(Raw_Q!$I$2:$I$600,Raw_Q!$A$2:$A$600,$A11,Raw_Q!$P$2:$P$600,6)-1))*100,""))</f>
        <v/>
      </c>
      <c r="Y11" s="49">
        <f>IF($A11="","",IFERROR(SUMIFS(Raw_Q!$K$2:$K$600,Raw_Q!$A$2:$A$600,$A11,Raw_Q!$P$2:$P$600,1)/SUMIFS(Raw_Q!$K$2:$K$600,Raw_Q!$A$2:$A$600,$A11,Raw_Q!$P$2:$P$600,5)-1,""))</f>
        <v/>
      </c>
      <c r="Z11" s="49">
        <f>IF($A11="","",IFERROR(SUMIFS(Raw_Q!$J$2:$J$600,Raw_Q!$A$2:$A$600,$A11,Raw_Q!$P$2:$P$600,"&gt;=1",Raw_Q!$P$2:$P$600,"&lt;=4")/E11,""))</f>
        <v/>
      </c>
      <c r="AA11" s="49">
        <f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>
        <f>IF($A11="","",IFERROR((Z11-AA11)*10000,""))</f>
        <v/>
      </c>
      <c r="AC11" s="50">
        <f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>
        <f>IF($A11="","",IFERROR(SUMIFS(Raw_Q!$M$2:$M$600,Raw_Q!$A$2:$A$600,$A11,Raw_Q!$P$2:$P$600,1)/SUMIFS(Raw_Q!$L$2:$L$600,Raw_Q!$A$2:$A$600,$A11,Raw_Q!$P$2:$P$600,1),""))</f>
        <v/>
      </c>
      <c r="AE11" s="48">
        <f>IF($A11="","",IFERROR(SUMPRODUCT((Raw_Q!$A$2:$A$600=$A11)*(Raw_Q!$P$2:$P$600&gt;=1)*(Raw_Q!$P$2:$P$600&lt;=4)*Raw_Q!$K$2:$K$600*Raw_Q!$L$2:$L$600),""))</f>
        <v/>
      </c>
      <c r="AF11" s="49">
        <f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>
        <f>IF($A11="","",IFERROR(AVERAGE(AO11:AS11),""))</f>
        <v/>
      </c>
      <c r="AH11" s="49">
        <f>IF($A11="","",IFERROR(IF(AD11&lt;=0,"N/M",INDEX(Raw_Est!$B$2:$B$100,MATCH($A11,Raw_Est!$A$2:$A$100,0))/AD11),"N/M"))</f>
        <v/>
      </c>
      <c r="AI11" s="51">
        <f>IF($A11="","",IFERROR(SUMIFS(Raw_Q!$K$2:$K$600,Raw_Q!$A$2:$A$600,$A11,Raw_Q!$P$2:$P$600,0),""))</f>
        <v/>
      </c>
      <c r="AJ11" s="62">
        <f>IF($A11="","",IFERROR(INDEX(Raw_Q!$B$2:$B$600,MATCH($A11&amp;"|"&amp;0,Raw_Q!$Q$2:$Q$600,0)),""))</f>
        <v/>
      </c>
      <c r="AK11" s="62">
        <f>IF($A11="","",IFERROR(INDEX(Raw_Q!$G$2:$G$600,MATCH($A11&amp;"|"&amp;0,Raw_Q!$Q$2:$Q$600,0)),""))</f>
        <v/>
      </c>
      <c r="AL11" s="47">
        <f>IF($A11="","",IFERROR(INDEX(Raw_Est!$E$2:$E$100,MATCH($A11,Raw_Est!$A$2:$A$100,0)),""))</f>
        <v/>
      </c>
      <c r="AM11" s="63">
        <f>IF($A11="","",IFERROR(INDEX(Raw_Price!$D$2:$D$100,MATCH($A11,Raw_Price!$A$2:$A$100,0)),""))</f>
        <v/>
      </c>
      <c r="AN11" s="63">
        <f>IF($A11="","",IFERROR(INDEX(Raw_Price!$E$2:$E$100,MATCH($A11,Raw_Price!$A$2:$A$100,0)),""))</f>
        <v/>
      </c>
      <c r="AO11" s="49">
        <f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>
        <f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>
        <f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>
        <f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>
        <f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>
      <c r="A12" s="20">
        <f>IF(Tickers!A12="","",Tickers!A12)</f>
        <v/>
      </c>
      <c r="B12" s="62">
        <f>IF($A12="","",IFERROR(INDEX(Tickers!$B$2:$B$100,MATCH($A12,Tickers!$A$2:$A$100,0)),""))</f>
        <v/>
      </c>
      <c r="C12" s="62">
        <f>IF($A12="","",IFERROR(INDEX(Tickers!$D$2:$D$100,MATCH($A12,Tickers!$A$2:$A$100,0)),""))</f>
        <v/>
      </c>
      <c r="D12" s="51">
        <f>IF($A12="","",IFERROR(INDEX(Raw_Price!$B$2:$B$100,MATCH($A12,Raw_Price!$A$2:$A$100,0)),""))</f>
        <v/>
      </c>
      <c r="E12" s="48">
        <f>IF($A12="","",IFERROR(SUMIFS(Raw_Q!$I$2:$I$600,Raw_Q!$A$2:$A$600,$A12,Raw_Q!$P$2:$P$600,"&gt;=1",Raw_Q!$P$2:$P$600,"&lt;=4"),""))</f>
        <v/>
      </c>
      <c r="F12" s="51">
        <f>IF($A12="","",IFERROR(SUMIFS(Raw_Q!$K$2:$K$600,Raw_Q!$A$2:$A$600,$A12,Raw_Q!$P$2:$P$600,"&gt;=1",Raw_Q!$P$2:$P$600,"&lt;=4"),""))</f>
        <v/>
      </c>
      <c r="G12" s="51">
        <f>IF($A12="","",IFERROR(SUMIFS(Raw_Q!$K$2:$K$600,Raw_Q!$A$2:$A$600,$A12,Raw_Q!$P$2:$P$600,"&gt;=0",Raw_Q!$P$2:$P$600,"&lt;=3"),""))</f>
        <v/>
      </c>
      <c r="H12" s="51">
        <f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>
        <f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>
        <f>IF($A12="","",IFERROR(IF(F12&lt;=0,"N/M",D12/F12),"N/M"))</f>
        <v/>
      </c>
      <c r="K12" s="52">
        <f>IF($A12="","",IFERROR(IF(G12&lt;=0,"N/M",D12/G12),"N/M"))</f>
        <v/>
      </c>
      <c r="L12" s="52">
        <f>IF($A12="","",IFERROR(IF(H12&lt;=0,"N/M",D12/H12),"N/M"))</f>
        <v/>
      </c>
      <c r="M12" s="49">
        <f>IF($A12="","",IFERROR(INDEX(Raw_Est!$C$2:$C$100,MATCH($A12,Raw_Est!$A$2:$A$100,0))/INDEX(Raw_Est!$B$2:$B$100,MATCH($A12,Raw_Est!$A$2:$A$100,0))-1,""))</f>
        <v/>
      </c>
      <c r="N12" s="51">
        <f>IF($A12="","",IFERROR(IF(OR(NOT(ISNUMBER(J12)),I12&lt;Config!$B$6),"N/M",J12/(I12*100)),"N/M"))</f>
        <v/>
      </c>
      <c r="O12" s="51">
        <f>IF($A12="","",IFERROR(IF(OR(NOT(ISNUMBER(L12)),M12&lt;Config!$B$6),"N/M",L12/(M12*100)),"N/M"))</f>
        <v/>
      </c>
      <c r="P12" s="51">
        <f>IF($A12="","",IFERROR(SUMIFS(Raw_Q!$N$2:$N$600,Raw_Q!$A$2:$A$600,$A12,Raw_Q!$P$2:$P$600,"&gt;=1",Raw_Q!$P$2:$P$600,"&lt;=4"),""))</f>
        <v/>
      </c>
      <c r="Q12" s="49">
        <f>IF($A12="","",IFERROR(IF(P12=0,"不配息",P12/D12),""))</f>
        <v/>
      </c>
      <c r="R12" s="49">
        <f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>
        <f>IF($A12="","",IFERROR(SUMIFS(Raw_Q!$I$2:$I$600,Raw_Q!$A$2:$A$600,$A12,Raw_Q!$P$2:$P$600,1)/SUMIFS(Raw_Q!$I$2:$I$600,Raw_Q!$A$2:$A$600,$A12,Raw_Q!$P$2:$P$600,5)-1,""))</f>
        <v/>
      </c>
      <c r="T12" s="49">
        <f>IF($A12="","",IFERROR(SUMIFS(Raw_Q!$I$2:$I$600,Raw_Q!$A$2:$A$600,$A12,Raw_Q!$P$2:$P$600,1)/SUMIFS(Raw_Q!$I$2:$I$600,Raw_Q!$A$2:$A$600,$A12,Raw_Q!$P$2:$P$600,2)-1,""))</f>
        <v/>
      </c>
      <c r="U12" s="49">
        <f>IF($A12="","",IFERROR(SUMIFS(Raw_Q!$I$2:$I$600,Raw_Q!$A$2:$A$600,$A12,Raw_Q!$P$2:$P$600,2)/SUMIFS(Raw_Q!$I$2:$I$600,Raw_Q!$A$2:$A$600,$A12,Raw_Q!$P$2:$P$600,3)-1,""))</f>
        <v/>
      </c>
      <c r="V12" s="64">
        <f>IF($A12="","",IFERROR((T12-U12)*100,""))</f>
        <v/>
      </c>
      <c r="W12" s="62">
        <f>IF($A12="","",IFERROR(IF(NOT(ISNUMBER(T12)),"",IF(T12&gt;0,IF(V12&gt;0,"成長且加速","成長但減速"),IF(V12&gt;0,"衰退但收斂","衰退且惡化"))),""))</f>
        <v/>
      </c>
      <c r="X12" s="64">
        <f>IF($A12="","",IFERROR((T12-(SUMIFS(Raw_Q!$I$2:$I$600,Raw_Q!$A$2:$A$600,$A12,Raw_Q!$P$2:$P$600,5)/SUMIFS(Raw_Q!$I$2:$I$600,Raw_Q!$A$2:$A$600,$A12,Raw_Q!$P$2:$P$600,6)-1))*100,""))</f>
        <v/>
      </c>
      <c r="Y12" s="49">
        <f>IF($A12="","",IFERROR(SUMIFS(Raw_Q!$K$2:$K$600,Raw_Q!$A$2:$A$600,$A12,Raw_Q!$P$2:$P$600,1)/SUMIFS(Raw_Q!$K$2:$K$600,Raw_Q!$A$2:$A$600,$A12,Raw_Q!$P$2:$P$600,5)-1,""))</f>
        <v/>
      </c>
      <c r="Z12" s="49">
        <f>IF($A12="","",IFERROR(SUMIFS(Raw_Q!$J$2:$J$600,Raw_Q!$A$2:$A$600,$A12,Raw_Q!$P$2:$P$600,"&gt;=1",Raw_Q!$P$2:$P$600,"&lt;=4")/E12,""))</f>
        <v/>
      </c>
      <c r="AA12" s="49">
        <f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>
        <f>IF($A12="","",IFERROR((Z12-AA12)*10000,""))</f>
        <v/>
      </c>
      <c r="AC12" s="50">
        <f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>
        <f>IF($A12="","",IFERROR(SUMIFS(Raw_Q!$M$2:$M$600,Raw_Q!$A$2:$A$600,$A12,Raw_Q!$P$2:$P$600,1)/SUMIFS(Raw_Q!$L$2:$L$600,Raw_Q!$A$2:$A$600,$A12,Raw_Q!$P$2:$P$600,1),""))</f>
        <v/>
      </c>
      <c r="AE12" s="48">
        <f>IF($A12="","",IFERROR(SUMPRODUCT((Raw_Q!$A$2:$A$600=$A12)*(Raw_Q!$P$2:$P$600&gt;=1)*(Raw_Q!$P$2:$P$600&lt;=4)*Raw_Q!$K$2:$K$600*Raw_Q!$L$2:$L$600),""))</f>
        <v/>
      </c>
      <c r="AF12" s="49">
        <f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>
        <f>IF($A12="","",IFERROR(AVERAGE(AO12:AS12),""))</f>
        <v/>
      </c>
      <c r="AH12" s="49">
        <f>IF($A12="","",IFERROR(IF(AD12&lt;=0,"N/M",INDEX(Raw_Est!$B$2:$B$100,MATCH($A12,Raw_Est!$A$2:$A$100,0))/AD12),"N/M"))</f>
        <v/>
      </c>
      <c r="AI12" s="51">
        <f>IF($A12="","",IFERROR(SUMIFS(Raw_Q!$K$2:$K$600,Raw_Q!$A$2:$A$600,$A12,Raw_Q!$P$2:$P$600,0),""))</f>
        <v/>
      </c>
      <c r="AJ12" s="62">
        <f>IF($A12="","",IFERROR(INDEX(Raw_Q!$B$2:$B$600,MATCH($A12&amp;"|"&amp;0,Raw_Q!$Q$2:$Q$600,0)),""))</f>
        <v/>
      </c>
      <c r="AK12" s="62">
        <f>IF($A12="","",IFERROR(INDEX(Raw_Q!$G$2:$G$600,MATCH($A12&amp;"|"&amp;0,Raw_Q!$Q$2:$Q$600,0)),""))</f>
        <v/>
      </c>
      <c r="AL12" s="47">
        <f>IF($A12="","",IFERROR(INDEX(Raw_Est!$E$2:$E$100,MATCH($A12,Raw_Est!$A$2:$A$100,0)),""))</f>
        <v/>
      </c>
      <c r="AM12" s="63">
        <f>IF($A12="","",IFERROR(INDEX(Raw_Price!$D$2:$D$100,MATCH($A12,Raw_Price!$A$2:$A$100,0)),""))</f>
        <v/>
      </c>
      <c r="AN12" s="63">
        <f>IF($A12="","",IFERROR(INDEX(Raw_Price!$E$2:$E$100,MATCH($A12,Raw_Price!$A$2:$A$100,0)),""))</f>
        <v/>
      </c>
      <c r="AO12" s="49">
        <f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>
        <f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>
        <f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>
        <f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>
        <f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>
      <c r="A13" s="20">
        <f>IF(Tickers!A13="","",Tickers!A13)</f>
        <v/>
      </c>
      <c r="B13" s="62">
        <f>IF($A13="","",IFERROR(INDEX(Tickers!$B$2:$B$100,MATCH($A13,Tickers!$A$2:$A$100,0)),""))</f>
        <v/>
      </c>
      <c r="C13" s="62">
        <f>IF($A13="","",IFERROR(INDEX(Tickers!$D$2:$D$100,MATCH($A13,Tickers!$A$2:$A$100,0)),""))</f>
        <v/>
      </c>
      <c r="D13" s="51">
        <f>IF($A13="","",IFERROR(INDEX(Raw_Price!$B$2:$B$100,MATCH($A13,Raw_Price!$A$2:$A$100,0)),""))</f>
        <v/>
      </c>
      <c r="E13" s="48">
        <f>IF($A13="","",IFERROR(SUMIFS(Raw_Q!$I$2:$I$600,Raw_Q!$A$2:$A$600,$A13,Raw_Q!$P$2:$P$600,"&gt;=1",Raw_Q!$P$2:$P$600,"&lt;=4"),""))</f>
        <v/>
      </c>
      <c r="F13" s="51">
        <f>IF($A13="","",IFERROR(SUMIFS(Raw_Q!$K$2:$K$600,Raw_Q!$A$2:$A$600,$A13,Raw_Q!$P$2:$P$600,"&gt;=1",Raw_Q!$P$2:$P$600,"&lt;=4"),""))</f>
        <v/>
      </c>
      <c r="G13" s="51">
        <f>IF($A13="","",IFERROR(SUMIFS(Raw_Q!$K$2:$K$600,Raw_Q!$A$2:$A$600,$A13,Raw_Q!$P$2:$P$600,"&gt;=0",Raw_Q!$P$2:$P$600,"&lt;=3"),""))</f>
        <v/>
      </c>
      <c r="H13" s="51">
        <f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>
        <f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>
        <f>IF($A13="","",IFERROR(IF(F13&lt;=0,"N/M",D13/F13),"N/M"))</f>
        <v/>
      </c>
      <c r="K13" s="52">
        <f>IF($A13="","",IFERROR(IF(G13&lt;=0,"N/M",D13/G13),"N/M"))</f>
        <v/>
      </c>
      <c r="L13" s="52">
        <f>IF($A13="","",IFERROR(IF(H13&lt;=0,"N/M",D13/H13),"N/M"))</f>
        <v/>
      </c>
      <c r="M13" s="49">
        <f>IF($A13="","",IFERROR(INDEX(Raw_Est!$C$2:$C$100,MATCH($A13,Raw_Est!$A$2:$A$100,0))/INDEX(Raw_Est!$B$2:$B$100,MATCH($A13,Raw_Est!$A$2:$A$100,0))-1,""))</f>
        <v/>
      </c>
      <c r="N13" s="51">
        <f>IF($A13="","",IFERROR(IF(OR(NOT(ISNUMBER(J13)),I13&lt;Config!$B$6),"N/M",J13/(I13*100)),"N/M"))</f>
        <v/>
      </c>
      <c r="O13" s="51">
        <f>IF($A13="","",IFERROR(IF(OR(NOT(ISNUMBER(L13)),M13&lt;Config!$B$6),"N/M",L13/(M13*100)),"N/M"))</f>
        <v/>
      </c>
      <c r="P13" s="51">
        <f>IF($A13="","",IFERROR(SUMIFS(Raw_Q!$N$2:$N$600,Raw_Q!$A$2:$A$600,$A13,Raw_Q!$P$2:$P$600,"&gt;=1",Raw_Q!$P$2:$P$600,"&lt;=4"),""))</f>
        <v/>
      </c>
      <c r="Q13" s="49">
        <f>IF($A13="","",IFERROR(IF(P13=0,"不配息",P13/D13),""))</f>
        <v/>
      </c>
      <c r="R13" s="49">
        <f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>
        <f>IF($A13="","",IFERROR(SUMIFS(Raw_Q!$I$2:$I$600,Raw_Q!$A$2:$A$600,$A13,Raw_Q!$P$2:$P$600,1)/SUMIFS(Raw_Q!$I$2:$I$600,Raw_Q!$A$2:$A$600,$A13,Raw_Q!$P$2:$P$600,5)-1,""))</f>
        <v/>
      </c>
      <c r="T13" s="49">
        <f>IF($A13="","",IFERROR(SUMIFS(Raw_Q!$I$2:$I$600,Raw_Q!$A$2:$A$600,$A13,Raw_Q!$P$2:$P$600,1)/SUMIFS(Raw_Q!$I$2:$I$600,Raw_Q!$A$2:$A$600,$A13,Raw_Q!$P$2:$P$600,2)-1,""))</f>
        <v/>
      </c>
      <c r="U13" s="49">
        <f>IF($A13="","",IFERROR(SUMIFS(Raw_Q!$I$2:$I$600,Raw_Q!$A$2:$A$600,$A13,Raw_Q!$P$2:$P$600,2)/SUMIFS(Raw_Q!$I$2:$I$600,Raw_Q!$A$2:$A$600,$A13,Raw_Q!$P$2:$P$600,3)-1,""))</f>
        <v/>
      </c>
      <c r="V13" s="64">
        <f>IF($A13="","",IFERROR((T13-U13)*100,""))</f>
        <v/>
      </c>
      <c r="W13" s="62">
        <f>IF($A13="","",IFERROR(IF(NOT(ISNUMBER(T13)),"",IF(T13&gt;0,IF(V13&gt;0,"成長且加速","成長但減速"),IF(V13&gt;0,"衰退但收斂","衰退且惡化"))),""))</f>
        <v/>
      </c>
      <c r="X13" s="64">
        <f>IF($A13="","",IFERROR((T13-(SUMIFS(Raw_Q!$I$2:$I$600,Raw_Q!$A$2:$A$600,$A13,Raw_Q!$P$2:$P$600,5)/SUMIFS(Raw_Q!$I$2:$I$600,Raw_Q!$A$2:$A$600,$A13,Raw_Q!$P$2:$P$600,6)-1))*100,""))</f>
        <v/>
      </c>
      <c r="Y13" s="49">
        <f>IF($A13="","",IFERROR(SUMIFS(Raw_Q!$K$2:$K$600,Raw_Q!$A$2:$A$600,$A13,Raw_Q!$P$2:$P$600,1)/SUMIFS(Raw_Q!$K$2:$K$600,Raw_Q!$A$2:$A$600,$A13,Raw_Q!$P$2:$P$600,5)-1,""))</f>
        <v/>
      </c>
      <c r="Z13" s="49">
        <f>IF($A13="","",IFERROR(SUMIFS(Raw_Q!$J$2:$J$600,Raw_Q!$A$2:$A$600,$A13,Raw_Q!$P$2:$P$600,"&gt;=1",Raw_Q!$P$2:$P$600,"&lt;=4")/E13,""))</f>
        <v/>
      </c>
      <c r="AA13" s="49">
        <f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>
        <f>IF($A13="","",IFERROR((Z13-AA13)*10000,""))</f>
        <v/>
      </c>
      <c r="AC13" s="50">
        <f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>
        <f>IF($A13="","",IFERROR(SUMIFS(Raw_Q!$M$2:$M$600,Raw_Q!$A$2:$A$600,$A13,Raw_Q!$P$2:$P$600,1)/SUMIFS(Raw_Q!$L$2:$L$600,Raw_Q!$A$2:$A$600,$A13,Raw_Q!$P$2:$P$600,1),""))</f>
        <v/>
      </c>
      <c r="AE13" s="48">
        <f>IF($A13="","",IFERROR(SUMPRODUCT((Raw_Q!$A$2:$A$600=$A13)*(Raw_Q!$P$2:$P$600&gt;=1)*(Raw_Q!$P$2:$P$600&lt;=4)*Raw_Q!$K$2:$K$600*Raw_Q!$L$2:$L$600),""))</f>
        <v/>
      </c>
      <c r="AF13" s="49">
        <f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>
        <f>IF($A13="","",IFERROR(AVERAGE(AO13:AS13),""))</f>
        <v/>
      </c>
      <c r="AH13" s="49">
        <f>IF($A13="","",IFERROR(IF(AD13&lt;=0,"N/M",INDEX(Raw_Est!$B$2:$B$100,MATCH($A13,Raw_Est!$A$2:$A$100,0))/AD13),"N/M"))</f>
        <v/>
      </c>
      <c r="AI13" s="51">
        <f>IF($A13="","",IFERROR(SUMIFS(Raw_Q!$K$2:$K$600,Raw_Q!$A$2:$A$600,$A13,Raw_Q!$P$2:$P$600,0),""))</f>
        <v/>
      </c>
      <c r="AJ13" s="62">
        <f>IF($A13="","",IFERROR(INDEX(Raw_Q!$B$2:$B$600,MATCH($A13&amp;"|"&amp;0,Raw_Q!$Q$2:$Q$600,0)),""))</f>
        <v/>
      </c>
      <c r="AK13" s="62">
        <f>IF($A13="","",IFERROR(INDEX(Raw_Q!$G$2:$G$600,MATCH($A13&amp;"|"&amp;0,Raw_Q!$Q$2:$Q$600,0)),""))</f>
        <v/>
      </c>
      <c r="AL13" s="47">
        <f>IF($A13="","",IFERROR(INDEX(Raw_Est!$E$2:$E$100,MATCH($A13,Raw_Est!$A$2:$A$100,0)),""))</f>
        <v/>
      </c>
      <c r="AM13" s="63">
        <f>IF($A13="","",IFERROR(INDEX(Raw_Price!$D$2:$D$100,MATCH($A13,Raw_Price!$A$2:$A$100,0)),""))</f>
        <v/>
      </c>
      <c r="AN13" s="63">
        <f>IF($A13="","",IFERROR(INDEX(Raw_Price!$E$2:$E$100,MATCH($A13,Raw_Price!$A$2:$A$100,0)),""))</f>
        <v/>
      </c>
      <c r="AO13" s="49">
        <f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>
        <f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>
        <f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>
        <f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>
        <f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>
      <c r="A14" s="20">
        <f>IF(Tickers!A14="","",Tickers!A14)</f>
        <v/>
      </c>
      <c r="B14" s="62">
        <f>IF($A14="","",IFERROR(INDEX(Tickers!$B$2:$B$100,MATCH($A14,Tickers!$A$2:$A$100,0)),""))</f>
        <v/>
      </c>
      <c r="C14" s="62">
        <f>IF($A14="","",IFERROR(INDEX(Tickers!$D$2:$D$100,MATCH($A14,Tickers!$A$2:$A$100,0)),""))</f>
        <v/>
      </c>
      <c r="D14" s="51">
        <f>IF($A14="","",IFERROR(INDEX(Raw_Price!$B$2:$B$100,MATCH($A14,Raw_Price!$A$2:$A$100,0)),""))</f>
        <v/>
      </c>
      <c r="E14" s="48">
        <f>IF($A14="","",IFERROR(SUMIFS(Raw_Q!$I$2:$I$600,Raw_Q!$A$2:$A$600,$A14,Raw_Q!$P$2:$P$600,"&gt;=1",Raw_Q!$P$2:$P$600,"&lt;=4"),""))</f>
        <v/>
      </c>
      <c r="F14" s="51">
        <f>IF($A14="","",IFERROR(SUMIFS(Raw_Q!$K$2:$K$600,Raw_Q!$A$2:$A$600,$A14,Raw_Q!$P$2:$P$600,"&gt;=1",Raw_Q!$P$2:$P$600,"&lt;=4"),""))</f>
        <v/>
      </c>
      <c r="G14" s="51">
        <f>IF($A14="","",IFERROR(SUMIFS(Raw_Q!$K$2:$K$600,Raw_Q!$A$2:$A$600,$A14,Raw_Q!$P$2:$P$600,"&gt;=0",Raw_Q!$P$2:$P$600,"&lt;=3"),""))</f>
        <v/>
      </c>
      <c r="H14" s="51">
        <f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>
        <f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>
        <f>IF($A14="","",IFERROR(IF(F14&lt;=0,"N/M",D14/F14),"N/M"))</f>
        <v/>
      </c>
      <c r="K14" s="52">
        <f>IF($A14="","",IFERROR(IF(G14&lt;=0,"N/M",D14/G14),"N/M"))</f>
        <v/>
      </c>
      <c r="L14" s="52">
        <f>IF($A14="","",IFERROR(IF(H14&lt;=0,"N/M",D14/H14),"N/M"))</f>
        <v/>
      </c>
      <c r="M14" s="49">
        <f>IF($A14="","",IFERROR(INDEX(Raw_Est!$C$2:$C$100,MATCH($A14,Raw_Est!$A$2:$A$100,0))/INDEX(Raw_Est!$B$2:$B$100,MATCH($A14,Raw_Est!$A$2:$A$100,0))-1,""))</f>
        <v/>
      </c>
      <c r="N14" s="51">
        <f>IF($A14="","",IFERROR(IF(OR(NOT(ISNUMBER(J14)),I14&lt;Config!$B$6),"N/M",J14/(I14*100)),"N/M"))</f>
        <v/>
      </c>
      <c r="O14" s="51">
        <f>IF($A14="","",IFERROR(IF(OR(NOT(ISNUMBER(L14)),M14&lt;Config!$B$6),"N/M",L14/(M14*100)),"N/M"))</f>
        <v/>
      </c>
      <c r="P14" s="51">
        <f>IF($A14="","",IFERROR(SUMIFS(Raw_Q!$N$2:$N$600,Raw_Q!$A$2:$A$600,$A14,Raw_Q!$P$2:$P$600,"&gt;=1",Raw_Q!$P$2:$P$600,"&lt;=4"),""))</f>
        <v/>
      </c>
      <c r="Q14" s="49">
        <f>IF($A14="","",IFERROR(IF(P14=0,"不配息",P14/D14),""))</f>
        <v/>
      </c>
      <c r="R14" s="49">
        <f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>
        <f>IF($A14="","",IFERROR(SUMIFS(Raw_Q!$I$2:$I$600,Raw_Q!$A$2:$A$600,$A14,Raw_Q!$P$2:$P$600,1)/SUMIFS(Raw_Q!$I$2:$I$600,Raw_Q!$A$2:$A$600,$A14,Raw_Q!$P$2:$P$600,5)-1,""))</f>
        <v/>
      </c>
      <c r="T14" s="49">
        <f>IF($A14="","",IFERROR(SUMIFS(Raw_Q!$I$2:$I$600,Raw_Q!$A$2:$A$600,$A14,Raw_Q!$P$2:$P$600,1)/SUMIFS(Raw_Q!$I$2:$I$600,Raw_Q!$A$2:$A$600,$A14,Raw_Q!$P$2:$P$600,2)-1,""))</f>
        <v/>
      </c>
      <c r="U14" s="49">
        <f>IF($A14="","",IFERROR(SUMIFS(Raw_Q!$I$2:$I$600,Raw_Q!$A$2:$A$600,$A14,Raw_Q!$P$2:$P$600,2)/SUMIFS(Raw_Q!$I$2:$I$600,Raw_Q!$A$2:$A$600,$A14,Raw_Q!$P$2:$P$600,3)-1,""))</f>
        <v/>
      </c>
      <c r="V14" s="64">
        <f>IF($A14="","",IFERROR((T14-U14)*100,""))</f>
        <v/>
      </c>
      <c r="W14" s="62">
        <f>IF($A14="","",IFERROR(IF(NOT(ISNUMBER(T14)),"",IF(T14&gt;0,IF(V14&gt;0,"成長且加速","成長但減速"),IF(V14&gt;0,"衰退但收斂","衰退且惡化"))),""))</f>
        <v/>
      </c>
      <c r="X14" s="64">
        <f>IF($A14="","",IFERROR((T14-(SUMIFS(Raw_Q!$I$2:$I$600,Raw_Q!$A$2:$A$600,$A14,Raw_Q!$P$2:$P$600,5)/SUMIFS(Raw_Q!$I$2:$I$600,Raw_Q!$A$2:$A$600,$A14,Raw_Q!$P$2:$P$600,6)-1))*100,""))</f>
        <v/>
      </c>
      <c r="Y14" s="49">
        <f>IF($A14="","",IFERROR(SUMIFS(Raw_Q!$K$2:$K$600,Raw_Q!$A$2:$A$600,$A14,Raw_Q!$P$2:$P$600,1)/SUMIFS(Raw_Q!$K$2:$K$600,Raw_Q!$A$2:$A$600,$A14,Raw_Q!$P$2:$P$600,5)-1,""))</f>
        <v/>
      </c>
      <c r="Z14" s="49">
        <f>IF($A14="","",IFERROR(SUMIFS(Raw_Q!$J$2:$J$600,Raw_Q!$A$2:$A$600,$A14,Raw_Q!$P$2:$P$600,"&gt;=1",Raw_Q!$P$2:$P$600,"&lt;=4")/E14,""))</f>
        <v/>
      </c>
      <c r="AA14" s="49">
        <f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>
        <f>IF($A14="","",IFERROR((Z14-AA14)*10000,""))</f>
        <v/>
      </c>
      <c r="AC14" s="50">
        <f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>
        <f>IF($A14="","",IFERROR(SUMIFS(Raw_Q!$M$2:$M$600,Raw_Q!$A$2:$A$600,$A14,Raw_Q!$P$2:$P$600,1)/SUMIFS(Raw_Q!$L$2:$L$600,Raw_Q!$A$2:$A$600,$A14,Raw_Q!$P$2:$P$600,1),""))</f>
        <v/>
      </c>
      <c r="AE14" s="48">
        <f>IF($A14="","",IFERROR(SUMPRODUCT((Raw_Q!$A$2:$A$600=$A14)*(Raw_Q!$P$2:$P$600&gt;=1)*(Raw_Q!$P$2:$P$600&lt;=4)*Raw_Q!$K$2:$K$600*Raw_Q!$L$2:$L$600),""))</f>
        <v/>
      </c>
      <c r="AF14" s="49">
        <f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>
        <f>IF($A14="","",IFERROR(AVERAGE(AO14:AS14),""))</f>
        <v/>
      </c>
      <c r="AH14" s="49">
        <f>IF($A14="","",IFERROR(IF(AD14&lt;=0,"N/M",INDEX(Raw_Est!$B$2:$B$100,MATCH($A14,Raw_Est!$A$2:$A$100,0))/AD14),"N/M"))</f>
        <v/>
      </c>
      <c r="AI14" s="51">
        <f>IF($A14="","",IFERROR(SUMIFS(Raw_Q!$K$2:$K$600,Raw_Q!$A$2:$A$600,$A14,Raw_Q!$P$2:$P$600,0),""))</f>
        <v/>
      </c>
      <c r="AJ14" s="62">
        <f>IF($A14="","",IFERROR(INDEX(Raw_Q!$B$2:$B$600,MATCH($A14&amp;"|"&amp;0,Raw_Q!$Q$2:$Q$600,0)),""))</f>
        <v/>
      </c>
      <c r="AK14" s="62">
        <f>IF($A14="","",IFERROR(INDEX(Raw_Q!$G$2:$G$600,MATCH($A14&amp;"|"&amp;0,Raw_Q!$Q$2:$Q$600,0)),""))</f>
        <v/>
      </c>
      <c r="AL14" s="47">
        <f>IF($A14="","",IFERROR(INDEX(Raw_Est!$E$2:$E$100,MATCH($A14,Raw_Est!$A$2:$A$100,0)),""))</f>
        <v/>
      </c>
      <c r="AM14" s="63">
        <f>IF($A14="","",IFERROR(INDEX(Raw_Price!$D$2:$D$100,MATCH($A14,Raw_Price!$A$2:$A$100,0)),""))</f>
        <v/>
      </c>
      <c r="AN14" s="63">
        <f>IF($A14="","",IFERROR(INDEX(Raw_Price!$E$2:$E$100,MATCH($A14,Raw_Price!$A$2:$A$100,0)),""))</f>
        <v/>
      </c>
      <c r="AO14" s="49">
        <f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>
        <f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>
        <f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>
        <f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>
        <f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>
      <c r="A15" s="20">
        <f>IF(Tickers!A15="","",Tickers!A15)</f>
        <v/>
      </c>
      <c r="B15" s="62">
        <f>IF($A15="","",IFERROR(INDEX(Tickers!$B$2:$B$100,MATCH($A15,Tickers!$A$2:$A$100,0)),""))</f>
        <v/>
      </c>
      <c r="C15" s="62">
        <f>IF($A15="","",IFERROR(INDEX(Tickers!$D$2:$D$100,MATCH($A15,Tickers!$A$2:$A$100,0)),""))</f>
        <v/>
      </c>
      <c r="D15" s="51">
        <f>IF($A15="","",IFERROR(INDEX(Raw_Price!$B$2:$B$100,MATCH($A15,Raw_Price!$A$2:$A$100,0)),""))</f>
        <v/>
      </c>
      <c r="E15" s="48">
        <f>IF($A15="","",IFERROR(SUMIFS(Raw_Q!$I$2:$I$600,Raw_Q!$A$2:$A$600,$A15,Raw_Q!$P$2:$P$600,"&gt;=1",Raw_Q!$P$2:$P$600,"&lt;=4"),""))</f>
        <v/>
      </c>
      <c r="F15" s="51">
        <f>IF($A15="","",IFERROR(SUMIFS(Raw_Q!$K$2:$K$600,Raw_Q!$A$2:$A$600,$A15,Raw_Q!$P$2:$P$600,"&gt;=1",Raw_Q!$P$2:$P$600,"&lt;=4"),""))</f>
        <v/>
      </c>
      <c r="G15" s="51">
        <f>IF($A15="","",IFERROR(SUMIFS(Raw_Q!$K$2:$K$600,Raw_Q!$A$2:$A$600,$A15,Raw_Q!$P$2:$P$600,"&gt;=0",Raw_Q!$P$2:$P$600,"&lt;=3"),""))</f>
        <v/>
      </c>
      <c r="H15" s="51">
        <f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>
        <f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>
        <f>IF($A15="","",IFERROR(IF(F15&lt;=0,"N/M",D15/F15),"N/M"))</f>
        <v/>
      </c>
      <c r="K15" s="52">
        <f>IF($A15="","",IFERROR(IF(G15&lt;=0,"N/M",D15/G15),"N/M"))</f>
        <v/>
      </c>
      <c r="L15" s="52">
        <f>IF($A15="","",IFERROR(IF(H15&lt;=0,"N/M",D15/H15),"N/M"))</f>
        <v/>
      </c>
      <c r="M15" s="49">
        <f>IF($A15="","",IFERROR(INDEX(Raw_Est!$C$2:$C$100,MATCH($A15,Raw_Est!$A$2:$A$100,0))/INDEX(Raw_Est!$B$2:$B$100,MATCH($A15,Raw_Est!$A$2:$A$100,0))-1,""))</f>
        <v/>
      </c>
      <c r="N15" s="51">
        <f>IF($A15="","",IFERROR(IF(OR(NOT(ISNUMBER(J15)),I15&lt;Config!$B$6),"N/M",J15/(I15*100)),"N/M"))</f>
        <v/>
      </c>
      <c r="O15" s="51">
        <f>IF($A15="","",IFERROR(IF(OR(NOT(ISNUMBER(L15)),M15&lt;Config!$B$6),"N/M",L15/(M15*100)),"N/M"))</f>
        <v/>
      </c>
      <c r="P15" s="51">
        <f>IF($A15="","",IFERROR(SUMIFS(Raw_Q!$N$2:$N$600,Raw_Q!$A$2:$A$600,$A15,Raw_Q!$P$2:$P$600,"&gt;=1",Raw_Q!$P$2:$P$600,"&lt;=4"),""))</f>
        <v/>
      </c>
      <c r="Q15" s="49">
        <f>IF($A15="","",IFERROR(IF(P15=0,"不配息",P15/D15),""))</f>
        <v/>
      </c>
      <c r="R15" s="49">
        <f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>
        <f>IF($A15="","",IFERROR(SUMIFS(Raw_Q!$I$2:$I$600,Raw_Q!$A$2:$A$600,$A15,Raw_Q!$P$2:$P$600,1)/SUMIFS(Raw_Q!$I$2:$I$600,Raw_Q!$A$2:$A$600,$A15,Raw_Q!$P$2:$P$600,5)-1,""))</f>
        <v/>
      </c>
      <c r="T15" s="49">
        <f>IF($A15="","",IFERROR(SUMIFS(Raw_Q!$I$2:$I$600,Raw_Q!$A$2:$A$600,$A15,Raw_Q!$P$2:$P$600,1)/SUMIFS(Raw_Q!$I$2:$I$600,Raw_Q!$A$2:$A$600,$A15,Raw_Q!$P$2:$P$600,2)-1,""))</f>
        <v/>
      </c>
      <c r="U15" s="49">
        <f>IF($A15="","",IFERROR(SUMIFS(Raw_Q!$I$2:$I$600,Raw_Q!$A$2:$A$600,$A15,Raw_Q!$P$2:$P$600,2)/SUMIFS(Raw_Q!$I$2:$I$600,Raw_Q!$A$2:$A$600,$A15,Raw_Q!$P$2:$P$600,3)-1,""))</f>
        <v/>
      </c>
      <c r="V15" s="64">
        <f>IF($A15="","",IFERROR((T15-U15)*100,""))</f>
        <v/>
      </c>
      <c r="W15" s="62">
        <f>IF($A15="","",IFERROR(IF(NOT(ISNUMBER(T15)),"",IF(T15&gt;0,IF(V15&gt;0,"成長且加速","成長但減速"),IF(V15&gt;0,"衰退但收斂","衰退且惡化"))),""))</f>
        <v/>
      </c>
      <c r="X15" s="64">
        <f>IF($A15="","",IFERROR((T15-(SUMIFS(Raw_Q!$I$2:$I$600,Raw_Q!$A$2:$A$600,$A15,Raw_Q!$P$2:$P$600,5)/SUMIFS(Raw_Q!$I$2:$I$600,Raw_Q!$A$2:$A$600,$A15,Raw_Q!$P$2:$P$600,6)-1))*100,""))</f>
        <v/>
      </c>
      <c r="Y15" s="49">
        <f>IF($A15="","",IFERROR(SUMIFS(Raw_Q!$K$2:$K$600,Raw_Q!$A$2:$A$600,$A15,Raw_Q!$P$2:$P$600,1)/SUMIFS(Raw_Q!$K$2:$K$600,Raw_Q!$A$2:$A$600,$A15,Raw_Q!$P$2:$P$600,5)-1,""))</f>
        <v/>
      </c>
      <c r="Z15" s="49">
        <f>IF($A15="","",IFERROR(SUMIFS(Raw_Q!$J$2:$J$600,Raw_Q!$A$2:$A$600,$A15,Raw_Q!$P$2:$P$600,"&gt;=1",Raw_Q!$P$2:$P$600,"&lt;=4")/E15,""))</f>
        <v/>
      </c>
      <c r="AA15" s="49">
        <f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>
        <f>IF($A15="","",IFERROR((Z15-AA15)*10000,""))</f>
        <v/>
      </c>
      <c r="AC15" s="50">
        <f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>
        <f>IF($A15="","",IFERROR(SUMIFS(Raw_Q!$M$2:$M$600,Raw_Q!$A$2:$A$600,$A15,Raw_Q!$P$2:$P$600,1)/SUMIFS(Raw_Q!$L$2:$L$600,Raw_Q!$A$2:$A$600,$A15,Raw_Q!$P$2:$P$600,1),""))</f>
        <v/>
      </c>
      <c r="AE15" s="48">
        <f>IF($A15="","",IFERROR(SUMPRODUCT((Raw_Q!$A$2:$A$600=$A15)*(Raw_Q!$P$2:$P$600&gt;=1)*(Raw_Q!$P$2:$P$600&lt;=4)*Raw_Q!$K$2:$K$600*Raw_Q!$L$2:$L$600),""))</f>
        <v/>
      </c>
      <c r="AF15" s="49">
        <f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>
        <f>IF($A15="","",IFERROR(AVERAGE(AO15:AS15),""))</f>
        <v/>
      </c>
      <c r="AH15" s="49">
        <f>IF($A15="","",IFERROR(IF(AD15&lt;=0,"N/M",INDEX(Raw_Est!$B$2:$B$100,MATCH($A15,Raw_Est!$A$2:$A$100,0))/AD15),"N/M"))</f>
        <v/>
      </c>
      <c r="AI15" s="51">
        <f>IF($A15="","",IFERROR(SUMIFS(Raw_Q!$K$2:$K$600,Raw_Q!$A$2:$A$600,$A15,Raw_Q!$P$2:$P$600,0),""))</f>
        <v/>
      </c>
      <c r="AJ15" s="62">
        <f>IF($A15="","",IFERROR(INDEX(Raw_Q!$B$2:$B$600,MATCH($A15&amp;"|"&amp;0,Raw_Q!$Q$2:$Q$600,0)),""))</f>
        <v/>
      </c>
      <c r="AK15" s="62">
        <f>IF($A15="","",IFERROR(INDEX(Raw_Q!$G$2:$G$600,MATCH($A15&amp;"|"&amp;0,Raw_Q!$Q$2:$Q$600,0)),""))</f>
        <v/>
      </c>
      <c r="AL15" s="47">
        <f>IF($A15="","",IFERROR(INDEX(Raw_Est!$E$2:$E$100,MATCH($A15,Raw_Est!$A$2:$A$100,0)),""))</f>
        <v/>
      </c>
      <c r="AM15" s="63">
        <f>IF($A15="","",IFERROR(INDEX(Raw_Price!$D$2:$D$100,MATCH($A15,Raw_Price!$A$2:$A$100,0)),""))</f>
        <v/>
      </c>
      <c r="AN15" s="63">
        <f>IF($A15="","",IFERROR(INDEX(Raw_Price!$E$2:$E$100,MATCH($A15,Raw_Price!$A$2:$A$100,0)),""))</f>
        <v/>
      </c>
      <c r="AO15" s="49">
        <f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>
        <f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>
        <f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>
        <f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>
        <f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>
      <c r="A16" s="20">
        <f>IF(Tickers!A16="","",Tickers!A16)</f>
        <v/>
      </c>
      <c r="B16" s="62">
        <f>IF($A16="","",IFERROR(INDEX(Tickers!$B$2:$B$100,MATCH($A16,Tickers!$A$2:$A$100,0)),""))</f>
        <v/>
      </c>
      <c r="C16" s="62">
        <f>IF($A16="","",IFERROR(INDEX(Tickers!$D$2:$D$100,MATCH($A16,Tickers!$A$2:$A$100,0)),""))</f>
        <v/>
      </c>
      <c r="D16" s="51">
        <f>IF($A16="","",IFERROR(INDEX(Raw_Price!$B$2:$B$100,MATCH($A16,Raw_Price!$A$2:$A$100,0)),""))</f>
        <v/>
      </c>
      <c r="E16" s="48">
        <f>IF($A16="","",IFERROR(SUMIFS(Raw_Q!$I$2:$I$600,Raw_Q!$A$2:$A$600,$A16,Raw_Q!$P$2:$P$600,"&gt;=1",Raw_Q!$P$2:$P$600,"&lt;=4"),""))</f>
        <v/>
      </c>
      <c r="F16" s="51">
        <f>IF($A16="","",IFERROR(SUMIFS(Raw_Q!$K$2:$K$600,Raw_Q!$A$2:$A$600,$A16,Raw_Q!$P$2:$P$600,"&gt;=1",Raw_Q!$P$2:$P$600,"&lt;=4"),""))</f>
        <v/>
      </c>
      <c r="G16" s="51">
        <f>IF($A16="","",IFERROR(SUMIFS(Raw_Q!$K$2:$K$600,Raw_Q!$A$2:$A$600,$A16,Raw_Q!$P$2:$P$600,"&gt;=0",Raw_Q!$P$2:$P$600,"&lt;=3"),""))</f>
        <v/>
      </c>
      <c r="H16" s="51">
        <f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>
        <f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>
        <f>IF($A16="","",IFERROR(IF(F16&lt;=0,"N/M",D16/F16),"N/M"))</f>
        <v/>
      </c>
      <c r="K16" s="52">
        <f>IF($A16="","",IFERROR(IF(G16&lt;=0,"N/M",D16/G16),"N/M"))</f>
        <v/>
      </c>
      <c r="L16" s="52">
        <f>IF($A16="","",IFERROR(IF(H16&lt;=0,"N/M",D16/H16),"N/M"))</f>
        <v/>
      </c>
      <c r="M16" s="49">
        <f>IF($A16="","",IFERROR(INDEX(Raw_Est!$C$2:$C$100,MATCH($A16,Raw_Est!$A$2:$A$100,0))/INDEX(Raw_Est!$B$2:$B$100,MATCH($A16,Raw_Est!$A$2:$A$100,0))-1,""))</f>
        <v/>
      </c>
      <c r="N16" s="51">
        <f>IF($A16="","",IFERROR(IF(OR(NOT(ISNUMBER(J16)),I16&lt;Config!$B$6),"N/M",J16/(I16*100)),"N/M"))</f>
        <v/>
      </c>
      <c r="O16" s="51">
        <f>IF($A16="","",IFERROR(IF(OR(NOT(ISNUMBER(L16)),M16&lt;Config!$B$6),"N/M",L16/(M16*100)),"N/M"))</f>
        <v/>
      </c>
      <c r="P16" s="51">
        <f>IF($A16="","",IFERROR(SUMIFS(Raw_Q!$N$2:$N$600,Raw_Q!$A$2:$A$600,$A16,Raw_Q!$P$2:$P$600,"&gt;=1",Raw_Q!$P$2:$P$600,"&lt;=4"),""))</f>
        <v/>
      </c>
      <c r="Q16" s="49">
        <f>IF($A16="","",IFERROR(IF(P16=0,"不配息",P16/D16),""))</f>
        <v/>
      </c>
      <c r="R16" s="49">
        <f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>
        <f>IF($A16="","",IFERROR(SUMIFS(Raw_Q!$I$2:$I$600,Raw_Q!$A$2:$A$600,$A16,Raw_Q!$P$2:$P$600,1)/SUMIFS(Raw_Q!$I$2:$I$600,Raw_Q!$A$2:$A$600,$A16,Raw_Q!$P$2:$P$600,5)-1,""))</f>
        <v/>
      </c>
      <c r="T16" s="49">
        <f>IF($A16="","",IFERROR(SUMIFS(Raw_Q!$I$2:$I$600,Raw_Q!$A$2:$A$600,$A16,Raw_Q!$P$2:$P$600,1)/SUMIFS(Raw_Q!$I$2:$I$600,Raw_Q!$A$2:$A$600,$A16,Raw_Q!$P$2:$P$600,2)-1,""))</f>
        <v/>
      </c>
      <c r="U16" s="49">
        <f>IF($A16="","",IFERROR(SUMIFS(Raw_Q!$I$2:$I$600,Raw_Q!$A$2:$A$600,$A16,Raw_Q!$P$2:$P$600,2)/SUMIFS(Raw_Q!$I$2:$I$600,Raw_Q!$A$2:$A$600,$A16,Raw_Q!$P$2:$P$600,3)-1,""))</f>
        <v/>
      </c>
      <c r="V16" s="64">
        <f>IF($A16="","",IFERROR((T16-U16)*100,""))</f>
        <v/>
      </c>
      <c r="W16" s="62">
        <f>IF($A16="","",IFERROR(IF(NOT(ISNUMBER(T16)),"",IF(T16&gt;0,IF(V16&gt;0,"成長且加速","成長但減速"),IF(V16&gt;0,"衰退但收斂","衰退且惡化"))),""))</f>
        <v/>
      </c>
      <c r="X16" s="64">
        <f>IF($A16="","",IFERROR((T16-(SUMIFS(Raw_Q!$I$2:$I$600,Raw_Q!$A$2:$A$600,$A16,Raw_Q!$P$2:$P$600,5)/SUMIFS(Raw_Q!$I$2:$I$600,Raw_Q!$A$2:$A$600,$A16,Raw_Q!$P$2:$P$600,6)-1))*100,""))</f>
        <v/>
      </c>
      <c r="Y16" s="49">
        <f>IF($A16="","",IFERROR(SUMIFS(Raw_Q!$K$2:$K$600,Raw_Q!$A$2:$A$600,$A16,Raw_Q!$P$2:$P$600,1)/SUMIFS(Raw_Q!$K$2:$K$600,Raw_Q!$A$2:$A$600,$A16,Raw_Q!$P$2:$P$600,5)-1,""))</f>
        <v/>
      </c>
      <c r="Z16" s="49">
        <f>IF($A16="","",IFERROR(SUMIFS(Raw_Q!$J$2:$J$600,Raw_Q!$A$2:$A$600,$A16,Raw_Q!$P$2:$P$600,"&gt;=1",Raw_Q!$P$2:$P$600,"&lt;=4")/E16,""))</f>
        <v/>
      </c>
      <c r="AA16" s="49">
        <f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>
        <f>IF($A16="","",IFERROR((Z16-AA16)*10000,""))</f>
        <v/>
      </c>
      <c r="AC16" s="50">
        <f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>
        <f>IF($A16="","",IFERROR(SUMIFS(Raw_Q!$M$2:$M$600,Raw_Q!$A$2:$A$600,$A16,Raw_Q!$P$2:$P$600,1)/SUMIFS(Raw_Q!$L$2:$L$600,Raw_Q!$A$2:$A$600,$A16,Raw_Q!$P$2:$P$600,1),""))</f>
        <v/>
      </c>
      <c r="AE16" s="48">
        <f>IF($A16="","",IFERROR(SUMPRODUCT((Raw_Q!$A$2:$A$600=$A16)*(Raw_Q!$P$2:$P$600&gt;=1)*(Raw_Q!$P$2:$P$600&lt;=4)*Raw_Q!$K$2:$K$600*Raw_Q!$L$2:$L$600),""))</f>
        <v/>
      </c>
      <c r="AF16" s="49">
        <f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>
        <f>IF($A16="","",IFERROR(AVERAGE(AO16:AS16),""))</f>
        <v/>
      </c>
      <c r="AH16" s="49">
        <f>IF($A16="","",IFERROR(IF(AD16&lt;=0,"N/M",INDEX(Raw_Est!$B$2:$B$100,MATCH($A16,Raw_Est!$A$2:$A$100,0))/AD16),"N/M"))</f>
        <v/>
      </c>
      <c r="AI16" s="51">
        <f>IF($A16="","",IFERROR(SUMIFS(Raw_Q!$K$2:$K$600,Raw_Q!$A$2:$A$600,$A16,Raw_Q!$P$2:$P$600,0),""))</f>
        <v/>
      </c>
      <c r="AJ16" s="62">
        <f>IF($A16="","",IFERROR(INDEX(Raw_Q!$B$2:$B$600,MATCH($A16&amp;"|"&amp;0,Raw_Q!$Q$2:$Q$600,0)),""))</f>
        <v/>
      </c>
      <c r="AK16" s="62">
        <f>IF($A16="","",IFERROR(INDEX(Raw_Q!$G$2:$G$600,MATCH($A16&amp;"|"&amp;0,Raw_Q!$Q$2:$Q$600,0)),""))</f>
        <v/>
      </c>
      <c r="AL16" s="47">
        <f>IF($A16="","",IFERROR(INDEX(Raw_Est!$E$2:$E$100,MATCH($A16,Raw_Est!$A$2:$A$100,0)),""))</f>
        <v/>
      </c>
      <c r="AM16" s="63">
        <f>IF($A16="","",IFERROR(INDEX(Raw_Price!$D$2:$D$100,MATCH($A16,Raw_Price!$A$2:$A$100,0)),""))</f>
        <v/>
      </c>
      <c r="AN16" s="63">
        <f>IF($A16="","",IFERROR(INDEX(Raw_Price!$E$2:$E$100,MATCH($A16,Raw_Price!$A$2:$A$100,0)),""))</f>
        <v/>
      </c>
      <c r="AO16" s="49">
        <f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>
        <f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>
        <f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>
        <f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>
        <f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>
      <c r="A17" s="20">
        <f>IF(Tickers!A17="","",Tickers!A17)</f>
        <v/>
      </c>
      <c r="B17" s="62">
        <f>IF($A17="","",IFERROR(INDEX(Tickers!$B$2:$B$100,MATCH($A17,Tickers!$A$2:$A$100,0)),""))</f>
        <v/>
      </c>
      <c r="C17" s="62">
        <f>IF($A17="","",IFERROR(INDEX(Tickers!$D$2:$D$100,MATCH($A17,Tickers!$A$2:$A$100,0)),""))</f>
        <v/>
      </c>
      <c r="D17" s="51">
        <f>IF($A17="","",IFERROR(INDEX(Raw_Price!$B$2:$B$100,MATCH($A17,Raw_Price!$A$2:$A$100,0)),""))</f>
        <v/>
      </c>
      <c r="E17" s="48">
        <f>IF($A17="","",IFERROR(SUMIFS(Raw_Q!$I$2:$I$600,Raw_Q!$A$2:$A$600,$A17,Raw_Q!$P$2:$P$600,"&gt;=1",Raw_Q!$P$2:$P$600,"&lt;=4"),""))</f>
        <v/>
      </c>
      <c r="F17" s="51">
        <f>IF($A17="","",IFERROR(SUMIFS(Raw_Q!$K$2:$K$600,Raw_Q!$A$2:$A$600,$A17,Raw_Q!$P$2:$P$600,"&gt;=1",Raw_Q!$P$2:$P$600,"&lt;=4"),""))</f>
        <v/>
      </c>
      <c r="G17" s="51">
        <f>IF($A17="","",IFERROR(SUMIFS(Raw_Q!$K$2:$K$600,Raw_Q!$A$2:$A$600,$A17,Raw_Q!$P$2:$P$600,"&gt;=0",Raw_Q!$P$2:$P$600,"&lt;=3"),""))</f>
        <v/>
      </c>
      <c r="H17" s="51">
        <f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>
        <f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>
        <f>IF($A17="","",IFERROR(IF(F17&lt;=0,"N/M",D17/F17),"N/M"))</f>
        <v/>
      </c>
      <c r="K17" s="52">
        <f>IF($A17="","",IFERROR(IF(G17&lt;=0,"N/M",D17/G17),"N/M"))</f>
        <v/>
      </c>
      <c r="L17" s="52">
        <f>IF($A17="","",IFERROR(IF(H17&lt;=0,"N/M",D17/H17),"N/M"))</f>
        <v/>
      </c>
      <c r="M17" s="49">
        <f>IF($A17="","",IFERROR(INDEX(Raw_Est!$C$2:$C$100,MATCH($A17,Raw_Est!$A$2:$A$100,0))/INDEX(Raw_Est!$B$2:$B$100,MATCH($A17,Raw_Est!$A$2:$A$100,0))-1,""))</f>
        <v/>
      </c>
      <c r="N17" s="51">
        <f>IF($A17="","",IFERROR(IF(OR(NOT(ISNUMBER(J17)),I17&lt;Config!$B$6),"N/M",J17/(I17*100)),"N/M"))</f>
        <v/>
      </c>
      <c r="O17" s="51">
        <f>IF($A17="","",IFERROR(IF(OR(NOT(ISNUMBER(L17)),M17&lt;Config!$B$6),"N/M",L17/(M17*100)),"N/M"))</f>
        <v/>
      </c>
      <c r="P17" s="51">
        <f>IF($A17="","",IFERROR(SUMIFS(Raw_Q!$N$2:$N$600,Raw_Q!$A$2:$A$600,$A17,Raw_Q!$P$2:$P$600,"&gt;=1",Raw_Q!$P$2:$P$600,"&lt;=4"),""))</f>
        <v/>
      </c>
      <c r="Q17" s="49">
        <f>IF($A17="","",IFERROR(IF(P17=0,"不配息",P17/D17),""))</f>
        <v/>
      </c>
      <c r="R17" s="49">
        <f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>
        <f>IF($A17="","",IFERROR(SUMIFS(Raw_Q!$I$2:$I$600,Raw_Q!$A$2:$A$600,$A17,Raw_Q!$P$2:$P$600,1)/SUMIFS(Raw_Q!$I$2:$I$600,Raw_Q!$A$2:$A$600,$A17,Raw_Q!$P$2:$P$600,5)-1,""))</f>
        <v/>
      </c>
      <c r="T17" s="49">
        <f>IF($A17="","",IFERROR(SUMIFS(Raw_Q!$I$2:$I$600,Raw_Q!$A$2:$A$600,$A17,Raw_Q!$P$2:$P$600,1)/SUMIFS(Raw_Q!$I$2:$I$600,Raw_Q!$A$2:$A$600,$A17,Raw_Q!$P$2:$P$600,2)-1,""))</f>
        <v/>
      </c>
      <c r="U17" s="49">
        <f>IF($A17="","",IFERROR(SUMIFS(Raw_Q!$I$2:$I$600,Raw_Q!$A$2:$A$600,$A17,Raw_Q!$P$2:$P$600,2)/SUMIFS(Raw_Q!$I$2:$I$600,Raw_Q!$A$2:$A$600,$A17,Raw_Q!$P$2:$P$600,3)-1,""))</f>
        <v/>
      </c>
      <c r="V17" s="64">
        <f>IF($A17="","",IFERROR((T17-U17)*100,""))</f>
        <v/>
      </c>
      <c r="W17" s="62">
        <f>IF($A17="","",IFERROR(IF(NOT(ISNUMBER(T17)),"",IF(T17&gt;0,IF(V17&gt;0,"成長且加速","成長但減速"),IF(V17&gt;0,"衰退但收斂","衰退且惡化"))),""))</f>
        <v/>
      </c>
      <c r="X17" s="64">
        <f>IF($A17="","",IFERROR((T17-(SUMIFS(Raw_Q!$I$2:$I$600,Raw_Q!$A$2:$A$600,$A17,Raw_Q!$P$2:$P$600,5)/SUMIFS(Raw_Q!$I$2:$I$600,Raw_Q!$A$2:$A$600,$A17,Raw_Q!$P$2:$P$600,6)-1))*100,""))</f>
        <v/>
      </c>
      <c r="Y17" s="49">
        <f>IF($A17="","",IFERROR(SUMIFS(Raw_Q!$K$2:$K$600,Raw_Q!$A$2:$A$600,$A17,Raw_Q!$P$2:$P$600,1)/SUMIFS(Raw_Q!$K$2:$K$600,Raw_Q!$A$2:$A$600,$A17,Raw_Q!$P$2:$P$600,5)-1,""))</f>
        <v/>
      </c>
      <c r="Z17" s="49">
        <f>IF($A17="","",IFERROR(SUMIFS(Raw_Q!$J$2:$J$600,Raw_Q!$A$2:$A$600,$A17,Raw_Q!$P$2:$P$600,"&gt;=1",Raw_Q!$P$2:$P$600,"&lt;=4")/E17,""))</f>
        <v/>
      </c>
      <c r="AA17" s="49">
        <f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>
        <f>IF($A17="","",IFERROR((Z17-AA17)*10000,""))</f>
        <v/>
      </c>
      <c r="AC17" s="50">
        <f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>
        <f>IF($A17="","",IFERROR(SUMIFS(Raw_Q!$M$2:$M$600,Raw_Q!$A$2:$A$600,$A17,Raw_Q!$P$2:$P$600,1)/SUMIFS(Raw_Q!$L$2:$L$600,Raw_Q!$A$2:$A$600,$A17,Raw_Q!$P$2:$P$600,1),""))</f>
        <v/>
      </c>
      <c r="AE17" s="48">
        <f>IF($A17="","",IFERROR(SUMPRODUCT((Raw_Q!$A$2:$A$600=$A17)*(Raw_Q!$P$2:$P$600&gt;=1)*(Raw_Q!$P$2:$P$600&lt;=4)*Raw_Q!$K$2:$K$600*Raw_Q!$L$2:$L$600),""))</f>
        <v/>
      </c>
      <c r="AF17" s="49">
        <f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>
        <f>IF($A17="","",IFERROR(AVERAGE(AO17:AS17),""))</f>
        <v/>
      </c>
      <c r="AH17" s="49">
        <f>IF($A17="","",IFERROR(IF(AD17&lt;=0,"N/M",INDEX(Raw_Est!$B$2:$B$100,MATCH($A17,Raw_Est!$A$2:$A$100,0))/AD17),"N/M"))</f>
        <v/>
      </c>
      <c r="AI17" s="51">
        <f>IF($A17="","",IFERROR(SUMIFS(Raw_Q!$K$2:$K$600,Raw_Q!$A$2:$A$600,$A17,Raw_Q!$P$2:$P$600,0),""))</f>
        <v/>
      </c>
      <c r="AJ17" s="62">
        <f>IF($A17="","",IFERROR(INDEX(Raw_Q!$B$2:$B$600,MATCH($A17&amp;"|"&amp;0,Raw_Q!$Q$2:$Q$600,0)),""))</f>
        <v/>
      </c>
      <c r="AK17" s="62">
        <f>IF($A17="","",IFERROR(INDEX(Raw_Q!$G$2:$G$600,MATCH($A17&amp;"|"&amp;0,Raw_Q!$Q$2:$Q$600,0)),""))</f>
        <v/>
      </c>
      <c r="AL17" s="47">
        <f>IF($A17="","",IFERROR(INDEX(Raw_Est!$E$2:$E$100,MATCH($A17,Raw_Est!$A$2:$A$100,0)),""))</f>
        <v/>
      </c>
      <c r="AM17" s="63">
        <f>IF($A17="","",IFERROR(INDEX(Raw_Price!$D$2:$D$100,MATCH($A17,Raw_Price!$A$2:$A$100,0)),""))</f>
        <v/>
      </c>
      <c r="AN17" s="63">
        <f>IF($A17="","",IFERROR(INDEX(Raw_Price!$E$2:$E$100,MATCH($A17,Raw_Price!$A$2:$A$100,0)),""))</f>
        <v/>
      </c>
      <c r="AO17" s="49">
        <f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>
        <f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>
        <f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>
        <f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>
        <f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>
      <c r="A18" s="20">
        <f>IF(Tickers!A18="","",Tickers!A18)</f>
        <v/>
      </c>
      <c r="B18" s="62">
        <f>IF($A18="","",IFERROR(INDEX(Tickers!$B$2:$B$100,MATCH($A18,Tickers!$A$2:$A$100,0)),""))</f>
        <v/>
      </c>
      <c r="C18" s="62">
        <f>IF($A18="","",IFERROR(INDEX(Tickers!$D$2:$D$100,MATCH($A18,Tickers!$A$2:$A$100,0)),""))</f>
        <v/>
      </c>
      <c r="D18" s="51">
        <f>IF($A18="","",IFERROR(INDEX(Raw_Price!$B$2:$B$100,MATCH($A18,Raw_Price!$A$2:$A$100,0)),""))</f>
        <v/>
      </c>
      <c r="E18" s="48">
        <f>IF($A18="","",IFERROR(SUMIFS(Raw_Q!$I$2:$I$600,Raw_Q!$A$2:$A$600,$A18,Raw_Q!$P$2:$P$600,"&gt;=1",Raw_Q!$P$2:$P$600,"&lt;=4"),""))</f>
        <v/>
      </c>
      <c r="F18" s="51">
        <f>IF($A18="","",IFERROR(SUMIFS(Raw_Q!$K$2:$K$600,Raw_Q!$A$2:$A$600,$A18,Raw_Q!$P$2:$P$600,"&gt;=1",Raw_Q!$P$2:$P$600,"&lt;=4"),""))</f>
        <v/>
      </c>
      <c r="G18" s="51">
        <f>IF($A18="","",IFERROR(SUMIFS(Raw_Q!$K$2:$K$600,Raw_Q!$A$2:$A$600,$A18,Raw_Q!$P$2:$P$600,"&gt;=0",Raw_Q!$P$2:$P$600,"&lt;=3"),""))</f>
        <v/>
      </c>
      <c r="H18" s="51">
        <f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>
        <f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>
        <f>IF($A18="","",IFERROR(IF(F18&lt;=0,"N/M",D18/F18),"N/M"))</f>
        <v/>
      </c>
      <c r="K18" s="52">
        <f>IF($A18="","",IFERROR(IF(G18&lt;=0,"N/M",D18/G18),"N/M"))</f>
        <v/>
      </c>
      <c r="L18" s="52">
        <f>IF($A18="","",IFERROR(IF(H18&lt;=0,"N/M",D18/H18),"N/M"))</f>
        <v/>
      </c>
      <c r="M18" s="49">
        <f>IF($A18="","",IFERROR(INDEX(Raw_Est!$C$2:$C$100,MATCH($A18,Raw_Est!$A$2:$A$100,0))/INDEX(Raw_Est!$B$2:$B$100,MATCH($A18,Raw_Est!$A$2:$A$100,0))-1,""))</f>
        <v/>
      </c>
      <c r="N18" s="51">
        <f>IF($A18="","",IFERROR(IF(OR(NOT(ISNUMBER(J18)),I18&lt;Config!$B$6),"N/M",J18/(I18*100)),"N/M"))</f>
        <v/>
      </c>
      <c r="O18" s="51">
        <f>IF($A18="","",IFERROR(IF(OR(NOT(ISNUMBER(L18)),M18&lt;Config!$B$6),"N/M",L18/(M18*100)),"N/M"))</f>
        <v/>
      </c>
      <c r="P18" s="51">
        <f>IF($A18="","",IFERROR(SUMIFS(Raw_Q!$N$2:$N$600,Raw_Q!$A$2:$A$600,$A18,Raw_Q!$P$2:$P$600,"&gt;=1",Raw_Q!$P$2:$P$600,"&lt;=4"),""))</f>
        <v/>
      </c>
      <c r="Q18" s="49">
        <f>IF($A18="","",IFERROR(IF(P18=0,"不配息",P18/D18),""))</f>
        <v/>
      </c>
      <c r="R18" s="49">
        <f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>
        <f>IF($A18="","",IFERROR(SUMIFS(Raw_Q!$I$2:$I$600,Raw_Q!$A$2:$A$600,$A18,Raw_Q!$P$2:$P$600,1)/SUMIFS(Raw_Q!$I$2:$I$600,Raw_Q!$A$2:$A$600,$A18,Raw_Q!$P$2:$P$600,5)-1,""))</f>
        <v/>
      </c>
      <c r="T18" s="49">
        <f>IF($A18="","",IFERROR(SUMIFS(Raw_Q!$I$2:$I$600,Raw_Q!$A$2:$A$600,$A18,Raw_Q!$P$2:$P$600,1)/SUMIFS(Raw_Q!$I$2:$I$600,Raw_Q!$A$2:$A$600,$A18,Raw_Q!$P$2:$P$600,2)-1,""))</f>
        <v/>
      </c>
      <c r="U18" s="49">
        <f>IF($A18="","",IFERROR(SUMIFS(Raw_Q!$I$2:$I$600,Raw_Q!$A$2:$A$600,$A18,Raw_Q!$P$2:$P$600,2)/SUMIFS(Raw_Q!$I$2:$I$600,Raw_Q!$A$2:$A$600,$A18,Raw_Q!$P$2:$P$600,3)-1,""))</f>
        <v/>
      </c>
      <c r="V18" s="64">
        <f>IF($A18="","",IFERROR((T18-U18)*100,""))</f>
        <v/>
      </c>
      <c r="W18" s="62">
        <f>IF($A18="","",IFERROR(IF(NOT(ISNUMBER(T18)),"",IF(T18&gt;0,IF(V18&gt;0,"成長且加速","成長但減速"),IF(V18&gt;0,"衰退但收斂","衰退且惡化"))),""))</f>
        <v/>
      </c>
      <c r="X18" s="64">
        <f>IF($A18="","",IFERROR((T18-(SUMIFS(Raw_Q!$I$2:$I$600,Raw_Q!$A$2:$A$600,$A18,Raw_Q!$P$2:$P$600,5)/SUMIFS(Raw_Q!$I$2:$I$600,Raw_Q!$A$2:$A$600,$A18,Raw_Q!$P$2:$P$600,6)-1))*100,""))</f>
        <v/>
      </c>
      <c r="Y18" s="49">
        <f>IF($A18="","",IFERROR(SUMIFS(Raw_Q!$K$2:$K$600,Raw_Q!$A$2:$A$600,$A18,Raw_Q!$P$2:$P$600,1)/SUMIFS(Raw_Q!$K$2:$K$600,Raw_Q!$A$2:$A$600,$A18,Raw_Q!$P$2:$P$600,5)-1,""))</f>
        <v/>
      </c>
      <c r="Z18" s="49">
        <f>IF($A18="","",IFERROR(SUMIFS(Raw_Q!$J$2:$J$600,Raw_Q!$A$2:$A$600,$A18,Raw_Q!$P$2:$P$600,"&gt;=1",Raw_Q!$P$2:$P$600,"&lt;=4")/E18,""))</f>
        <v/>
      </c>
      <c r="AA18" s="49">
        <f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>
        <f>IF($A18="","",IFERROR((Z18-AA18)*10000,""))</f>
        <v/>
      </c>
      <c r="AC18" s="50">
        <f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>
        <f>IF($A18="","",IFERROR(SUMIFS(Raw_Q!$M$2:$M$600,Raw_Q!$A$2:$A$600,$A18,Raw_Q!$P$2:$P$600,1)/SUMIFS(Raw_Q!$L$2:$L$600,Raw_Q!$A$2:$A$600,$A18,Raw_Q!$P$2:$P$600,1),""))</f>
        <v/>
      </c>
      <c r="AE18" s="48">
        <f>IF($A18="","",IFERROR(SUMPRODUCT((Raw_Q!$A$2:$A$600=$A18)*(Raw_Q!$P$2:$P$600&gt;=1)*(Raw_Q!$P$2:$P$600&lt;=4)*Raw_Q!$K$2:$K$600*Raw_Q!$L$2:$L$600),""))</f>
        <v/>
      </c>
      <c r="AF18" s="49">
        <f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>
        <f>IF($A18="","",IFERROR(AVERAGE(AO18:AS18),""))</f>
        <v/>
      </c>
      <c r="AH18" s="49">
        <f>IF($A18="","",IFERROR(IF(AD18&lt;=0,"N/M",INDEX(Raw_Est!$B$2:$B$100,MATCH($A18,Raw_Est!$A$2:$A$100,0))/AD18),"N/M"))</f>
        <v/>
      </c>
      <c r="AI18" s="51">
        <f>IF($A18="","",IFERROR(SUMIFS(Raw_Q!$K$2:$K$600,Raw_Q!$A$2:$A$600,$A18,Raw_Q!$P$2:$P$600,0),""))</f>
        <v/>
      </c>
      <c r="AJ18" s="62">
        <f>IF($A18="","",IFERROR(INDEX(Raw_Q!$B$2:$B$600,MATCH($A18&amp;"|"&amp;0,Raw_Q!$Q$2:$Q$600,0)),""))</f>
        <v/>
      </c>
      <c r="AK18" s="62">
        <f>IF($A18="","",IFERROR(INDEX(Raw_Q!$G$2:$G$600,MATCH($A18&amp;"|"&amp;0,Raw_Q!$Q$2:$Q$600,0)),""))</f>
        <v/>
      </c>
      <c r="AL18" s="47">
        <f>IF($A18="","",IFERROR(INDEX(Raw_Est!$E$2:$E$100,MATCH($A18,Raw_Est!$A$2:$A$100,0)),""))</f>
        <v/>
      </c>
      <c r="AM18" s="63">
        <f>IF($A18="","",IFERROR(INDEX(Raw_Price!$D$2:$D$100,MATCH($A18,Raw_Price!$A$2:$A$100,0)),""))</f>
        <v/>
      </c>
      <c r="AN18" s="63">
        <f>IF($A18="","",IFERROR(INDEX(Raw_Price!$E$2:$E$100,MATCH($A18,Raw_Price!$A$2:$A$100,0)),""))</f>
        <v/>
      </c>
      <c r="AO18" s="49">
        <f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>
        <f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>
        <f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>
        <f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>
        <f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>
      <c r="A19" s="20">
        <f>IF(Tickers!A19="","",Tickers!A19)</f>
        <v/>
      </c>
      <c r="B19" s="62">
        <f>IF($A19="","",IFERROR(INDEX(Tickers!$B$2:$B$100,MATCH($A19,Tickers!$A$2:$A$100,0)),""))</f>
        <v/>
      </c>
      <c r="C19" s="62">
        <f>IF($A19="","",IFERROR(INDEX(Tickers!$D$2:$D$100,MATCH($A19,Tickers!$A$2:$A$100,0)),""))</f>
        <v/>
      </c>
      <c r="D19" s="51">
        <f>IF($A19="","",IFERROR(INDEX(Raw_Price!$B$2:$B$100,MATCH($A19,Raw_Price!$A$2:$A$100,0)),""))</f>
        <v/>
      </c>
      <c r="E19" s="48">
        <f>IF($A19="","",IFERROR(SUMIFS(Raw_Q!$I$2:$I$600,Raw_Q!$A$2:$A$600,$A19,Raw_Q!$P$2:$P$600,"&gt;=1",Raw_Q!$P$2:$P$600,"&lt;=4"),""))</f>
        <v/>
      </c>
      <c r="F19" s="51">
        <f>IF($A19="","",IFERROR(SUMIFS(Raw_Q!$K$2:$K$600,Raw_Q!$A$2:$A$600,$A19,Raw_Q!$P$2:$P$600,"&gt;=1",Raw_Q!$P$2:$P$600,"&lt;=4"),""))</f>
        <v/>
      </c>
      <c r="G19" s="51">
        <f>IF($A19="","",IFERROR(SUMIFS(Raw_Q!$K$2:$K$600,Raw_Q!$A$2:$A$600,$A19,Raw_Q!$P$2:$P$600,"&gt;=0",Raw_Q!$P$2:$P$600,"&lt;=3"),""))</f>
        <v/>
      </c>
      <c r="H19" s="51">
        <f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>
        <f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>
        <f>IF($A19="","",IFERROR(IF(F19&lt;=0,"N/M",D19/F19),"N/M"))</f>
        <v/>
      </c>
      <c r="K19" s="52">
        <f>IF($A19="","",IFERROR(IF(G19&lt;=0,"N/M",D19/G19),"N/M"))</f>
        <v/>
      </c>
      <c r="L19" s="52">
        <f>IF($A19="","",IFERROR(IF(H19&lt;=0,"N/M",D19/H19),"N/M"))</f>
        <v/>
      </c>
      <c r="M19" s="49">
        <f>IF($A19="","",IFERROR(INDEX(Raw_Est!$C$2:$C$100,MATCH($A19,Raw_Est!$A$2:$A$100,0))/INDEX(Raw_Est!$B$2:$B$100,MATCH($A19,Raw_Est!$A$2:$A$100,0))-1,""))</f>
        <v/>
      </c>
      <c r="N19" s="51">
        <f>IF($A19="","",IFERROR(IF(OR(NOT(ISNUMBER(J19)),I19&lt;Config!$B$6),"N/M",J19/(I19*100)),"N/M"))</f>
        <v/>
      </c>
      <c r="O19" s="51">
        <f>IF($A19="","",IFERROR(IF(OR(NOT(ISNUMBER(L19)),M19&lt;Config!$B$6),"N/M",L19/(M19*100)),"N/M"))</f>
        <v/>
      </c>
      <c r="P19" s="51">
        <f>IF($A19="","",IFERROR(SUMIFS(Raw_Q!$N$2:$N$600,Raw_Q!$A$2:$A$600,$A19,Raw_Q!$P$2:$P$600,"&gt;=1",Raw_Q!$P$2:$P$600,"&lt;=4"),""))</f>
        <v/>
      </c>
      <c r="Q19" s="49">
        <f>IF($A19="","",IFERROR(IF(P19=0,"不配息",P19/D19),""))</f>
        <v/>
      </c>
      <c r="R19" s="49">
        <f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>
        <f>IF($A19="","",IFERROR(SUMIFS(Raw_Q!$I$2:$I$600,Raw_Q!$A$2:$A$600,$A19,Raw_Q!$P$2:$P$600,1)/SUMIFS(Raw_Q!$I$2:$I$600,Raw_Q!$A$2:$A$600,$A19,Raw_Q!$P$2:$P$600,5)-1,""))</f>
        <v/>
      </c>
      <c r="T19" s="49">
        <f>IF($A19="","",IFERROR(SUMIFS(Raw_Q!$I$2:$I$600,Raw_Q!$A$2:$A$600,$A19,Raw_Q!$P$2:$P$600,1)/SUMIFS(Raw_Q!$I$2:$I$600,Raw_Q!$A$2:$A$600,$A19,Raw_Q!$P$2:$P$600,2)-1,""))</f>
        <v/>
      </c>
      <c r="U19" s="49">
        <f>IF($A19="","",IFERROR(SUMIFS(Raw_Q!$I$2:$I$600,Raw_Q!$A$2:$A$600,$A19,Raw_Q!$P$2:$P$600,2)/SUMIFS(Raw_Q!$I$2:$I$600,Raw_Q!$A$2:$A$600,$A19,Raw_Q!$P$2:$P$600,3)-1,""))</f>
        <v/>
      </c>
      <c r="V19" s="64">
        <f>IF($A19="","",IFERROR((T19-U19)*100,""))</f>
        <v/>
      </c>
      <c r="W19" s="62">
        <f>IF($A19="","",IFERROR(IF(NOT(ISNUMBER(T19)),"",IF(T19&gt;0,IF(V19&gt;0,"成長且加速","成長但減速"),IF(V19&gt;0,"衰退但收斂","衰退且惡化"))),""))</f>
        <v/>
      </c>
      <c r="X19" s="64">
        <f>IF($A19="","",IFERROR((T19-(SUMIFS(Raw_Q!$I$2:$I$600,Raw_Q!$A$2:$A$600,$A19,Raw_Q!$P$2:$P$600,5)/SUMIFS(Raw_Q!$I$2:$I$600,Raw_Q!$A$2:$A$600,$A19,Raw_Q!$P$2:$P$600,6)-1))*100,""))</f>
        <v/>
      </c>
      <c r="Y19" s="49">
        <f>IF($A19="","",IFERROR(SUMIFS(Raw_Q!$K$2:$K$600,Raw_Q!$A$2:$A$600,$A19,Raw_Q!$P$2:$P$600,1)/SUMIFS(Raw_Q!$K$2:$K$600,Raw_Q!$A$2:$A$600,$A19,Raw_Q!$P$2:$P$600,5)-1,""))</f>
        <v/>
      </c>
      <c r="Z19" s="49">
        <f>IF($A19="","",IFERROR(SUMIFS(Raw_Q!$J$2:$J$600,Raw_Q!$A$2:$A$600,$A19,Raw_Q!$P$2:$P$600,"&gt;=1",Raw_Q!$P$2:$P$600,"&lt;=4")/E19,""))</f>
        <v/>
      </c>
      <c r="AA19" s="49">
        <f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>
        <f>IF($A19="","",IFERROR((Z19-AA19)*10000,""))</f>
        <v/>
      </c>
      <c r="AC19" s="50">
        <f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>
        <f>IF($A19="","",IFERROR(SUMIFS(Raw_Q!$M$2:$M$600,Raw_Q!$A$2:$A$600,$A19,Raw_Q!$P$2:$P$600,1)/SUMIFS(Raw_Q!$L$2:$L$600,Raw_Q!$A$2:$A$600,$A19,Raw_Q!$P$2:$P$600,1),""))</f>
        <v/>
      </c>
      <c r="AE19" s="48">
        <f>IF($A19="","",IFERROR(SUMPRODUCT((Raw_Q!$A$2:$A$600=$A19)*(Raw_Q!$P$2:$P$600&gt;=1)*(Raw_Q!$P$2:$P$600&lt;=4)*Raw_Q!$K$2:$K$600*Raw_Q!$L$2:$L$600),""))</f>
        <v/>
      </c>
      <c r="AF19" s="49">
        <f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>
        <f>IF($A19="","",IFERROR(AVERAGE(AO19:AS19),""))</f>
        <v/>
      </c>
      <c r="AH19" s="49">
        <f>IF($A19="","",IFERROR(IF(AD19&lt;=0,"N/M",INDEX(Raw_Est!$B$2:$B$100,MATCH($A19,Raw_Est!$A$2:$A$100,0))/AD19),"N/M"))</f>
        <v/>
      </c>
      <c r="AI19" s="51">
        <f>IF($A19="","",IFERROR(SUMIFS(Raw_Q!$K$2:$K$600,Raw_Q!$A$2:$A$600,$A19,Raw_Q!$P$2:$P$600,0),""))</f>
        <v/>
      </c>
      <c r="AJ19" s="62">
        <f>IF($A19="","",IFERROR(INDEX(Raw_Q!$B$2:$B$600,MATCH($A19&amp;"|"&amp;0,Raw_Q!$Q$2:$Q$600,0)),""))</f>
        <v/>
      </c>
      <c r="AK19" s="62">
        <f>IF($A19="","",IFERROR(INDEX(Raw_Q!$G$2:$G$600,MATCH($A19&amp;"|"&amp;0,Raw_Q!$Q$2:$Q$600,0)),""))</f>
        <v/>
      </c>
      <c r="AL19" s="47">
        <f>IF($A19="","",IFERROR(INDEX(Raw_Est!$E$2:$E$100,MATCH($A19,Raw_Est!$A$2:$A$100,0)),""))</f>
        <v/>
      </c>
      <c r="AM19" s="63">
        <f>IF($A19="","",IFERROR(INDEX(Raw_Price!$D$2:$D$100,MATCH($A19,Raw_Price!$A$2:$A$100,0)),""))</f>
        <v/>
      </c>
      <c r="AN19" s="63">
        <f>IF($A19="","",IFERROR(INDEX(Raw_Price!$E$2:$E$100,MATCH($A19,Raw_Price!$A$2:$A$100,0)),""))</f>
        <v/>
      </c>
      <c r="AO19" s="49">
        <f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>
        <f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>
        <f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>
        <f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>
        <f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>
      <c r="A20" s="20">
        <f>IF(Tickers!A20="","",Tickers!A20)</f>
        <v/>
      </c>
      <c r="B20" s="62">
        <f>IF($A20="","",IFERROR(INDEX(Tickers!$B$2:$B$100,MATCH($A20,Tickers!$A$2:$A$100,0)),""))</f>
        <v/>
      </c>
      <c r="C20" s="62">
        <f>IF($A20="","",IFERROR(INDEX(Tickers!$D$2:$D$100,MATCH($A20,Tickers!$A$2:$A$100,0)),""))</f>
        <v/>
      </c>
      <c r="D20" s="51">
        <f>IF($A20="","",IFERROR(INDEX(Raw_Price!$B$2:$B$100,MATCH($A20,Raw_Price!$A$2:$A$100,0)),""))</f>
        <v/>
      </c>
      <c r="E20" s="48">
        <f>IF($A20="","",IFERROR(SUMIFS(Raw_Q!$I$2:$I$600,Raw_Q!$A$2:$A$600,$A20,Raw_Q!$P$2:$P$600,"&gt;=1",Raw_Q!$P$2:$P$600,"&lt;=4"),""))</f>
        <v/>
      </c>
      <c r="F20" s="51">
        <f>IF($A20="","",IFERROR(SUMIFS(Raw_Q!$K$2:$K$600,Raw_Q!$A$2:$A$600,$A20,Raw_Q!$P$2:$P$600,"&gt;=1",Raw_Q!$P$2:$P$600,"&lt;=4"),""))</f>
        <v/>
      </c>
      <c r="G20" s="51">
        <f>IF($A20="","",IFERROR(SUMIFS(Raw_Q!$K$2:$K$600,Raw_Q!$A$2:$A$600,$A20,Raw_Q!$P$2:$P$600,"&gt;=0",Raw_Q!$P$2:$P$600,"&lt;=3"),""))</f>
        <v/>
      </c>
      <c r="H20" s="51">
        <f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>
        <f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>
        <f>IF($A20="","",IFERROR(IF(F20&lt;=0,"N/M",D20/F20),"N/M"))</f>
        <v/>
      </c>
      <c r="K20" s="52">
        <f>IF($A20="","",IFERROR(IF(G20&lt;=0,"N/M",D20/G20),"N/M"))</f>
        <v/>
      </c>
      <c r="L20" s="52">
        <f>IF($A20="","",IFERROR(IF(H20&lt;=0,"N/M",D20/H20),"N/M"))</f>
        <v/>
      </c>
      <c r="M20" s="49">
        <f>IF($A20="","",IFERROR(INDEX(Raw_Est!$C$2:$C$100,MATCH($A20,Raw_Est!$A$2:$A$100,0))/INDEX(Raw_Est!$B$2:$B$100,MATCH($A20,Raw_Est!$A$2:$A$100,0))-1,""))</f>
        <v/>
      </c>
      <c r="N20" s="51">
        <f>IF($A20="","",IFERROR(IF(OR(NOT(ISNUMBER(J20)),I20&lt;Config!$B$6),"N/M",J20/(I20*100)),"N/M"))</f>
        <v/>
      </c>
      <c r="O20" s="51">
        <f>IF($A20="","",IFERROR(IF(OR(NOT(ISNUMBER(L20)),M20&lt;Config!$B$6),"N/M",L20/(M20*100)),"N/M"))</f>
        <v/>
      </c>
      <c r="P20" s="51">
        <f>IF($A20="","",IFERROR(SUMIFS(Raw_Q!$N$2:$N$600,Raw_Q!$A$2:$A$600,$A20,Raw_Q!$P$2:$P$600,"&gt;=1",Raw_Q!$P$2:$P$600,"&lt;=4"),""))</f>
        <v/>
      </c>
      <c r="Q20" s="49">
        <f>IF($A20="","",IFERROR(IF(P20=0,"不配息",P20/D20),""))</f>
        <v/>
      </c>
      <c r="R20" s="49">
        <f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>
        <f>IF($A20="","",IFERROR(SUMIFS(Raw_Q!$I$2:$I$600,Raw_Q!$A$2:$A$600,$A20,Raw_Q!$P$2:$P$600,1)/SUMIFS(Raw_Q!$I$2:$I$600,Raw_Q!$A$2:$A$600,$A20,Raw_Q!$P$2:$P$600,5)-1,""))</f>
        <v/>
      </c>
      <c r="T20" s="49">
        <f>IF($A20="","",IFERROR(SUMIFS(Raw_Q!$I$2:$I$600,Raw_Q!$A$2:$A$600,$A20,Raw_Q!$P$2:$P$600,1)/SUMIFS(Raw_Q!$I$2:$I$600,Raw_Q!$A$2:$A$600,$A20,Raw_Q!$P$2:$P$600,2)-1,""))</f>
        <v/>
      </c>
      <c r="U20" s="49">
        <f>IF($A20="","",IFERROR(SUMIFS(Raw_Q!$I$2:$I$600,Raw_Q!$A$2:$A$600,$A20,Raw_Q!$P$2:$P$600,2)/SUMIFS(Raw_Q!$I$2:$I$600,Raw_Q!$A$2:$A$600,$A20,Raw_Q!$P$2:$P$600,3)-1,""))</f>
        <v/>
      </c>
      <c r="V20" s="64">
        <f>IF($A20="","",IFERROR((T20-U20)*100,""))</f>
        <v/>
      </c>
      <c r="W20" s="62">
        <f>IF($A20="","",IFERROR(IF(NOT(ISNUMBER(T20)),"",IF(T20&gt;0,IF(V20&gt;0,"成長且加速","成長但減速"),IF(V20&gt;0,"衰退但收斂","衰退且惡化"))),""))</f>
        <v/>
      </c>
      <c r="X20" s="64">
        <f>IF($A20="","",IFERROR((T20-(SUMIFS(Raw_Q!$I$2:$I$600,Raw_Q!$A$2:$A$600,$A20,Raw_Q!$P$2:$P$600,5)/SUMIFS(Raw_Q!$I$2:$I$600,Raw_Q!$A$2:$A$600,$A20,Raw_Q!$P$2:$P$600,6)-1))*100,""))</f>
        <v/>
      </c>
      <c r="Y20" s="49">
        <f>IF($A20="","",IFERROR(SUMIFS(Raw_Q!$K$2:$K$600,Raw_Q!$A$2:$A$600,$A20,Raw_Q!$P$2:$P$600,1)/SUMIFS(Raw_Q!$K$2:$K$600,Raw_Q!$A$2:$A$600,$A20,Raw_Q!$P$2:$P$600,5)-1,""))</f>
        <v/>
      </c>
      <c r="Z20" s="49">
        <f>IF($A20="","",IFERROR(SUMIFS(Raw_Q!$J$2:$J$600,Raw_Q!$A$2:$A$600,$A20,Raw_Q!$P$2:$P$600,"&gt;=1",Raw_Q!$P$2:$P$600,"&lt;=4")/E20,""))</f>
        <v/>
      </c>
      <c r="AA20" s="49">
        <f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>
        <f>IF($A20="","",IFERROR((Z20-AA20)*10000,""))</f>
        <v/>
      </c>
      <c r="AC20" s="50">
        <f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>
        <f>IF($A20="","",IFERROR(SUMIFS(Raw_Q!$M$2:$M$600,Raw_Q!$A$2:$A$600,$A20,Raw_Q!$P$2:$P$600,1)/SUMIFS(Raw_Q!$L$2:$L$600,Raw_Q!$A$2:$A$600,$A20,Raw_Q!$P$2:$P$600,1),""))</f>
        <v/>
      </c>
      <c r="AE20" s="48">
        <f>IF($A20="","",IFERROR(SUMPRODUCT((Raw_Q!$A$2:$A$600=$A20)*(Raw_Q!$P$2:$P$600&gt;=1)*(Raw_Q!$P$2:$P$600&lt;=4)*Raw_Q!$K$2:$K$600*Raw_Q!$L$2:$L$600),""))</f>
        <v/>
      </c>
      <c r="AF20" s="49">
        <f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>
        <f>IF($A20="","",IFERROR(AVERAGE(AO20:AS20),""))</f>
        <v/>
      </c>
      <c r="AH20" s="49">
        <f>IF($A20="","",IFERROR(IF(AD20&lt;=0,"N/M",INDEX(Raw_Est!$B$2:$B$100,MATCH($A20,Raw_Est!$A$2:$A$100,0))/AD20),"N/M"))</f>
        <v/>
      </c>
      <c r="AI20" s="51">
        <f>IF($A20="","",IFERROR(SUMIFS(Raw_Q!$K$2:$K$600,Raw_Q!$A$2:$A$600,$A20,Raw_Q!$P$2:$P$600,0),""))</f>
        <v/>
      </c>
      <c r="AJ20" s="62">
        <f>IF($A20="","",IFERROR(INDEX(Raw_Q!$B$2:$B$600,MATCH($A20&amp;"|"&amp;0,Raw_Q!$Q$2:$Q$600,0)),""))</f>
        <v/>
      </c>
      <c r="AK20" s="62">
        <f>IF($A20="","",IFERROR(INDEX(Raw_Q!$G$2:$G$600,MATCH($A20&amp;"|"&amp;0,Raw_Q!$Q$2:$Q$600,0)),""))</f>
        <v/>
      </c>
      <c r="AL20" s="47">
        <f>IF($A20="","",IFERROR(INDEX(Raw_Est!$E$2:$E$100,MATCH($A20,Raw_Est!$A$2:$A$100,0)),""))</f>
        <v/>
      </c>
      <c r="AM20" s="63">
        <f>IF($A20="","",IFERROR(INDEX(Raw_Price!$D$2:$D$100,MATCH($A20,Raw_Price!$A$2:$A$100,0)),""))</f>
        <v/>
      </c>
      <c r="AN20" s="63">
        <f>IF($A20="","",IFERROR(INDEX(Raw_Price!$E$2:$E$100,MATCH($A20,Raw_Price!$A$2:$A$100,0)),""))</f>
        <v/>
      </c>
      <c r="AO20" s="49">
        <f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>
        <f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>
        <f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>
        <f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>
        <f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>
      <c r="A21" s="20">
        <f>IF(Tickers!A21="","",Tickers!A21)</f>
        <v/>
      </c>
      <c r="B21" s="62">
        <f>IF($A21="","",IFERROR(INDEX(Tickers!$B$2:$B$100,MATCH($A21,Tickers!$A$2:$A$100,0)),""))</f>
        <v/>
      </c>
      <c r="C21" s="62">
        <f>IF($A21="","",IFERROR(INDEX(Tickers!$D$2:$D$100,MATCH($A21,Tickers!$A$2:$A$100,0)),""))</f>
        <v/>
      </c>
      <c r="D21" s="51">
        <f>IF($A21="","",IFERROR(INDEX(Raw_Price!$B$2:$B$100,MATCH($A21,Raw_Price!$A$2:$A$100,0)),""))</f>
        <v/>
      </c>
      <c r="E21" s="48">
        <f>IF($A21="","",IFERROR(SUMIFS(Raw_Q!$I$2:$I$600,Raw_Q!$A$2:$A$600,$A21,Raw_Q!$P$2:$P$600,"&gt;=1",Raw_Q!$P$2:$P$600,"&lt;=4"),""))</f>
        <v/>
      </c>
      <c r="F21" s="51">
        <f>IF($A21="","",IFERROR(SUMIFS(Raw_Q!$K$2:$K$600,Raw_Q!$A$2:$A$600,$A21,Raw_Q!$P$2:$P$600,"&gt;=1",Raw_Q!$P$2:$P$600,"&lt;=4"),""))</f>
        <v/>
      </c>
      <c r="G21" s="51">
        <f>IF($A21="","",IFERROR(SUMIFS(Raw_Q!$K$2:$K$600,Raw_Q!$A$2:$A$600,$A21,Raw_Q!$P$2:$P$600,"&gt;=0",Raw_Q!$P$2:$P$600,"&lt;=3"),""))</f>
        <v/>
      </c>
      <c r="H21" s="51">
        <f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>
        <f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>
        <f>IF($A21="","",IFERROR(IF(F21&lt;=0,"N/M",D21/F21),"N/M"))</f>
        <v/>
      </c>
      <c r="K21" s="52">
        <f>IF($A21="","",IFERROR(IF(G21&lt;=0,"N/M",D21/G21),"N/M"))</f>
        <v/>
      </c>
      <c r="L21" s="52">
        <f>IF($A21="","",IFERROR(IF(H21&lt;=0,"N/M",D21/H21),"N/M"))</f>
        <v/>
      </c>
      <c r="M21" s="49">
        <f>IF($A21="","",IFERROR(INDEX(Raw_Est!$C$2:$C$100,MATCH($A21,Raw_Est!$A$2:$A$100,0))/INDEX(Raw_Est!$B$2:$B$100,MATCH($A21,Raw_Est!$A$2:$A$100,0))-1,""))</f>
        <v/>
      </c>
      <c r="N21" s="51">
        <f>IF($A21="","",IFERROR(IF(OR(NOT(ISNUMBER(J21)),I21&lt;Config!$B$6),"N/M",J21/(I21*100)),"N/M"))</f>
        <v/>
      </c>
      <c r="O21" s="51">
        <f>IF($A21="","",IFERROR(IF(OR(NOT(ISNUMBER(L21)),M21&lt;Config!$B$6),"N/M",L21/(M21*100)),"N/M"))</f>
        <v/>
      </c>
      <c r="P21" s="51">
        <f>IF($A21="","",IFERROR(SUMIFS(Raw_Q!$N$2:$N$600,Raw_Q!$A$2:$A$600,$A21,Raw_Q!$P$2:$P$600,"&gt;=1",Raw_Q!$P$2:$P$600,"&lt;=4"),""))</f>
        <v/>
      </c>
      <c r="Q21" s="49">
        <f>IF($A21="","",IFERROR(IF(P21=0,"不配息",P21/D21),""))</f>
        <v/>
      </c>
      <c r="R21" s="49">
        <f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>
        <f>IF($A21="","",IFERROR(SUMIFS(Raw_Q!$I$2:$I$600,Raw_Q!$A$2:$A$600,$A21,Raw_Q!$P$2:$P$600,1)/SUMIFS(Raw_Q!$I$2:$I$600,Raw_Q!$A$2:$A$600,$A21,Raw_Q!$P$2:$P$600,5)-1,""))</f>
        <v/>
      </c>
      <c r="T21" s="49">
        <f>IF($A21="","",IFERROR(SUMIFS(Raw_Q!$I$2:$I$600,Raw_Q!$A$2:$A$600,$A21,Raw_Q!$P$2:$P$600,1)/SUMIFS(Raw_Q!$I$2:$I$600,Raw_Q!$A$2:$A$600,$A21,Raw_Q!$P$2:$P$600,2)-1,""))</f>
        <v/>
      </c>
      <c r="U21" s="49">
        <f>IF($A21="","",IFERROR(SUMIFS(Raw_Q!$I$2:$I$600,Raw_Q!$A$2:$A$600,$A21,Raw_Q!$P$2:$P$600,2)/SUMIFS(Raw_Q!$I$2:$I$600,Raw_Q!$A$2:$A$600,$A21,Raw_Q!$P$2:$P$600,3)-1,""))</f>
        <v/>
      </c>
      <c r="V21" s="64">
        <f>IF($A21="","",IFERROR((T21-U21)*100,""))</f>
        <v/>
      </c>
      <c r="W21" s="62">
        <f>IF($A21="","",IFERROR(IF(NOT(ISNUMBER(T21)),"",IF(T21&gt;0,IF(V21&gt;0,"成長且加速","成長但減速"),IF(V21&gt;0,"衰退但收斂","衰退且惡化"))),""))</f>
        <v/>
      </c>
      <c r="X21" s="64">
        <f>IF($A21="","",IFERROR((T21-(SUMIFS(Raw_Q!$I$2:$I$600,Raw_Q!$A$2:$A$600,$A21,Raw_Q!$P$2:$P$600,5)/SUMIFS(Raw_Q!$I$2:$I$600,Raw_Q!$A$2:$A$600,$A21,Raw_Q!$P$2:$P$600,6)-1))*100,""))</f>
        <v/>
      </c>
      <c r="Y21" s="49">
        <f>IF($A21="","",IFERROR(SUMIFS(Raw_Q!$K$2:$K$600,Raw_Q!$A$2:$A$600,$A21,Raw_Q!$P$2:$P$600,1)/SUMIFS(Raw_Q!$K$2:$K$600,Raw_Q!$A$2:$A$600,$A21,Raw_Q!$P$2:$P$600,5)-1,""))</f>
        <v/>
      </c>
      <c r="Z21" s="49">
        <f>IF($A21="","",IFERROR(SUMIFS(Raw_Q!$J$2:$J$600,Raw_Q!$A$2:$A$600,$A21,Raw_Q!$P$2:$P$600,"&gt;=1",Raw_Q!$P$2:$P$600,"&lt;=4")/E21,""))</f>
        <v/>
      </c>
      <c r="AA21" s="49">
        <f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>
        <f>IF($A21="","",IFERROR((Z21-AA21)*10000,""))</f>
        <v/>
      </c>
      <c r="AC21" s="50">
        <f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>
        <f>IF($A21="","",IFERROR(SUMIFS(Raw_Q!$M$2:$M$600,Raw_Q!$A$2:$A$600,$A21,Raw_Q!$P$2:$P$600,1)/SUMIFS(Raw_Q!$L$2:$L$600,Raw_Q!$A$2:$A$600,$A21,Raw_Q!$P$2:$P$600,1),""))</f>
        <v/>
      </c>
      <c r="AE21" s="48">
        <f>IF($A21="","",IFERROR(SUMPRODUCT((Raw_Q!$A$2:$A$600=$A21)*(Raw_Q!$P$2:$P$600&gt;=1)*(Raw_Q!$P$2:$P$600&lt;=4)*Raw_Q!$K$2:$K$600*Raw_Q!$L$2:$L$600),""))</f>
        <v/>
      </c>
      <c r="AF21" s="49">
        <f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>
        <f>IF($A21="","",IFERROR(AVERAGE(AO21:AS21),""))</f>
        <v/>
      </c>
      <c r="AH21" s="49">
        <f>IF($A21="","",IFERROR(IF(AD21&lt;=0,"N/M",INDEX(Raw_Est!$B$2:$B$100,MATCH($A21,Raw_Est!$A$2:$A$100,0))/AD21),"N/M"))</f>
        <v/>
      </c>
      <c r="AI21" s="51">
        <f>IF($A21="","",IFERROR(SUMIFS(Raw_Q!$K$2:$K$600,Raw_Q!$A$2:$A$600,$A21,Raw_Q!$P$2:$P$600,0),""))</f>
        <v/>
      </c>
      <c r="AJ21" s="62">
        <f>IF($A21="","",IFERROR(INDEX(Raw_Q!$B$2:$B$600,MATCH($A21&amp;"|"&amp;0,Raw_Q!$Q$2:$Q$600,0)),""))</f>
        <v/>
      </c>
      <c r="AK21" s="62">
        <f>IF($A21="","",IFERROR(INDEX(Raw_Q!$G$2:$G$600,MATCH($A21&amp;"|"&amp;0,Raw_Q!$Q$2:$Q$600,0)),""))</f>
        <v/>
      </c>
      <c r="AL21" s="47">
        <f>IF($A21="","",IFERROR(INDEX(Raw_Est!$E$2:$E$100,MATCH($A21,Raw_Est!$A$2:$A$100,0)),""))</f>
        <v/>
      </c>
      <c r="AM21" s="63">
        <f>IF($A21="","",IFERROR(INDEX(Raw_Price!$D$2:$D$100,MATCH($A21,Raw_Price!$A$2:$A$100,0)),""))</f>
        <v/>
      </c>
      <c r="AN21" s="63">
        <f>IF($A21="","",IFERROR(INDEX(Raw_Price!$E$2:$E$100,MATCH($A21,Raw_Price!$A$2:$A$100,0)),""))</f>
        <v/>
      </c>
      <c r="AO21" s="49">
        <f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>
        <f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>
        <f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>
        <f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>
        <f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>
      <c r="A23" s="27" t="inlineStr">
        <is>
          <t>Calc 是引擎，不是給人看的。淨利_TTM 是用「逐季 adjusted EPS × 稀釋股數」反推的——沒有任何 API 提供 non-GAAP 淨利，這是唯一算得出 Adjusted 口徑 ROE 的方法。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66" customWidth="1" min="3" max="3"/>
  </cols>
  <sheetData>
    <row r="1">
      <c r="A1" s="1" t="inlineStr">
        <is>
          <t>參數設定</t>
        </is>
      </c>
    </row>
    <row r="3" ht="32" customHeight="1">
      <c r="A3" s="19" t="inlineStr">
        <is>
          <t>參數</t>
        </is>
      </c>
      <c r="B3" s="19" t="inlineStr">
        <is>
          <t>值</t>
        </is>
      </c>
      <c r="C3" s="19" t="inlineStr">
        <is>
          <t>用途</t>
        </is>
      </c>
    </row>
    <row r="4">
      <c r="A4" s="2" t="inlineStr">
        <is>
          <t>目標季數（每檔應有的實際季數）</t>
        </is>
      </c>
      <c r="B4" s="76" t="n">
        <v>24</v>
      </c>
      <c r="C4" s="27" t="inlineStr">
        <is>
          <t>_Manifest 判斷是否需要補歷史</t>
        </is>
      </c>
    </row>
    <row r="5">
      <c r="A5" s="2" t="inlineStr">
        <is>
          <t>毛利率五年平均取樣季數</t>
        </is>
      </c>
      <c r="B5" s="76" t="n">
        <v>20</v>
      </c>
      <c r="C5" s="27" t="inlineStr">
        <is>
          <t>5 年平均毛利率的取樣範圍</t>
        </is>
      </c>
    </row>
    <row r="6">
      <c r="A6" s="2" t="inlineStr">
        <is>
          <t>PEG 成長率下限</t>
        </is>
      </c>
      <c r="B6" s="77" t="n">
        <v>0.05</v>
      </c>
      <c r="C6" s="27" t="inlineStr">
        <is>
          <t>成長率低於此值時 PEG 顯示 N/M（PEG 在低成長時失真）</t>
        </is>
      </c>
    </row>
    <row r="7">
      <c r="A7" s="2" t="inlineStr">
        <is>
          <t>分析師家數下限</t>
        </is>
      </c>
      <c r="B7" s="76" t="n">
        <v>5</v>
      </c>
      <c r="C7" s="27" t="inlineStr">
        <is>
          <t>低於此值時共識預估信心不足，會出旗標</t>
        </is>
      </c>
    </row>
    <row r="8">
      <c r="A8" s="2" t="inlineStr">
        <is>
          <t>NTM 換算基準天數</t>
        </is>
      </c>
      <c r="B8" s="76" t="n">
        <v>365</v>
      </c>
      <c r="C8" s="27" t="inlineStr">
        <is>
          <t>EPS_NTM 依 fy1_end 距今天數在 F1 / F2 之間加權</t>
        </is>
      </c>
    </row>
    <row r="11">
      <c r="A11" s="27" t="inlineStr">
        <is>
          <t>黃底藍字＝可以改，改了整張表的判斷規則跟著變。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2026-08-24T15:00:22Z</dcterms:created>
  <dcterms:modified xmlns:dcterms="http://purl.org/dc/terms/" xmlns:xsi="http://www.w3.org/2001/XMLSchema-instance" xsi:type="dcterms:W3CDTF">2026-08-24T15:00:22Z</dcterms:modified>
</cp:coreProperties>
</file>