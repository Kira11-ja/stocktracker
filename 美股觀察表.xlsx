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Raw_Q!$A$1:$Q$490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<sst xmlns="http://schemas.openxmlformats.org/spreadsheetml/2006/main" count="3385" uniqueCount="838">
  <si>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</si>
  <si>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</si>
  <si>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</si>
  <si>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</si>
  <si>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</si>
  <si>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</si>
  <si>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</si>
  <si>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</si>
  <si>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</si>
  <si>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</si>
  <si>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</si>
  <si>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</si>
  <si>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</si>
  <si>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</si>
  <si>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</si>
  <si>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</si>
  <si>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</si>
  <si>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</si>
  <si>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</si>
  <si>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</si>
  <si>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</si>
  <si>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</si>
  <si>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</si>
  <si>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</si>
  <si>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</si>
  <si>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</si>
  <si>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</si>
  <si>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</si>
  <si>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</si>
  <si>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</si>
  <si>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</si>
  <si>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</si>
  <si>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</si>
  <si>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</si>
  <si>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</si>
  <si>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</si>
  <si>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</si>
  <si>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</si>
  <si>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</si>
  <si>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</si>
  <si>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</si>
  <si>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</si>
  <si>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</si>
  <si>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</si>
  <si>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</si>
  <si>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</si>
  <si>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</si>
  <si>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</si>
  <si>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</si>
  <si>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</si>
  <si>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</si>
  <si>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</si>
  <si>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</si>
  <si>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</si>
  <si>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</si>
  <si>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</si>
  <si>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</si>
  <si>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</si>
  <si>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</si>
  <si>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</si>
  <si>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</si>
  <si>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</si>
  <si>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</si>
  <si>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</si>
  <si>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</si>
  <si>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</si>
  <si>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</si>
  <si>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</si>
  <si>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</si>
  <si>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</si>
  <si>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</si>
  <si>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</si>
  <si>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</si>
  <si>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</si>
  <si>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</si>
  <si>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</si>
  <si>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</si>
  <si>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</si>
  <si>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</si>
  <si>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</si>
  <si>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</si>
  <si>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</si>
  <si>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</si>
  <si>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</si>
  <si>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</si>
  <si>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</si>
  <si>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</si>
  <si>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</si>
  <si>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</si>
  <si>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</si>
  <si>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</si>
  <si>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</si>
  <si>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</si>
  <si>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</si>
  <si>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</si>
  <si>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</si>
  <si>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</si>
  <si>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</si>
  <si>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</si>
  <si>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</si>
  <si>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</si>
  <si>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</si>
  <si>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</si>
  <si>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</si>
  <si>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</si>
  <si>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</si>
  <si>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</si>
  <si>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</si>
  <si>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</si>
  <si>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</si>
  <si>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</si>
  <si>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</si>
  <si>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</si>
  <si>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</si>
  <si>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</si>
  <si>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</si>
  <si>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</si>
  <si>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</si>
  <si>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</si>
  <si>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</si>
  <si>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</si>
  <si>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</si>
  <si>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</si>
  <si>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</si>
  <si>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</si>
  <si>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</si>
  <si>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</si>
  <si>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</si>
  <si>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</si>
  <si>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</si>
  <si>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</si>
  <si>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</si>
  <si>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</si>
  <si>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</si>
  <si>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</si>
  <si>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</si>
  <si>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</si>
  <si>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</si>
  <si>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</si>
  <si>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</si>
  <si>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</si>
  <si>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</si>
  <si>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</si>
  <si>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</si>
  <si>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</si>
  <si>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</si>
  <si>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</si>
  <si>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</si>
  <si>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</si>
  <si>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</si>
  <si>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</si>
  <si>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</si>
  <si>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</si>
  <si>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</si>
  <si>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</si>
  <si>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</si>
  <si>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</si>
  <si>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</si>
  <si>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</si>
  <si>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</si>
  <si>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</si>
  <si>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</si>
  <si>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</si>
  <si>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</si>
  <si>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</si>
  <si>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</si>
  <si>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</si>
  <si>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</si>
  <si>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</si>
  <si>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</si>
  <si>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</si>
  <si>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</si>
  <si>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</si>
  <si>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</si>
  <si>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</si>
  <si>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</si>
  <si>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</si>
  <si>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</si>
  <si>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</si>
  <si>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</si>
  <si>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</si>
  <si>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</si>
  <si>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</si>
  <si>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</si>
  <si>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</si>
  <si>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</si>
  <si>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</si>
  <si>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</si>
  <si>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</si>
  <si>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</si>
  <si>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</si>
  <si>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</si>
  <si>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</si>
  <si>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</si>
  <si>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</si>
  <si>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</si>
  <si>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</si>
  <si>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</si>
  <si>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</si>
  <si>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</si>
  <si>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</si>
  <si>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</si>
  <si>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</si>
  <si>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</si>
  <si>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</si>
  <si>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</si>
  <si>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</si>
  <si>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</si>
  <si>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</si>
  <si>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</si>
  <si>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</si>
  <si>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</si>
  <si>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</si>
  <si>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</si>
  <si>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</si>
  <si>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</si>
  <si>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SNDK</t>
  </si>
  <si>
    <t xml:space="preserve">Sandisk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</si>
  <si>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</si>
  <si>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</si>
  <si>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</si>
  <si>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</si>
  <si>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</si>
  <si>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</si>
  <si>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</si>
  <si>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</si>
  <si>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</si>
  <si>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</si>
  <si>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</si>
  <si>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</si>
  <si>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</si>
  <si>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</si>
  <si>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</si>
  <si>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</si>
  <si>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</si>
  <si>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</si>
  <si>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</si>
  <si>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</si>
  <si>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</si>
  <si>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</si>
  <si>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</si>
  <si>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</si>
  <si>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</si>
  <si>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</si>
  <si>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</si>
  <si>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</si>
  <si>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</si>
  <si>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</si>
  <si>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</si>
  <si>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</si>
  <si>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</si>
  <si>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</si>
  <si>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</si>
  <si>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</si>
  <si>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</si>
  <si>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</si>
  <si>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</si>
  <si>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</si>
  <si>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</si>
  <si>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</si>
  <si>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</si>
  <si>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</si>
  <si>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</si>
  <si>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</si>
  <si>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</si>
  <si>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</si>
  <si>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</si>
  <si>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</si>
  <si>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</si>
  <si>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</si>
  <si>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</si>
  <si>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</si>
  <si>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</si>
  <si>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</si>
  <si>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</si>
  <si>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</si>
  <si>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</si>
  <si>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</si>
  <si>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</si>
  <si>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</si>
  <si>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</si>
  <si>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</si>
  <si>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</si>
  <si>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</si>
  <si>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</si>
  <si>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</si>
  <si>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</si>
  <si>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</si>
  <si>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</si>
  <si>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</si>
  <si>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</si>
  <si>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</si>
  <si>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</si>
  <si>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</si>
  <si>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</si>
  <si>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</si>
  <si>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</si>
  <si>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</si>
  <si>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</si>
  <si>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</si>
  <si>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</si>
  <si>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</si>
  <si>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</si>
  <si>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</si>
  <si>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</si>
  <si>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</si>
  <si>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</si>
  <si>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</si>
  <si>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</si>
  <si>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</si>
  <si>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</si>
  <si>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</si>
  <si>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</si>
  <si>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</si>
  <si>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</si>
  <si>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</si>
  <si>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</si>
  <si>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</si>
  <si>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</si>
  <si>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</si>
  <si>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</si>
  <si>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</si>
  <si>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</si>
  <si>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</si>
  <si>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</si>
  <si>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</si>
  <si>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</si>
  <si>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</si>
  <si>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</si>
  <si>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</si>
  <si>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</si>
  <si>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</si>
  <si>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</si>
  <si>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</si>
  <si>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</si>
  <si>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</si>
  <si>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</si>
  <si>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</si>
  <si>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</si>
  <si>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</si>
  <si>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</si>
  <si>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</si>
  <si>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</si>
  <si>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</si>
  <si>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</si>
  <si>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</si>
  <si>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</si>
  <si>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</si>
  <si>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</si>
  <si>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</si>
  <si>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</si>
  <si>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</si>
  <si>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</si>
  <si>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</si>
  <si>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</si>
  <si>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</si>
  <si>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</si>
  <si>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</si>
  <si>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</si>
  <si>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</si>
  <si>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</si>
  <si>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</si>
  <si>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</si>
  <si>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</si>
  <si>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</si>
  <si>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</si>
  <si>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</si>
  <si>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</si>
  <si>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</si>
  <si>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</si>
  <si>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</si>
  <si>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</si>
  <si>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</si>
  <si>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</si>
  <si>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</si>
  <si>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</si>
  <si>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</si>
  <si>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</si>
  <si>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</si>
  <si>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</si>
  <si>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</si>
  <si>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</si>
  <si>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</si>
  <si>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</si>
  <si>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</si>
  <si>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</si>
  <si>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</si>
  <si>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</si>
  <si>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</si>
  <si>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</si>
  <si>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</si>
  <si>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</si>
  <si>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</si>
  <si>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</si>
  <si>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</si>
  <si>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</si>
  <si>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</si>
  <si>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</si>
  <si>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</si>
  <si>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</si>
  <si>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</si>
  <si>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</si>
  <si>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</si>
  <si>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</si>
  <si>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</si>
  <si>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</si>
  <si>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</si>
  <si>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</si>
  <si>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</si>
  <si>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</si>
  <si>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</si>
  <si>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</si>
  <si>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</si>
  <si>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</si>
  <si>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</si>
  <si>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</si>
  <si>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</si>
  <si>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</si>
  <si>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</si>
  <si>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</si>
  <si>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</si>
  <si>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</si>
  <si>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</si>
  <si>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</si>
  <si>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</si>
  <si>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</si>
  <si>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</si>
  <si>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</si>
  <si>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</si>
  <si>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</si>
  <si>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</si>
  <si>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</si>
  <si>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</si>
  <si>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</si>
  <si>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</si>
  <si>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</si>
  <si>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</si>
  <si>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</si>
  <si>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</si>
  <si>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</si>
  <si>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</si>
  <si>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</si>
  <si>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</si>
  <si>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</si>
  <si>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</si>
  <si>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</si>
  <si>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</si>
  <si>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</si>
  <si>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</si>
  <si>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</si>
  <si>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</si>
  <si>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</si>
  <si>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</si>
  <si>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</si>
  <si>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</si>
  <si>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</si>
  <si>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</si>
  <si>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</si>
  <si>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</si>
  <si>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</si>
  <si>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</si>
  <si>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</si>
  <si>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</si>
  <si>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</si>
  <si>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</si>
  <si>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</si>
  <si>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</si>
  <si>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</si>
  <si>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</si>
  <si>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</si>
  <si>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</si>
  <si>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</si>
  <si>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</si>
  <si>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</si>
  <si>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</si>
  <si>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</si>
  <si>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</si>
  <si>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</si>
  <si>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</si>
  <si>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</si>
  <si>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</si>
  <si>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</si>
  <si>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</si>
  <si>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</si>
  <si>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</si>
  <si>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</si>
  <si>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</si>
  <si>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</si>
  <si>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</si>
  <si>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</si>
  <si>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</si>
  <si>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</si>
  <si>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</si>
  <si>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</si>
  <si>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</si>
  <si>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</si>
  <si>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</si>
  <si>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</si>
  <si>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</si>
  <si>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</si>
  <si>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</si>
  <si>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</si>
  <si>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</si>
  <si>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</si>
  <si>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</si>
  <si>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</si>
  <si>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</si>
  <si>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</si>
  <si>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</si>
  <si>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</si>
  <si>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</si>
  <si>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</si>
  <si>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</si>
  <si>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</si>
  <si>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</si>
  <si>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</si>
  <si>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</si>
  <si>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</si>
  <si>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</si>
  <si>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</si>
  <si>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</si>
  <si>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</si>
  <si>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</si>
  <si>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</si>
  <si>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</si>
  <si>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</si>
  <si>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</si>
  <si>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</si>
  <si>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</si>
  <si>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</si>
  <si>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</si>
  <si>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</si>
  <si>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</si>
  <si>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</si>
  <si>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</si>
  <si>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</si>
  <si>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</si>
  <si>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</si>
  <si>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</si>
  <si>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</si>
  <si>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</si>
  <si>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</si>
  <si>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</si>
  <si>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</si>
  <si>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</si>
  <si>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</si>
  <si>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</si>
  <si>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</si>
  <si>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</si>
  <si>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</si>
  <si>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</si>
  <si>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</si>
  <si>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</si>
  <si>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</si>
  <si>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</si>
  <si>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</si>
  <si>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</si>
  <si>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</si>
  <si>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</si>
  <si>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</si>
  <si>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</si>
  <si>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</si>
  <si>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</si>
  <si>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</si>
  <si>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</si>
  <si>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</si>
  <si>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</si>
  <si>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</si>
  <si>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</si>
  <si>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</si>
  <si>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</si>
  <si>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</si>
  <si>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</si>
  <si>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</si>
  <si>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</si>
  <si>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</si>
  <si>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</si>
  <si>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</si>
  <si>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</si>
  <si>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</si>
  <si>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</si>
  <si>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</si>
  <si>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</si>
  <si>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</si>
  <si>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</si>
  <si>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</si>
  <si>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</si>
  <si>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</si>
  <si>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</si>
  <si>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</si>
  <si>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</si>
  <si>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</si>
  <si>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</si>
  <si>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</si>
  <si>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</si>
  <si>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</si>
  <si>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</si>
  <si>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</si>
  <si>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</si>
  <si>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</si>
  <si>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</si>
  <si>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</si>
  <si>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</si>
  <si>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</si>
  <si>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</si>
  <si>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</si>
  <si>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</si>
  <si>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</si>
  <si>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</si>
  <si>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</si>
  <si>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</si>
  <si>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</si>
  <si>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</si>
  <si>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</si>
  <si>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</si>
  <si>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</si>
  <si>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</si>
  <si>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</si>
  <si>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</si>
  <si>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</si>
  <si>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</si>
  <si>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</si>
  <si>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</si>
  <si>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</si>
  <si>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</si>
  <si>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</si>
  <si>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</si>
  <si>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</si>
  <si>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</si>
  <si>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</si>
  <si>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</si>
  <si>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</si>
  <si>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</si>
  <si>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</si>
  <si>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</si>
  <si>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</si>
  <si>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</si>
  <si>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</si>
  <si>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</si>
  <si>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</si>
  <si>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</si>
  <si>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</si>
  <si>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</si>
  <si>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</si>
  <si>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</si>
  <si>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</si>
  <si>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</si>
  <si>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</si>
  <si>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</si>
  <si>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</si>
  <si>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</si>
  <si>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</si>
  <si>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</si>
  <si>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</si>
  <si>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</si>
  <si>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</si>
  <si>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</si>
  <si>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</si>
  <si>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</si>
  <si>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</si>
  <si>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</si>
  <si>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</si>
  <si>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</si>
  <si>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</si>
  <si>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</si>
  <si>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</si>
  <si>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</si>
  <si>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</si>
  <si>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</si>
  <si>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</si>
  <si>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</si>
  <si>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</si>
  <si>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</si>
  <si>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</si>
  <si>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</si>
  <si>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</si>
  <si>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</si>
  <si>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</si>
  <si>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</si>
  <si>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</si>
  <si>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</si>
  <si>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</si>
  <si>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</si>
  <si>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</si>
  <si>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</si>
  <si>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</si>
  <si>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</si>
  <si>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</si>
  <si>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</si>
  <si>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</si>
  <si>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</si>
  <si>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</si>
  <si>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</si>
  <si>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</si>
  <si>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</si>
  <si>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</si>
  <si>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</si>
  <si>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</si>
  <si>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</si>
  <si>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SNDK|1</t>
  </si>
  <si>
    <t xml:space="preserve">SNDK|2</t>
  </si>
  <si>
    <t xml:space="preserve">SNDK|3</t>
  </si>
  <si>
    <t xml:space="preserve">SNDK|4</t>
  </si>
  <si>
    <t xml:space="preserve">SNDK|5</t>
  </si>
  <si>
    <t xml:space="preserve">SNDK|6</t>
  </si>
  <si>
    <t xml:space="preserve">SNDK|7</t>
  </si>
  <si>
    <t xml:space="preserve">SNDK|8</t>
  </si>
  <si>
    <t xml:space="preserve">SNDK|9</t>
  </si>
  <si>
    <t xml:space="preserve">SNDK|10</t>
  </si>
  <si>
    <t xml:space="preserve">SNDK|11</t>
  </si>
  <si>
    <t xml:space="preserve">SNDK|12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</si>
  <si>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</si>
  <si>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</si>
  <si>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</si>
  <si>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</si>
  <si>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</si>
  <si>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</si>
  <si>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</si>
  <si>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</si>
  <si>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</si>
  <si>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</si>
  <si>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</si>
  <si>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</si>
  <si>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</si>
  <si>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</si>
  <si>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</si>
  <si>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</si>
  <si>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</si>
  <si>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</si>
  <si>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</si>
  <si>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</si>
  <si>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</si>
  <si>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</si>
  <si>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</si>
  <si>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</si>
  <si>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</si>
  <si>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</si>
  <si>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</si>
  <si>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</si>
  <si>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</si>
  <si>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</si>
  <si>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</si>
  <si>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</si>
  <si>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</si>
  <si>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</si>
  <si>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</si>
  <si>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</si>
  <si>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</si>
  <si>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</si>
  <si>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</si>
  <si>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</si>
  <si>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</si>
  <si>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</si>
  <si>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</si>
  <si>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</si>
  <si>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</si>
  <si>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</si>
  <si>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</si>
  <si>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</si>
  <si>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</si>
  <si>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SNDK|0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</si>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</sst>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A3D9B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330.100006103516</v>
      </c>
      <c r="E3" s="18" t="n">
        <f aca="false">IF(Calc!$A$2="","",Calc!J$2)</f>
        <v>37.8555052871004</v>
      </c>
      <c r="F3" s="18" t="n">
        <f aca="false">IF(Calc!$A$2="","",Calc!L$2)</f>
        <v>34.5852999045133</v>
      </c>
      <c r="G3" s="17" t="n">
        <f aca="false">IF(Calc!$A$2="","",Calc!N$2)</f>
        <v>1.17121023399996</v>
      </c>
      <c r="H3" s="17" t="n">
        <f aca="false">IF(Calc!$A$2="","",Calc!O$2)</f>
        <v>4.00630176562896</v>
      </c>
      <c r="I3" s="19" t="n">
        <f aca="false">IF(Calc!$A$2="","",Calc!Q$2)</f>
        <v>0.00318085422776615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500.779998779297</v>
      </c>
      <c r="E4" s="18" t="n">
        <f aca="false">IF(Calc!$A$3="","",Calc!J$3)</f>
        <v>28.9803240034315</v>
      </c>
      <c r="F4" s="18" t="n">
        <f aca="false">IF(Calc!$A$3="","",Calc!L$3)</f>
        <v>24.3471547904833</v>
      </c>
      <c r="G4" s="17" t="n">
        <f aca="false">IF(Calc!$A$3="","",Calc!N$3)</f>
        <v>1.08596598738134</v>
      </c>
      <c r="H4" s="17" t="n">
        <f aca="false">IF(Calc!$A$3="","",Calc!O$3)</f>
        <v>1.2551473572816</v>
      </c>
      <c r="I4" s="19" t="n">
        <f aca="false">IF(Calc!$A$3="","",Calc!Q$3)</f>
        <v>0.00710891011757233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212.149993896484</v>
      </c>
      <c r="E5" s="18" t="n">
        <f aca="false">IF(Calc!$A$4="","",Calc!J$4)</f>
        <v>30.2639078311675</v>
      </c>
      <c r="F5" s="18" t="n">
        <f aca="false">IF(Calc!$A$4="","",Calc!L$4)</f>
        <v>16.0355976169065</v>
      </c>
      <c r="G5" s="17" t="n">
        <f aca="false">IF(Calc!$A$4="","",Calc!N$4)</f>
        <v>0.312288440228859</v>
      </c>
      <c r="H5" s="17" t="n">
        <f aca="false">IF(Calc!$A$4="","",Calc!O$4)</f>
        <v>0.236589646819221</v>
      </c>
      <c r="I5" s="19" t="n">
        <f aca="false">IF(Calc!$A$4="","",Calc!Q$4)</f>
        <v>0.0013198209194228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96.1900024414062</v>
      </c>
      <c r="E6" s="18" t="str">
        <f aca="false">IF(Calc!$A$5="","",Calc!J$5)</f>
        <v>N/M</v>
      </c>
      <c r="F6" s="18" t="n">
        <f aca="false">IF(Calc!$A$5="","",Calc!L$5)</f>
        <v>27.8628835809215</v>
      </c>
      <c r="G6" s="17" t="str">
        <f aca="false">IF(Calc!$A$5="","",Calc!N$5)</f>
        <v>N/M</v>
      </c>
      <c r="H6" s="17" t="n">
        <f aca="false">IF(Calc!$A$5="","",Calc!O$5)</f>
        <v>0.0483089261474417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223.860000610352</v>
      </c>
      <c r="E7" s="18" t="n">
        <f aca="false">IF(Calc!$A$6="","",Calc!J$6)</f>
        <v>67.8363638213187</v>
      </c>
      <c r="F7" s="18" t="n">
        <f aca="false">IF(Calc!$A$6="","",Calc!L$6)</f>
        <v>38.6136520046319</v>
      </c>
      <c r="G7" s="17" t="n">
        <f aca="false">IF(Calc!$A$6="","",Calc!N$6)</f>
        <v>1.6059220823006</v>
      </c>
      <c r="H7" s="17" t="n">
        <f aca="false">IF(Calc!$A$6="","",Calc!O$6)</f>
        <v>0.638412460632616</v>
      </c>
      <c r="I7" s="19" t="n">
        <f aca="false">IF(Calc!$A$6="","",Calc!Q$6)</f>
        <v>0.00107209863015118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929.5</v>
      </c>
      <c r="E8" s="18" t="n">
        <f aca="false">IF(Calc!$A$7="","",Calc!J$7)</f>
        <v>20.6006205673759</v>
      </c>
      <c r="F8" s="18" t="n">
        <f aca="false">IF(Calc!$A$7="","",Calc!L$7)</f>
        <v>5.95581089470633</v>
      </c>
      <c r="G8" s="17" t="n">
        <f aca="false">IF(Calc!$A$7="","",Calc!N$7)</f>
        <v>0.0342988615444418</v>
      </c>
      <c r="H8" s="17" t="n">
        <f aca="false">IF(Calc!$A$7="","",Calc!O$7)</f>
        <v>0.0529349774783676</v>
      </c>
      <c r="I8" s="19" t="n">
        <f aca="false">IF(Calc!$A$7="","",Calc!Q$7)</f>
        <v>0.000532544378698225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328.045013427734</v>
      </c>
      <c r="E9" s="18" t="n">
        <f aca="false">IF(Calc!$A$8="","",Calc!J$8)</f>
        <v>42.7141944567362</v>
      </c>
      <c r="F9" s="18" t="n">
        <f aca="false">IF(Calc!$A$8="","",Calc!L$8)</f>
        <v>30.0912946943214</v>
      </c>
      <c r="G9" s="17" t="n">
        <f aca="false">IF(Calc!$A$8="","",Calc!N$8)</f>
        <v>0.300230590749122</v>
      </c>
      <c r="H9" s="17" t="n">
        <f aca="false">IF(Calc!$A$8="","",Calc!O$8)</f>
        <v>1.06813533817044</v>
      </c>
      <c r="I9" s="19" t="n">
        <f aca="false">IF(Calc!$A$8="","",Calc!Q$8)</f>
        <v>0.00152418107129724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555.760009765625</v>
      </c>
      <c r="E10" s="18" t="n">
        <f aca="false">IF(Calc!$A$9="","",Calc!J$9)</f>
        <v>40.6852130135889</v>
      </c>
      <c r="F10" s="18" t="n">
        <f aca="false">IF(Calc!$A$9="","",Calc!L$9)</f>
        <v>22.1198437631141</v>
      </c>
      <c r="G10" s="17" t="n">
        <f aca="false">IF(Calc!$A$9="","",Calc!N$9)</f>
        <v>0.624242507648201</v>
      </c>
      <c r="H10" s="17" t="str">
        <f aca="false">IF(Calc!$A$9="","",Calc!O$9)</f>
        <v>N/M</v>
      </c>
      <c r="I10" s="19" t="n">
        <f aca="false">IF(Calc!$A$9="","",Calc!Q$9)</f>
        <v>0.00396753987558387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87.7399978637695</v>
      </c>
      <c r="E11" s="18" t="n">
        <f aca="false">IF(Calc!$A$10="","",Calc!J$10)</f>
        <v>47.6847814477008</v>
      </c>
      <c r="F11" s="18" t="n">
        <f aca="false">IF(Calc!$A$10="","",Calc!L$10)</f>
        <v>17.2700231723766</v>
      </c>
      <c r="G11" s="17" t="n">
        <f aca="false">IF(Calc!$A$10="","",Calc!N$10)</f>
        <v>0.915850564312985</v>
      </c>
      <c r="H11" s="17" t="n">
        <f aca="false">IF(Calc!$A$10="","",Calc!O$10)</f>
        <v>0.212174570403484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238.238006591797</v>
      </c>
      <c r="E12" s="18" t="n">
        <f aca="false">IF(Calc!$A$11="","",Calc!J$11)</f>
        <v>214.628834767385</v>
      </c>
      <c r="F12" s="18" t="n">
        <f aca="false">IF(Calc!$A$11="","",Calc!L$11)</f>
        <v>161.665335561813</v>
      </c>
      <c r="G12" s="17" t="n">
        <f aca="false">IF(Calc!$A$11="","",Calc!N$11)</f>
        <v>9.19837863288791</v>
      </c>
      <c r="H12" s="17" t="n">
        <f aca="false">IF(Calc!$A$11="","",Calc!O$11)</f>
        <v>5.80487711811326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327.772003173828</v>
      </c>
      <c r="E13" s="18" t="n">
        <f aca="false">IF(Calc!$A$12="","",Calc!J$12)</f>
        <v>300.708259792503</v>
      </c>
      <c r="F13" s="18" t="n">
        <f aca="false">IF(Calc!$A$12="","",Calc!L$12)</f>
        <v>210.775738232547</v>
      </c>
      <c r="G13" s="17" t="n">
        <f aca="false">IF(Calc!$A$12="","",Calc!N$12)</f>
        <v>6.92540234673643</v>
      </c>
      <c r="H13" s="17" t="n">
        <f aca="false">IF(Calc!$A$12="","",Calc!O$12)</f>
        <v>6.44688559992794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261.279998779297</v>
      </c>
      <c r="E14" s="18" t="n">
        <f aca="false">IF(Calc!$A$13="","",Calc!J$13)</f>
        <v>24.5794918889273</v>
      </c>
      <c r="F14" s="18" t="n">
        <f aca="false">IF(Calc!$A$13="","",Calc!L$13)</f>
        <v>20.1249819294415</v>
      </c>
      <c r="G14" s="17" t="n">
        <f aca="false">IF(Calc!$A$13="","",Calc!N$13)</f>
        <v>1.62049078667714</v>
      </c>
      <c r="H14" s="17" t="n">
        <f aca="false">IF(Calc!$A$13="","",Calc!O$13)</f>
        <v>1.992596514978</v>
      </c>
      <c r="I14" s="19" t="n">
        <f aca="false">IF(Calc!$A$13="","",Calc!Q$13)</f>
        <v>0.00623851809405763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248.809997558594</v>
      </c>
      <c r="E15" s="18" t="n">
        <f aca="false">IF(Calc!$A$14="","",Calc!J$14)</f>
        <v>20.0168944134026</v>
      </c>
      <c r="F15" s="18" t="n">
        <f aca="false">IF(Calc!$A$14="","",Calc!L$14)</f>
        <v>22.2232413998932</v>
      </c>
      <c r="G15" s="17" t="n">
        <f aca="false">IF(Calc!$A$14="","",Calc!N$14)</f>
        <v>0.223698172660853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340.575012207031</v>
      </c>
      <c r="E16" s="18" t="n">
        <f aca="false">IF(Calc!$A$15="","",Calc!J$15)</f>
        <v>17.1057263790573</v>
      </c>
      <c r="F16" s="18" t="n">
        <f aca="false">IF(Calc!$A$15="","",Calc!L$15)</f>
        <v>20.5888410022465</v>
      </c>
      <c r="G16" s="17" t="n">
        <f aca="false">IF(Calc!$A$15="","",Calc!N$15)</f>
        <v>0.152683242109647</v>
      </c>
      <c r="H16" s="17" t="str">
        <f aca="false">IF(Calc!$A$15="","",Calc!O$15)</f>
        <v>N/M</v>
      </c>
      <c r="I16" s="19" t="n">
        <f aca="false">IF(Calc!$A$15="","",Calc!Q$15)</f>
        <v>0.00249577910749159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187.320098876953</v>
      </c>
      <c r="E17" s="18" t="n">
        <f aca="false">IF(Calc!$A$16="","",Calc!J$16)</f>
        <v>50.9022007817807</v>
      </c>
      <c r="F17" s="18" t="n">
        <f aca="false">IF(Calc!$A$16="","",Calc!L$16)</f>
        <v>44.5095648923031</v>
      </c>
      <c r="G17" s="17" t="n">
        <f aca="false">IF(Calc!$A$16="","",Calc!N$16)</f>
        <v>3.56315405472465</v>
      </c>
      <c r="H17" s="17" t="n">
        <f aca="false">IF(Calc!$A$16="","",Calc!O$16)</f>
        <v>3.8905789976687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172.110000610352</v>
      </c>
      <c r="E18" s="18" t="n">
        <f aca="false">IF(Calc!$A$17="","",Calc!J$17)</f>
        <v>143.425000508626</v>
      </c>
      <c r="F18" s="18" t="n">
        <f aca="false">IF(Calc!$A$17="","",Calc!L$17)</f>
        <v>81.4451026222413</v>
      </c>
      <c r="G18" s="17" t="n">
        <f aca="false">IF(Calc!$A$17="","",Calc!N$17)</f>
        <v>1.13455597417272</v>
      </c>
      <c r="H18" s="17" t="n">
        <f aca="false">IF(Calc!$A$17="","",Calc!O$17)</f>
        <v>1.8293196225827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150.455001831055</v>
      </c>
      <c r="E19" s="18" t="n">
        <f aca="false">IF(Calc!$A$18="","",Calc!J$18)</f>
        <v>70.3060756219882</v>
      </c>
      <c r="F19" s="18" t="n">
        <f aca="false">IF(Calc!$A$18="","",Calc!L$18)</f>
        <v>30.4391604815807</v>
      </c>
      <c r="G19" s="17" t="n">
        <f aca="false">IF(Calc!$A$18="","",Calc!N$18)</f>
        <v>1.47744651669395</v>
      </c>
      <c r="H19" s="17" t="n">
        <f aca="false">IF(Calc!$A$18="","",Calc!O$18)</f>
        <v>0.447839366340661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187.630004882813</v>
      </c>
      <c r="E20" s="18" t="n">
        <f aca="false">IF(Calc!$A$19="","",Calc!J$19)</f>
        <v>16.5167257819377</v>
      </c>
      <c r="F20" s="18" t="n">
        <f aca="false">IF(Calc!$A$19="","",Calc!L$19)</f>
        <v>18.3671417843575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0.0191334003441624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341.579986572266</v>
      </c>
      <c r="E21" s="18" t="n">
        <f aca="false">IF(Calc!$A$20="","",Calc!J$20)</f>
        <v>53.0403705857555</v>
      </c>
      <c r="F21" s="18" t="n">
        <f aca="false">IF(Calc!$A$20="","",Calc!L$20)</f>
        <v>18.5538536713919</v>
      </c>
      <c r="G21" s="17" t="str">
        <f aca="false">IF(Calc!$A$20="","",Calc!N$20)</f>
        <v>N/M</v>
      </c>
      <c r="H21" s="17" t="n">
        <f aca="false">IF(Calc!$A$20="","",Calc!O$20)</f>
        <v>0.279947604324011</v>
      </c>
      <c r="I21" s="19" t="n">
        <f aca="false">IF(Calc!$A$20="","",Calc!Q$20)</f>
        <v>0.00743603284691456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SNDK</v>
      </c>
      <c r="B22" s="16" t="str">
        <f aca="false">IF(Calc!$A$21="","",Calc!B$21)</f>
        <v>Sandisk Corporation</v>
      </c>
      <c r="C22" s="16" t="str">
        <f aca="false">IF(Calc!$A$21="","",Calc!C$21)</f>
        <v>池子</v>
      </c>
      <c r="D22" s="17" t="n">
        <f aca="false">IF(Calc!$A$21="","",Calc!D$21)</f>
        <v>1534.22497558594</v>
      </c>
      <c r="E22" s="18" t="n">
        <f aca="false">IF(Calc!$A$21="","",Calc!J$21)</f>
        <v>22.0276378404298</v>
      </c>
      <c r="F22" s="18" t="n">
        <f aca="false">IF(Calc!$A$21="","",Calc!L$21)</f>
        <v>6.82552294151595</v>
      </c>
      <c r="G22" s="17" t="n">
        <f aca="false">IF(Calc!$A$21="","",Calc!N$21)</f>
        <v>0.00998401114784603</v>
      </c>
      <c r="H22" s="17" t="n">
        <f aca="false">IF(Calc!$A$21="","",Calc!O$21)</f>
        <v>0.28866707583025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0.50672268907563</v>
      </c>
      <c r="L22" s="19" t="n">
        <f aca="false">IF(Calc!$A$21="","",Calc!U$21)</f>
        <v>0.966942148760331</v>
      </c>
      <c r="M22" s="20" t="n">
        <f aca="false">IF(Calc!$A$21="","",Calc!V$21)</f>
        <v>-46.0219459684701</v>
      </c>
      <c r="N22" s="21" t="str">
        <f aca="false">IF(Calc!$A$21="","",Calc!W$21)</f>
        <v>成長但減速</v>
      </c>
      <c r="O22" s="20" t="n">
        <f aca="false">IF(Calc!$A$21="","",Calc!X$21)</f>
        <v>38.5188765771795</v>
      </c>
      <c r="P22" s="19" t="n">
        <f aca="false">IF(Calc!$A$21="","",Calc!S$21)</f>
        <v>3.71593897948448</v>
      </c>
      <c r="Q22" s="19" t="n">
        <f aca="false">IF(Calc!$A$21="","",Calc!Y$21)</f>
        <v>132.862068965517</v>
      </c>
      <c r="R22" s="19" t="n">
        <f aca="false">IF(Calc!$A$21="","",Calc!I$21)</f>
        <v>22.0629139072848</v>
      </c>
      <c r="S22" s="19" t="n">
        <f aca="false">IF(Calc!$A$21="","",Calc!Z$21)</f>
        <v>0.71473725800079</v>
      </c>
      <c r="T22" s="19" t="n">
        <f aca="false">IF(Calc!$A$21="","",Calc!AA$21)</f>
        <v>0.518945011486231</v>
      </c>
      <c r="U22" s="22" t="n">
        <f aca="false">IF(Calc!$A$21="","",Calc!AB$21)</f>
        <v>1957.92246514559</v>
      </c>
      <c r="V22" s="22" t="n">
        <f aca="false">IF(Calc!$A$21="","",Calc!AC$21)</f>
        <v>5837.66022110065</v>
      </c>
      <c r="W22" s="19" t="n">
        <f aca="false">IF(Calc!$A$21="","",Calc!AF$21)</f>
        <v>0.875207598589291</v>
      </c>
      <c r="X22" s="19" t="n">
        <f aca="false">IF(Calc!$A$21="","",Calc!AG$21)</f>
        <v>0.459177353339379</v>
      </c>
      <c r="Y22" s="19" t="n">
        <f aca="false">IF(Calc!$A$21="","",Calc!AH$21)</f>
        <v>2.13608377351296</v>
      </c>
      <c r="Z22" s="17" t="n">
        <f aca="false">IF(Calc!$A$21="","",Calc!AI$21)</f>
        <v>46.20664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46332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3">
      <formula>"N/M"</formula>
    </cfRule>
  </conditionalFormatting>
  <conditionalFormatting sqref="G3:G27">
    <cfRule type="cellIs" priority="11" operator="lessThan" aboveAverage="0" equalAverage="0" bottom="0" percent="0" rank="0" text="" dxfId="84">
      <formula>1.5</formula>
    </cfRule>
  </conditionalFormatting>
  <conditionalFormatting sqref="H3:H27">
    <cfRule type="cellIs" priority="12" operator="lessThan" aboveAverage="0" equalAverage="0" bottom="0" percent="0" rank="0" text="" dxfId="84">
      <formula>1.5</formula>
    </cfRule>
  </conditionalFormatting>
  <conditionalFormatting sqref="N3:N27">
    <cfRule type="cellIs" priority="13" operator="equal" aboveAverage="0" equalAverage="0" bottom="0" percent="0" rank="0" text="" dxfId="84">
      <formula>"成長且加速"</formula>
    </cfRule>
    <cfRule type="cellIs" priority="14" operator="equal" aboveAverage="0" equalAverage="0" bottom="0" percent="0" rank="0" text="" dxfId="85">
      <formula>"成長但減速"</formula>
    </cfRule>
    <cfRule type="cellIs" priority="15" operator="equal" aboveAverage="0" equalAverage="0" bottom="0" percent="0" rank="0" text="" dxfId="85">
      <formula>"衰退但收斂"</formula>
    </cfRule>
    <cfRule type="cellIs" priority="16" operator="equal" aboveAverage="0" equalAverage="0" bottom="0" percent="0" rank="0" text="" dxfId="86">
      <formula>"衰退且惡化"</formula>
    </cfRule>
  </conditionalFormatting>
  <conditionalFormatting sqref="A3:AC27">
    <cfRule type="expression" priority="17" aboveAverage="0" equalAverage="0" bottom="0" percent="0" rank="0" text="" dxfId="8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330.100006103516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37.8555052871004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34.5852999045133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1.17121023399996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4.00630176562896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0.00318085422776615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330.100006103516</v>
      </c>
      <c r="L12" s="55" t="n">
        <f aca="false">IF(Stock_Card!$B$2="","",IFERROR(INDEX(Calc!$Q$2:$Q$100,MATCH(Stock_Card!$B$2,Calc!$A$2:$A$100,0)),""))</f>
        <v>0.00318085422776615</v>
      </c>
      <c r="M12" s="58" t="n">
        <f aca="false">IF(Stock_Card!$B$2="","",IFERROR(INDEX(Calc!$J$2:$J$100,MATCH(Stock_Card!$B$2,Calc!$A$2:$A$100,0)),""))</f>
        <v>37.8555052871004</v>
      </c>
      <c r="N12" s="57" t="n">
        <f aca="false">IF(Stock_Card!$B$2="","",IFERROR(INDEX(Calc!$N$2:$N$100,MATCH(Stock_Card!$B$2,Calc!$A$2:$A$100,0)),""))</f>
        <v>1.17121023399996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34.5852999045133</v>
      </c>
      <c r="N13" s="57" t="n">
        <f aca="false">IF(Stock_Card!$B$2="","",IFERROR(INDEX(Calc!$O$2:$O$100,MATCH(Stock_Card!$B$2,Calc!$A$2:$A$100,0)),""))</f>
        <v>4.00630176562896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{95BC6090-10B0-4F12-9DB6-45B8778188E3}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4">
      <formula>"成長且加速"</formula>
    </cfRule>
    <cfRule type="cellIs" priority="5" operator="equal" aboveAverage="0" equalAverage="0" bottom="0" percent="0" rank="0" text="" dxfId="85">
      <formula>"成長但減速"</formula>
    </cfRule>
    <cfRule type="cellIs" priority="6" operator="equal" aboveAverage="0" equalAverage="0" bottom="0" percent="0" rank="0" text="" dxfId="85">
      <formula>"衰退但收斂"</formula>
    </cfRule>
    <cfRule type="cellIs" priority="7" operator="equal" aboveAverage="0" equalAverage="0" bottom="0" percent="0" rank="0" text="" dxfId="8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8">
      <formula>$O5="預估"</formula>
    </cfRule>
  </conditionalFormatting>
  <conditionalFormatting sqref="B24:B28">
    <cfRule type="expression" priority="12" aboveAverage="0" equalAverage="0" bottom="0" percent="0" rank="0" text="" dxfId="8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BC6090-10B0-4F12-9DB6-45B8778188E3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SNDK</v>
      </c>
      <c r="B23" s="47" t="n">
        <f aca="false">IF($A23="","",COUNTIFS(Raw_Q!$A$2:$A$600,$A23,Raw_Q!$F$2:$F$600,"N"))</f>
        <v>12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45199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46332</v>
      </c>
      <c r="H23" s="47" t="n">
        <f aca="true">IF($A23="","",IFERROR(INDEX(Raw_Price!$D$2:$D$100,MATCH($A23,Raw_Price!$A$2:$A$100,0))-TODAY(),""))</f>
        <v>52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需補歷史 (12 季)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9">
      <formula>"OK"</formula>
    </cfRule>
    <cfRule type="cellIs" priority="3" operator="equal" aboveAverage="0" equalAverage="0" bottom="0" percent="0" rank="0" text="" dxfId="90">
      <formula>"待更新財報"</formula>
    </cfRule>
    <cfRule type="expression" priority="4" aboveAverage="0" equalAverage="0" bottom="0" percent="0" rank="0" text="" dxfId="91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168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179</v>
      </c>
      <c r="B218" s="76" t="s">
        <v>383</v>
      </c>
      <c r="C218" s="77" t="n">
        <v>2027</v>
      </c>
      <c r="D218" s="77" t="n">
        <v>2</v>
      </c>
      <c r="E218" s="78" t="n">
        <v>46234</v>
      </c>
      <c r="F218" s="76" t="s">
        <v>236</v>
      </c>
      <c r="G218" s="76" t="s">
        <v>237</v>
      </c>
      <c r="H218" s="76" t="s">
        <v>238</v>
      </c>
      <c r="I218" s="79" t="n">
        <v>2739.3</v>
      </c>
      <c r="J218" s="79" t="n">
        <v>1455.6</v>
      </c>
      <c r="K218" s="80" t="n">
        <v>0.94</v>
      </c>
      <c r="L218" s="79" t="n">
        <v>921.2</v>
      </c>
      <c r="M218" s="79" t="n">
        <v>18531.6</v>
      </c>
      <c r="N218" s="80" t="n">
        <v>0.06</v>
      </c>
      <c r="O218" s="80" t="n">
        <v>187.559997558594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179</v>
      </c>
      <c r="B219" s="76" t="s">
        <v>385</v>
      </c>
      <c r="C219" s="77" t="n">
        <v>2027</v>
      </c>
      <c r="D219" s="77" t="n">
        <v>1</v>
      </c>
      <c r="E219" s="78" t="n">
        <v>46142</v>
      </c>
      <c r="F219" s="76" t="s">
        <v>236</v>
      </c>
      <c r="G219" s="76" t="s">
        <v>237</v>
      </c>
      <c r="H219" s="76" t="s">
        <v>238</v>
      </c>
      <c r="I219" s="79" t="n">
        <v>2417.8</v>
      </c>
      <c r="J219" s="79" t="n">
        <v>1260.8</v>
      </c>
      <c r="K219" s="80" t="n">
        <v>0.8</v>
      </c>
      <c r="L219" s="79" t="n">
        <v>893.3</v>
      </c>
      <c r="M219" s="79" t="n">
        <v>18215.8</v>
      </c>
      <c r="N219" s="80" t="n">
        <v>0.06</v>
      </c>
      <c r="O219" s="80" t="n">
        <v>165.149993896484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179</v>
      </c>
      <c r="B220" s="76" t="s">
        <v>387</v>
      </c>
      <c r="C220" s="77" t="n">
        <v>2026</v>
      </c>
      <c r="D220" s="77" t="n">
        <v>4</v>
      </c>
      <c r="E220" s="78" t="n">
        <v>46053</v>
      </c>
      <c r="F220" s="76" t="s">
        <v>236</v>
      </c>
      <c r="G220" s="76" t="s">
        <v>237</v>
      </c>
      <c r="H220" s="76" t="s">
        <v>238</v>
      </c>
      <c r="I220" s="79" t="n">
        <v>2218.7</v>
      </c>
      <c r="J220" s="79" t="n">
        <v>1147.9</v>
      </c>
      <c r="K220" s="80" t="n">
        <v>0.8</v>
      </c>
      <c r="L220" s="79" t="n">
        <v>856.2</v>
      </c>
      <c r="M220" s="79" t="n">
        <v>14308.4</v>
      </c>
      <c r="N220" s="80" t="n">
        <v>0.06</v>
      </c>
      <c r="O220" s="80" t="n">
        <v>78.9199981689453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179</v>
      </c>
      <c r="B221" s="76" t="s">
        <v>286</v>
      </c>
      <c r="C221" s="77" t="n">
        <v>2026</v>
      </c>
      <c r="D221" s="77" t="n">
        <v>3</v>
      </c>
      <c r="E221" s="78" t="n">
        <v>45961</v>
      </c>
      <c r="F221" s="76" t="s">
        <v>236</v>
      </c>
      <c r="G221" s="76" t="s">
        <v>237</v>
      </c>
      <c r="H221" s="76" t="s">
        <v>238</v>
      </c>
      <c r="I221" s="79" t="n">
        <v>2074.5</v>
      </c>
      <c r="J221" s="79" t="n">
        <v>1069.8</v>
      </c>
      <c r="K221" s="80" t="n">
        <v>0.76</v>
      </c>
      <c r="L221" s="79" t="n">
        <v>863.7</v>
      </c>
      <c r="M221" s="79" t="n">
        <v>14056.6</v>
      </c>
      <c r="N221" s="80" t="n">
        <v>0.06</v>
      </c>
      <c r="O221" s="80" t="n">
        <v>93.7399978637695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179</v>
      </c>
      <c r="B222" s="76" t="s">
        <v>235</v>
      </c>
      <c r="C222" s="77" t="n">
        <v>2026</v>
      </c>
      <c r="D222" s="77" t="n">
        <v>2</v>
      </c>
      <c r="E222" s="78" t="n">
        <v>45869</v>
      </c>
      <c r="F222" s="76" t="s">
        <v>236</v>
      </c>
      <c r="G222" s="76" t="s">
        <v>237</v>
      </c>
      <c r="H222" s="76" t="s">
        <v>238</v>
      </c>
      <c r="I222" s="79" t="n">
        <v>2006.1</v>
      </c>
      <c r="J222" s="79" t="n">
        <v>1010.6</v>
      </c>
      <c r="K222" s="80" t="n">
        <v>0.67</v>
      </c>
      <c r="L222" s="79" t="n">
        <v>870.4</v>
      </c>
      <c r="M222" s="79" t="n">
        <v>13421.7</v>
      </c>
      <c r="N222" s="80" t="n">
        <v>0.06</v>
      </c>
      <c r="O222" s="80" t="n">
        <v>80.370002746582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179</v>
      </c>
      <c r="B223" s="76" t="s">
        <v>240</v>
      </c>
      <c r="C223" s="77" t="n">
        <v>2026</v>
      </c>
      <c r="D223" s="77" t="n">
        <v>1</v>
      </c>
      <c r="E223" s="78" t="n">
        <v>45777</v>
      </c>
      <c r="F223" s="76" t="s">
        <v>236</v>
      </c>
      <c r="G223" s="76" t="s">
        <v>237</v>
      </c>
      <c r="H223" s="76" t="s">
        <v>238</v>
      </c>
      <c r="I223" s="79" t="n">
        <v>1895.3</v>
      </c>
      <c r="J223" s="79" t="n">
        <v>952.4</v>
      </c>
      <c r="K223" s="80" t="n">
        <v>0.62</v>
      </c>
      <c r="L223" s="79" t="n">
        <v>875.6</v>
      </c>
      <c r="M223" s="79" t="n">
        <v>13312.7</v>
      </c>
      <c r="N223" s="80" t="n">
        <v>0.06</v>
      </c>
      <c r="O223" s="80" t="n">
        <v>58.3699989318848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179</v>
      </c>
      <c r="B224" s="76" t="s">
        <v>242</v>
      </c>
      <c r="C224" s="77" t="n">
        <v>2025</v>
      </c>
      <c r="D224" s="77" t="n">
        <v>4</v>
      </c>
      <c r="E224" s="78" t="n">
        <v>45688</v>
      </c>
      <c r="F224" s="76" t="s">
        <v>236</v>
      </c>
      <c r="G224" s="76" t="s">
        <v>237</v>
      </c>
      <c r="H224" s="76" t="s">
        <v>238</v>
      </c>
      <c r="I224" s="79" t="n">
        <v>1817.4</v>
      </c>
      <c r="J224" s="79" t="n">
        <v>917.4</v>
      </c>
      <c r="K224" s="80" t="n">
        <v>0.6</v>
      </c>
      <c r="L224" s="79"/>
      <c r="M224" s="79" t="n">
        <v>13427</v>
      </c>
      <c r="N224" s="80" t="n">
        <v>0.06</v>
      </c>
      <c r="O224" s="80" t="n">
        <v>112.860000610352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179</v>
      </c>
      <c r="B225" s="76" t="s">
        <v>244</v>
      </c>
      <c r="C225" s="77" t="n">
        <v>2025</v>
      </c>
      <c r="D225" s="77" t="n">
        <v>3</v>
      </c>
      <c r="E225" s="78" t="n">
        <v>45596</v>
      </c>
      <c r="F225" s="76" t="s">
        <v>236</v>
      </c>
      <c r="G225" s="76" t="s">
        <v>237</v>
      </c>
      <c r="H225" s="76" t="s">
        <v>238</v>
      </c>
      <c r="I225" s="79" t="n">
        <v>1516.1</v>
      </c>
      <c r="J225" s="79" t="n">
        <v>349.4</v>
      </c>
      <c r="K225" s="80" t="n">
        <v>0.43</v>
      </c>
      <c r="L225" s="79" t="n">
        <v>865.7</v>
      </c>
      <c r="M225" s="79" t="n">
        <v>13372.9</v>
      </c>
      <c r="N225" s="80" t="n">
        <v>0.06</v>
      </c>
      <c r="O225" s="80" t="n">
        <v>80.1100006103516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179</v>
      </c>
      <c r="B226" s="76" t="s">
        <v>246</v>
      </c>
      <c r="C226" s="77" t="n">
        <v>2025</v>
      </c>
      <c r="D226" s="77" t="n">
        <v>2</v>
      </c>
      <c r="E226" s="78" t="n">
        <v>45507</v>
      </c>
      <c r="F226" s="76" t="s">
        <v>236</v>
      </c>
      <c r="G226" s="76" t="s">
        <v>237</v>
      </c>
      <c r="H226" s="76" t="s">
        <v>238</v>
      </c>
      <c r="I226" s="79" t="n">
        <v>1272.9</v>
      </c>
      <c r="J226" s="79" t="n">
        <v>587.6</v>
      </c>
      <c r="K226" s="80"/>
      <c r="L226" s="79" t="n">
        <v>865.7</v>
      </c>
      <c r="M226" s="79" t="n">
        <v>14204.9</v>
      </c>
      <c r="N226" s="80" t="n">
        <v>0.06</v>
      </c>
      <c r="O226" s="80" t="n">
        <v>59.25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179</v>
      </c>
      <c r="B227" s="76" t="s">
        <v>248</v>
      </c>
      <c r="C227" s="77" t="n">
        <v>2025</v>
      </c>
      <c r="D227" s="77" t="n">
        <v>1</v>
      </c>
      <c r="E227" s="78" t="n">
        <v>45416</v>
      </c>
      <c r="F227" s="76" t="s">
        <v>236</v>
      </c>
      <c r="G227" s="76" t="s">
        <v>237</v>
      </c>
      <c r="H227" s="76" t="s">
        <v>238</v>
      </c>
      <c r="I227" s="79" t="n">
        <v>1160.9</v>
      </c>
      <c r="J227" s="79" t="n">
        <v>527.8</v>
      </c>
      <c r="K227" s="80"/>
      <c r="L227" s="79" t="n">
        <v>865</v>
      </c>
      <c r="M227" s="79" t="n">
        <v>14478.7</v>
      </c>
      <c r="N227" s="80"/>
      <c r="O227" s="80" t="n">
        <v>68.5100021362305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179</v>
      </c>
      <c r="B228" s="76" t="s">
        <v>250</v>
      </c>
      <c r="C228" s="77" t="n">
        <v>2024</v>
      </c>
      <c r="D228" s="77" t="n">
        <v>4</v>
      </c>
      <c r="E228" s="78" t="n">
        <v>45322</v>
      </c>
      <c r="F228" s="76" t="s">
        <v>236</v>
      </c>
      <c r="G228" s="76" t="s">
        <v>237</v>
      </c>
      <c r="H228" s="76" t="s">
        <v>238</v>
      </c>
      <c r="I228" s="79" t="n">
        <v>1426.5</v>
      </c>
      <c r="J228" s="79" t="n">
        <v>664.1</v>
      </c>
      <c r="K228" s="80" t="n">
        <v>0.46</v>
      </c>
      <c r="L228" s="79" t="n">
        <v>861.3</v>
      </c>
      <c r="M228" s="79" t="n">
        <v>14831.4</v>
      </c>
      <c r="N228" s="80" t="n">
        <v>0.06</v>
      </c>
      <c r="O228" s="80" t="n">
        <v>67.6999969482422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179</v>
      </c>
      <c r="B229" s="76" t="s">
        <v>252</v>
      </c>
      <c r="C229" s="77" t="n">
        <v>2024</v>
      </c>
      <c r="D229" s="77" t="n">
        <v>3</v>
      </c>
      <c r="E229" s="78" t="n">
        <v>45230</v>
      </c>
      <c r="F229" s="76" t="s">
        <v>236</v>
      </c>
      <c r="G229" s="76" t="s">
        <v>237</v>
      </c>
      <c r="H229" s="76" t="s">
        <v>238</v>
      </c>
      <c r="I229" s="79" t="n">
        <v>1418.6</v>
      </c>
      <c r="J229" s="79" t="n">
        <v>551.2</v>
      </c>
      <c r="K229" s="80" t="n">
        <v>0.41</v>
      </c>
      <c r="L229" s="79" t="n">
        <v>858.6</v>
      </c>
      <c r="M229" s="79" t="n">
        <v>15233.4</v>
      </c>
      <c r="N229" s="80" t="n">
        <v>0.06</v>
      </c>
      <c r="O229" s="80" t="n">
        <v>47.2200012207031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179</v>
      </c>
      <c r="B230" s="76" t="s">
        <v>254</v>
      </c>
      <c r="C230" s="77" t="n">
        <v>2024</v>
      </c>
      <c r="D230" s="77" t="n">
        <v>2</v>
      </c>
      <c r="E230" s="78" t="n">
        <v>45138</v>
      </c>
      <c r="F230" s="76" t="s">
        <v>236</v>
      </c>
      <c r="G230" s="76" t="s">
        <v>237</v>
      </c>
      <c r="H230" s="76" t="s">
        <v>238</v>
      </c>
      <c r="I230" s="79" t="n">
        <v>1340.9</v>
      </c>
      <c r="J230" s="79" t="n">
        <v>521.1</v>
      </c>
      <c r="K230" s="80" t="n">
        <v>0.33</v>
      </c>
      <c r="L230" s="79" t="n">
        <v>860.9</v>
      </c>
      <c r="M230" s="79" t="n">
        <v>15389.5</v>
      </c>
      <c r="N230" s="80" t="n">
        <v>0.06</v>
      </c>
      <c r="O230" s="80" t="n">
        <v>65.129997253418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179</v>
      </c>
      <c r="B231" s="76" t="s">
        <v>256</v>
      </c>
      <c r="C231" s="77" t="n">
        <v>2024</v>
      </c>
      <c r="D231" s="77" t="n">
        <v>1</v>
      </c>
      <c r="E231" s="78" t="n">
        <v>45046</v>
      </c>
      <c r="F231" s="76" t="s">
        <v>236</v>
      </c>
      <c r="G231" s="76" t="s">
        <v>237</v>
      </c>
      <c r="H231" s="76" t="s">
        <v>238</v>
      </c>
      <c r="I231" s="79" t="n">
        <v>1321.7</v>
      </c>
      <c r="J231" s="79" t="n">
        <v>557.2</v>
      </c>
      <c r="K231" s="80" t="n">
        <v>0.31</v>
      </c>
      <c r="L231" s="79" t="n">
        <v>856.7</v>
      </c>
      <c r="M231" s="79" t="n">
        <v>15493.9</v>
      </c>
      <c r="N231" s="80" t="n">
        <v>0.06</v>
      </c>
      <c r="O231" s="80" t="n">
        <v>39.4799995422363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179</v>
      </c>
      <c r="B232" s="76" t="s">
        <v>258</v>
      </c>
      <c r="C232" s="77" t="n">
        <v>2023</v>
      </c>
      <c r="D232" s="77" t="n">
        <v>4</v>
      </c>
      <c r="E232" s="78" t="n">
        <v>44957</v>
      </c>
      <c r="F232" s="76" t="s">
        <v>236</v>
      </c>
      <c r="G232" s="76" t="s">
        <v>237</v>
      </c>
      <c r="H232" s="76" t="s">
        <v>238</v>
      </c>
      <c r="I232" s="79" t="n">
        <v>1418.5</v>
      </c>
      <c r="J232" s="79" t="n">
        <v>673.3</v>
      </c>
      <c r="K232" s="80" t="n">
        <v>0.46</v>
      </c>
      <c r="L232" s="79"/>
      <c r="M232" s="79" t="n">
        <v>15637.2</v>
      </c>
      <c r="N232" s="80" t="n">
        <v>0.06</v>
      </c>
      <c r="O232" s="80" t="n">
        <v>43.1500015258789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179</v>
      </c>
      <c r="B233" s="76" t="s">
        <v>260</v>
      </c>
      <c r="C233" s="77" t="n">
        <v>2023</v>
      </c>
      <c r="D233" s="77" t="n">
        <v>3</v>
      </c>
      <c r="E233" s="78" t="n">
        <v>44865</v>
      </c>
      <c r="F233" s="76" t="s">
        <v>236</v>
      </c>
      <c r="G233" s="76" t="s">
        <v>237</v>
      </c>
      <c r="H233" s="76" t="s">
        <v>238</v>
      </c>
      <c r="I233" s="79" t="n">
        <v>1537.3</v>
      </c>
      <c r="J233" s="79" t="n">
        <v>777.3</v>
      </c>
      <c r="K233" s="80" t="n">
        <v>0.57</v>
      </c>
      <c r="L233" s="79" t="n">
        <v>858.4</v>
      </c>
      <c r="M233" s="79" t="n">
        <v>15559</v>
      </c>
      <c r="N233" s="80" t="n">
        <v>0.06</v>
      </c>
      <c r="O233" s="80" t="n">
        <v>39.6800003051758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179</v>
      </c>
      <c r="B234" s="76" t="s">
        <v>262</v>
      </c>
      <c r="C234" s="77" t="n">
        <v>2023</v>
      </c>
      <c r="D234" s="77" t="n">
        <v>2</v>
      </c>
      <c r="E234" s="78" t="n">
        <v>44773</v>
      </c>
      <c r="F234" s="76" t="s">
        <v>236</v>
      </c>
      <c r="G234" s="76" t="s">
        <v>237</v>
      </c>
      <c r="H234" s="76" t="s">
        <v>238</v>
      </c>
      <c r="I234" s="79" t="n">
        <v>1516.9</v>
      </c>
      <c r="J234" s="79" t="n">
        <v>786</v>
      </c>
      <c r="K234" s="80" t="n">
        <v>0.57</v>
      </c>
      <c r="L234" s="79" t="n">
        <v>857.9</v>
      </c>
      <c r="M234" s="79" t="n">
        <v>15530.2</v>
      </c>
      <c r="N234" s="80" t="n">
        <v>0.06</v>
      </c>
      <c r="O234" s="80" t="n">
        <v>55.6800003051758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179</v>
      </c>
      <c r="B235" s="76" t="s">
        <v>264</v>
      </c>
      <c r="C235" s="77" t="n">
        <v>2023</v>
      </c>
      <c r="D235" s="77" t="n">
        <v>1</v>
      </c>
      <c r="E235" s="78" t="n">
        <v>44681</v>
      </c>
      <c r="F235" s="76" t="s">
        <v>236</v>
      </c>
      <c r="G235" s="76" t="s">
        <v>237</v>
      </c>
      <c r="H235" s="76" t="s">
        <v>238</v>
      </c>
      <c r="I235" s="79" t="n">
        <v>1446.9</v>
      </c>
      <c r="J235" s="79" t="n">
        <v>750.9</v>
      </c>
      <c r="K235" s="80" t="n">
        <v>0.52</v>
      </c>
      <c r="L235" s="79" t="n">
        <v>848</v>
      </c>
      <c r="M235" s="79" t="n">
        <v>15465</v>
      </c>
      <c r="N235" s="80" t="n">
        <v>0.06</v>
      </c>
      <c r="O235" s="80" t="n">
        <v>58.0800018310547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179</v>
      </c>
      <c r="B236" s="76" t="s">
        <v>266</v>
      </c>
      <c r="C236" s="77" t="n">
        <v>2022</v>
      </c>
      <c r="D236" s="77" t="n">
        <v>4</v>
      </c>
      <c r="E236" s="78" t="n">
        <v>44592</v>
      </c>
      <c r="F236" s="76" t="s">
        <v>236</v>
      </c>
      <c r="G236" s="76" t="s">
        <v>237</v>
      </c>
      <c r="H236" s="76" t="s">
        <v>238</v>
      </c>
      <c r="I236" s="79" t="n">
        <v>1342.978</v>
      </c>
      <c r="J236" s="79" t="n">
        <v>686.434</v>
      </c>
      <c r="K236" s="80" t="n">
        <v>0.5</v>
      </c>
      <c r="L236" s="79"/>
      <c r="M236" s="79" t="n">
        <v>15702.1</v>
      </c>
      <c r="N236" s="80" t="n">
        <v>0.06</v>
      </c>
      <c r="O236" s="80" t="n">
        <v>71.4000015258789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179</v>
      </c>
      <c r="B237" s="76" t="s">
        <v>268</v>
      </c>
      <c r="C237" s="77" t="n">
        <v>2022</v>
      </c>
      <c r="D237" s="77" t="n">
        <v>3</v>
      </c>
      <c r="E237" s="78" t="n">
        <v>44500</v>
      </c>
      <c r="F237" s="76" t="s">
        <v>236</v>
      </c>
      <c r="G237" s="76" t="s">
        <v>237</v>
      </c>
      <c r="H237" s="76" t="s">
        <v>238</v>
      </c>
      <c r="I237" s="79" t="n">
        <v>1211.2</v>
      </c>
      <c r="J237" s="79" t="n">
        <v>587.8</v>
      </c>
      <c r="K237" s="80" t="n">
        <v>0.43</v>
      </c>
      <c r="L237" s="79" t="n">
        <v>828.6</v>
      </c>
      <c r="M237" s="79" t="n">
        <v>15686.344</v>
      </c>
      <c r="N237" s="80" t="n">
        <v>0.06</v>
      </c>
      <c r="O237" s="80" t="n">
        <v>68.5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179</v>
      </c>
      <c r="B238" s="76" t="s">
        <v>270</v>
      </c>
      <c r="C238" s="77" t="n">
        <v>2022</v>
      </c>
      <c r="D238" s="77" t="n">
        <v>2</v>
      </c>
      <c r="E238" s="78" t="n">
        <v>44408</v>
      </c>
      <c r="F238" s="76" t="s">
        <v>236</v>
      </c>
      <c r="G238" s="76" t="s">
        <v>237</v>
      </c>
      <c r="H238" s="76" t="s">
        <v>238</v>
      </c>
      <c r="I238" s="79" t="n">
        <v>1075.9</v>
      </c>
      <c r="J238" s="79" t="n">
        <v>371.8</v>
      </c>
      <c r="K238" s="80" t="n">
        <v>0.34</v>
      </c>
      <c r="L238" s="79" t="n">
        <v>821.1</v>
      </c>
      <c r="M238" s="79" t="n">
        <v>14741.197</v>
      </c>
      <c r="N238" s="80" t="n">
        <v>0.06</v>
      </c>
      <c r="O238" s="80" t="n">
        <v>60.5099983215332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179</v>
      </c>
      <c r="B239" s="76" t="s">
        <v>272</v>
      </c>
      <c r="C239" s="77" t="n">
        <v>2022</v>
      </c>
      <c r="D239" s="77" t="n">
        <v>1</v>
      </c>
      <c r="E239" s="78" t="n">
        <v>44316</v>
      </c>
      <c r="F239" s="76" t="s">
        <v>236</v>
      </c>
      <c r="G239" s="76" t="s">
        <v>237</v>
      </c>
      <c r="H239" s="76" t="s">
        <v>238</v>
      </c>
      <c r="I239" s="79" t="n">
        <v>832.3</v>
      </c>
      <c r="J239" s="79" t="n">
        <v>418.2</v>
      </c>
      <c r="K239" s="80" t="n">
        <v>0.29</v>
      </c>
      <c r="L239" s="79" t="n">
        <v>693.4</v>
      </c>
      <c r="M239" s="79" t="n">
        <v>14855.37</v>
      </c>
      <c r="N239" s="80" t="n">
        <v>0.06</v>
      </c>
      <c r="O239" s="80" t="n">
        <v>45.2099990844727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179</v>
      </c>
      <c r="B240" s="76" t="s">
        <v>274</v>
      </c>
      <c r="C240" s="77" t="n">
        <v>2021</v>
      </c>
      <c r="D240" s="77" t="n">
        <v>4</v>
      </c>
      <c r="E240" s="78" t="n">
        <v>44227</v>
      </c>
      <c r="F240" s="76" t="s">
        <v>236</v>
      </c>
      <c r="G240" s="76" t="s">
        <v>237</v>
      </c>
      <c r="H240" s="76" t="s">
        <v>238</v>
      </c>
      <c r="I240" s="79" t="n">
        <v>797.819</v>
      </c>
      <c r="J240" s="79" t="n">
        <v>421.132</v>
      </c>
      <c r="K240" s="80" t="n">
        <v>0.29</v>
      </c>
      <c r="L240" s="79"/>
      <c r="M240" s="79" t="n">
        <v>8435.804</v>
      </c>
      <c r="N240" s="80" t="n">
        <v>0.06</v>
      </c>
      <c r="O240" s="80" t="n">
        <v>51.4599990844727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179</v>
      </c>
      <c r="B241" s="76" t="s">
        <v>276</v>
      </c>
      <c r="C241" s="77" t="n">
        <v>2021</v>
      </c>
      <c r="D241" s="77" t="n">
        <v>3</v>
      </c>
      <c r="E241" s="78" t="n">
        <v>44135</v>
      </c>
      <c r="F241" s="76" t="s">
        <v>236</v>
      </c>
      <c r="G241" s="76" t="s">
        <v>237</v>
      </c>
      <c r="H241" s="76" t="s">
        <v>238</v>
      </c>
      <c r="I241" s="79" t="n">
        <v>750.143</v>
      </c>
      <c r="J241" s="79" t="n">
        <v>381.06</v>
      </c>
      <c r="K241" s="80" t="n">
        <v>0.25</v>
      </c>
      <c r="L241" s="79" t="n">
        <v>670.487</v>
      </c>
      <c r="M241" s="79" t="n">
        <v>8389.617</v>
      </c>
      <c r="N241" s="80"/>
      <c r="O241" s="80" t="n">
        <v>37.5099983215332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169</v>
      </c>
      <c r="B242" s="76" t="s">
        <v>387</v>
      </c>
      <c r="C242" s="77" t="n">
        <v>2026</v>
      </c>
      <c r="D242" s="77" t="n">
        <v>4</v>
      </c>
      <c r="E242" s="78" t="n">
        <v>46203</v>
      </c>
      <c r="F242" s="76" t="s">
        <v>236</v>
      </c>
      <c r="G242" s="76" t="s">
        <v>237</v>
      </c>
      <c r="H242" s="76" t="s">
        <v>238</v>
      </c>
      <c r="I242" s="79" t="n">
        <v>90007</v>
      </c>
      <c r="J242" s="79" t="n">
        <v>60482</v>
      </c>
      <c r="K242" s="80" t="n">
        <v>4.74</v>
      </c>
      <c r="L242" s="79" t="n">
        <v>7443</v>
      </c>
      <c r="M242" s="79" t="n">
        <v>442387</v>
      </c>
      <c r="N242" s="80" t="n">
        <v>0.91</v>
      </c>
      <c r="O242" s="80" t="n">
        <v>373.019989013672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169</v>
      </c>
      <c r="B243" s="76" t="s">
        <v>286</v>
      </c>
      <c r="C243" s="77" t="n">
        <v>2026</v>
      </c>
      <c r="D243" s="77" t="n">
        <v>3</v>
      </c>
      <c r="E243" s="78" t="n">
        <v>46112</v>
      </c>
      <c r="F243" s="76" t="s">
        <v>236</v>
      </c>
      <c r="G243" s="76" t="s">
        <v>237</v>
      </c>
      <c r="H243" s="76" t="s">
        <v>238</v>
      </c>
      <c r="I243" s="79" t="n">
        <v>82886</v>
      </c>
      <c r="J243" s="79" t="n">
        <v>56058</v>
      </c>
      <c r="K243" s="80" t="n">
        <v>4.27</v>
      </c>
      <c r="L243" s="79" t="n">
        <v>7445</v>
      </c>
      <c r="M243" s="79" t="n">
        <v>414367</v>
      </c>
      <c r="N243" s="80" t="n">
        <v>0.91</v>
      </c>
      <c r="O243" s="80" t="n">
        <v>370.170013427734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169</v>
      </c>
      <c r="B244" s="76" t="s">
        <v>235</v>
      </c>
      <c r="C244" s="77" t="n">
        <v>2026</v>
      </c>
      <c r="D244" s="77" t="n">
        <v>2</v>
      </c>
      <c r="E244" s="78" t="n">
        <v>46022</v>
      </c>
      <c r="F244" s="76" t="s">
        <v>236</v>
      </c>
      <c r="G244" s="76" t="s">
        <v>237</v>
      </c>
      <c r="H244" s="76" t="s">
        <v>238</v>
      </c>
      <c r="I244" s="79" t="n">
        <v>81273</v>
      </c>
      <c r="J244" s="79" t="n">
        <v>55295</v>
      </c>
      <c r="K244" s="80" t="n">
        <v>4.14</v>
      </c>
      <c r="L244" s="79" t="n">
        <v>7460</v>
      </c>
      <c r="M244" s="79" t="n">
        <v>390875</v>
      </c>
      <c r="N244" s="80" t="n">
        <v>0.91</v>
      </c>
      <c r="O244" s="80" t="n">
        <v>483.619995117188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169</v>
      </c>
      <c r="B245" s="76" t="s">
        <v>240</v>
      </c>
      <c r="C245" s="77" t="n">
        <v>2026</v>
      </c>
      <c r="D245" s="77" t="n">
        <v>1</v>
      </c>
      <c r="E245" s="78" t="n">
        <v>45930</v>
      </c>
      <c r="F245" s="76" t="s">
        <v>236</v>
      </c>
      <c r="G245" s="76" t="s">
        <v>237</v>
      </c>
      <c r="H245" s="76" t="s">
        <v>238</v>
      </c>
      <c r="I245" s="79" t="n">
        <v>77673</v>
      </c>
      <c r="J245" s="79" t="n">
        <v>53630</v>
      </c>
      <c r="K245" s="80" t="n">
        <v>4.13</v>
      </c>
      <c r="L245" s="79" t="n">
        <v>7466</v>
      </c>
      <c r="M245" s="79" t="n">
        <v>363076</v>
      </c>
      <c r="N245" s="80" t="n">
        <v>0.83</v>
      </c>
      <c r="O245" s="80" t="n">
        <v>517.950012207031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169</v>
      </c>
      <c r="B246" s="76" t="s">
        <v>242</v>
      </c>
      <c r="C246" s="77" t="n">
        <v>2025</v>
      </c>
      <c r="D246" s="77" t="n">
        <v>4</v>
      </c>
      <c r="E246" s="78" t="n">
        <v>45838</v>
      </c>
      <c r="F246" s="76" t="s">
        <v>236</v>
      </c>
      <c r="G246" s="76" t="s">
        <v>237</v>
      </c>
      <c r="H246" s="76" t="s">
        <v>238</v>
      </c>
      <c r="I246" s="79" t="n">
        <v>76441</v>
      </c>
      <c r="J246" s="79" t="n">
        <v>52427</v>
      </c>
      <c r="K246" s="80" t="n">
        <v>3.65</v>
      </c>
      <c r="L246" s="79" t="n">
        <v>7461</v>
      </c>
      <c r="M246" s="79" t="n">
        <v>343479</v>
      </c>
      <c r="N246" s="80" t="n">
        <v>0.83</v>
      </c>
      <c r="O246" s="80" t="n">
        <v>497.410003662109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169</v>
      </c>
      <c r="B247" s="76" t="s">
        <v>244</v>
      </c>
      <c r="C247" s="77" t="n">
        <v>2025</v>
      </c>
      <c r="D247" s="77" t="n">
        <v>3</v>
      </c>
      <c r="E247" s="78" t="n">
        <v>45747</v>
      </c>
      <c r="F247" s="76" t="s">
        <v>236</v>
      </c>
      <c r="G247" s="76" t="s">
        <v>237</v>
      </c>
      <c r="H247" s="76" t="s">
        <v>238</v>
      </c>
      <c r="I247" s="79" t="n">
        <v>70066</v>
      </c>
      <c r="J247" s="79" t="n">
        <v>48147</v>
      </c>
      <c r="K247" s="80" t="n">
        <v>3.46</v>
      </c>
      <c r="L247" s="79" t="n">
        <v>7468.25</v>
      </c>
      <c r="M247" s="79" t="n">
        <v>321891</v>
      </c>
      <c r="N247" s="80" t="n">
        <v>0.83</v>
      </c>
      <c r="O247" s="80" t="n">
        <v>375.390014648438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169</v>
      </c>
      <c r="B248" s="76" t="s">
        <v>246</v>
      </c>
      <c r="C248" s="77" t="n">
        <v>2025</v>
      </c>
      <c r="D248" s="77" t="n">
        <v>2</v>
      </c>
      <c r="E248" s="78" t="n">
        <v>45657</v>
      </c>
      <c r="F248" s="76" t="s">
        <v>236</v>
      </c>
      <c r="G248" s="76" t="s">
        <v>237</v>
      </c>
      <c r="H248" s="76" t="s">
        <v>238</v>
      </c>
      <c r="I248" s="79" t="n">
        <v>69632</v>
      </c>
      <c r="J248" s="79" t="n">
        <v>47833</v>
      </c>
      <c r="K248" s="80" t="n">
        <v>3.23</v>
      </c>
      <c r="L248" s="79" t="n">
        <v>7471</v>
      </c>
      <c r="M248" s="79" t="n">
        <v>302695</v>
      </c>
      <c r="N248" s="80" t="n">
        <v>0.83</v>
      </c>
      <c r="O248" s="80" t="n">
        <v>421.5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169</v>
      </c>
      <c r="B249" s="76" t="s">
        <v>248</v>
      </c>
      <c r="C249" s="77" t="n">
        <v>2025</v>
      </c>
      <c r="D249" s="77" t="n">
        <v>1</v>
      </c>
      <c r="E249" s="78" t="n">
        <v>45565</v>
      </c>
      <c r="F249" s="76" t="s">
        <v>236</v>
      </c>
      <c r="G249" s="76" t="s">
        <v>237</v>
      </c>
      <c r="H249" s="76" t="s">
        <v>238</v>
      </c>
      <c r="I249" s="79" t="n">
        <v>65585</v>
      </c>
      <c r="J249" s="79" t="n">
        <v>45486</v>
      </c>
      <c r="K249" s="80" t="n">
        <v>3.3</v>
      </c>
      <c r="L249" s="79" t="n">
        <v>7471</v>
      </c>
      <c r="M249" s="79" t="n">
        <v>287723</v>
      </c>
      <c r="N249" s="80" t="n">
        <v>0.75</v>
      </c>
      <c r="O249" s="80" t="n">
        <v>430.299987792969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169</v>
      </c>
      <c r="B250" s="76" t="s">
        <v>250</v>
      </c>
      <c r="C250" s="77" t="n">
        <v>2024</v>
      </c>
      <c r="D250" s="77" t="n">
        <v>4</v>
      </c>
      <c r="E250" s="78" t="n">
        <v>45473</v>
      </c>
      <c r="F250" s="76" t="s">
        <v>236</v>
      </c>
      <c r="G250" s="76" t="s">
        <v>237</v>
      </c>
      <c r="H250" s="76" t="s">
        <v>238</v>
      </c>
      <c r="I250" s="79" t="n">
        <v>64727</v>
      </c>
      <c r="J250" s="79" t="n">
        <v>45043</v>
      </c>
      <c r="K250" s="80" t="n">
        <v>2.95</v>
      </c>
      <c r="L250" s="79"/>
      <c r="M250" s="79" t="n">
        <v>268477</v>
      </c>
      <c r="N250" s="80" t="n">
        <v>0.75</v>
      </c>
      <c r="O250" s="80" t="n">
        <v>446.950012207031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169</v>
      </c>
      <c r="B251" s="76" t="s">
        <v>252</v>
      </c>
      <c r="C251" s="77" t="n">
        <v>2024</v>
      </c>
      <c r="D251" s="77" t="n">
        <v>3</v>
      </c>
      <c r="E251" s="78" t="n">
        <v>45382</v>
      </c>
      <c r="F251" s="76" t="s">
        <v>236</v>
      </c>
      <c r="G251" s="76" t="s">
        <v>237</v>
      </c>
      <c r="H251" s="76" t="s">
        <v>238</v>
      </c>
      <c r="I251" s="79" t="n">
        <v>61858</v>
      </c>
      <c r="J251" s="79" t="n">
        <v>43353</v>
      </c>
      <c r="K251" s="80" t="n">
        <v>2.94</v>
      </c>
      <c r="L251" s="79" t="n">
        <v>7466.75</v>
      </c>
      <c r="M251" s="79" t="n">
        <v>253152</v>
      </c>
      <c r="N251" s="80" t="n">
        <v>0.75</v>
      </c>
      <c r="O251" s="80" t="n">
        <v>420.720001220703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169</v>
      </c>
      <c r="B252" s="76" t="s">
        <v>254</v>
      </c>
      <c r="C252" s="77" t="n">
        <v>2024</v>
      </c>
      <c r="D252" s="77" t="n">
        <v>2</v>
      </c>
      <c r="E252" s="78" t="n">
        <v>45291</v>
      </c>
      <c r="F252" s="76" t="s">
        <v>236</v>
      </c>
      <c r="G252" s="76" t="s">
        <v>237</v>
      </c>
      <c r="H252" s="76" t="s">
        <v>238</v>
      </c>
      <c r="I252" s="79" t="n">
        <v>62020</v>
      </c>
      <c r="J252" s="79" t="n">
        <v>42397</v>
      </c>
      <c r="K252" s="80" t="n">
        <v>2.93</v>
      </c>
      <c r="L252" s="79" t="n">
        <v>7465</v>
      </c>
      <c r="M252" s="79" t="n">
        <v>238268</v>
      </c>
      <c r="N252" s="80" t="n">
        <v>0.75</v>
      </c>
      <c r="O252" s="80" t="n">
        <v>376.040008544922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169</v>
      </c>
      <c r="B253" s="76" t="s">
        <v>256</v>
      </c>
      <c r="C253" s="77" t="n">
        <v>2024</v>
      </c>
      <c r="D253" s="77" t="n">
        <v>1</v>
      </c>
      <c r="E253" s="78" t="n">
        <v>45199</v>
      </c>
      <c r="F253" s="76" t="s">
        <v>236</v>
      </c>
      <c r="G253" s="76" t="s">
        <v>237</v>
      </c>
      <c r="H253" s="76" t="s">
        <v>238</v>
      </c>
      <c r="I253" s="79" t="n">
        <v>56517</v>
      </c>
      <c r="J253" s="79" t="n">
        <v>40215</v>
      </c>
      <c r="K253" s="80" t="n">
        <v>2.99</v>
      </c>
      <c r="L253" s="79" t="n">
        <v>7466.25</v>
      </c>
      <c r="M253" s="79" t="n">
        <v>220714</v>
      </c>
      <c r="N253" s="80" t="n">
        <v>0.68</v>
      </c>
      <c r="O253" s="80" t="n">
        <v>315.75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169</v>
      </c>
      <c r="B254" s="76" t="s">
        <v>258</v>
      </c>
      <c r="C254" s="77" t="n">
        <v>2023</v>
      </c>
      <c r="D254" s="77" t="n">
        <v>4</v>
      </c>
      <c r="E254" s="78" t="n">
        <v>45107</v>
      </c>
      <c r="F254" s="76" t="s">
        <v>236</v>
      </c>
      <c r="G254" s="76" t="s">
        <v>237</v>
      </c>
      <c r="H254" s="76" t="s">
        <v>238</v>
      </c>
      <c r="I254" s="79" t="n">
        <v>56189</v>
      </c>
      <c r="J254" s="79" t="n">
        <v>39394</v>
      </c>
      <c r="K254" s="80" t="n">
        <v>2.69</v>
      </c>
      <c r="L254" s="79"/>
      <c r="M254" s="79" t="n">
        <v>206223</v>
      </c>
      <c r="N254" s="80" t="n">
        <v>0.68</v>
      </c>
      <c r="O254" s="80" t="n">
        <v>340.540008544922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169</v>
      </c>
      <c r="B255" s="76" t="s">
        <v>260</v>
      </c>
      <c r="C255" s="77" t="n">
        <v>2023</v>
      </c>
      <c r="D255" s="77" t="n">
        <v>3</v>
      </c>
      <c r="E255" s="78" t="n">
        <v>45016</v>
      </c>
      <c r="F255" s="76" t="s">
        <v>236</v>
      </c>
      <c r="G255" s="76" t="s">
        <v>237</v>
      </c>
      <c r="H255" s="76" t="s">
        <v>238</v>
      </c>
      <c r="I255" s="79" t="n">
        <v>52857</v>
      </c>
      <c r="J255" s="79" t="n">
        <v>36729</v>
      </c>
      <c r="K255" s="80" t="n">
        <v>2.45</v>
      </c>
      <c r="L255" s="79" t="n">
        <v>7464</v>
      </c>
      <c r="M255" s="79" t="n">
        <v>194683</v>
      </c>
      <c r="N255" s="80" t="n">
        <v>0.68</v>
      </c>
      <c r="O255" s="80" t="n">
        <v>288.299987792969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169</v>
      </c>
      <c r="B256" s="76" t="s">
        <v>262</v>
      </c>
      <c r="C256" s="77" t="n">
        <v>2023</v>
      </c>
      <c r="D256" s="77" t="n">
        <v>2</v>
      </c>
      <c r="E256" s="78" t="n">
        <v>44926</v>
      </c>
      <c r="F256" s="76" t="s">
        <v>236</v>
      </c>
      <c r="G256" s="76" t="s">
        <v>237</v>
      </c>
      <c r="H256" s="76" t="s">
        <v>238</v>
      </c>
      <c r="I256" s="79" t="n">
        <v>52747</v>
      </c>
      <c r="J256" s="79" t="n">
        <v>35259</v>
      </c>
      <c r="K256" s="80" t="n">
        <v>2.32</v>
      </c>
      <c r="L256" s="79" t="n">
        <v>7473</v>
      </c>
      <c r="M256" s="79" t="n">
        <v>183136</v>
      </c>
      <c r="N256" s="80" t="n">
        <v>0.68</v>
      </c>
      <c r="O256" s="80" t="n">
        <v>239.820007324219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169</v>
      </c>
      <c r="B257" s="76" t="s">
        <v>264</v>
      </c>
      <c r="C257" s="77" t="n">
        <v>2023</v>
      </c>
      <c r="D257" s="77" t="n">
        <v>1</v>
      </c>
      <c r="E257" s="78" t="n">
        <v>44834</v>
      </c>
      <c r="F257" s="76" t="s">
        <v>236</v>
      </c>
      <c r="G257" s="76" t="s">
        <v>237</v>
      </c>
      <c r="H257" s="76" t="s">
        <v>238</v>
      </c>
      <c r="I257" s="79" t="n">
        <v>50122</v>
      </c>
      <c r="J257" s="79" t="n">
        <v>34670</v>
      </c>
      <c r="K257" s="80" t="n">
        <v>2.35</v>
      </c>
      <c r="L257" s="79" t="n">
        <v>7485</v>
      </c>
      <c r="M257" s="79" t="n">
        <v>173566</v>
      </c>
      <c r="N257" s="80" t="n">
        <v>0.62</v>
      </c>
      <c r="O257" s="80" t="n">
        <v>232.899993896484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169</v>
      </c>
      <c r="B258" s="76" t="s">
        <v>266</v>
      </c>
      <c r="C258" s="77" t="n">
        <v>2022</v>
      </c>
      <c r="D258" s="77" t="n">
        <v>4</v>
      </c>
      <c r="E258" s="78" t="n">
        <v>44742</v>
      </c>
      <c r="F258" s="76" t="s">
        <v>236</v>
      </c>
      <c r="G258" s="76" t="s">
        <v>237</v>
      </c>
      <c r="H258" s="76" t="s">
        <v>238</v>
      </c>
      <c r="I258" s="79" t="n">
        <v>51865</v>
      </c>
      <c r="J258" s="79" t="n">
        <v>35436</v>
      </c>
      <c r="K258" s="80" t="n">
        <v>2.23</v>
      </c>
      <c r="L258" s="79"/>
      <c r="M258" s="79" t="n">
        <v>166542</v>
      </c>
      <c r="N258" s="80" t="n">
        <v>0.62</v>
      </c>
      <c r="O258" s="80" t="n">
        <v>256.829986572266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169</v>
      </c>
      <c r="B259" s="76" t="s">
        <v>268</v>
      </c>
      <c r="C259" s="77" t="n">
        <v>2022</v>
      </c>
      <c r="D259" s="77" t="n">
        <v>3</v>
      </c>
      <c r="E259" s="78" t="n">
        <v>44651</v>
      </c>
      <c r="F259" s="76" t="s">
        <v>236</v>
      </c>
      <c r="G259" s="76" t="s">
        <v>237</v>
      </c>
      <c r="H259" s="76" t="s">
        <v>238</v>
      </c>
      <c r="I259" s="79" t="n">
        <v>49360</v>
      </c>
      <c r="J259" s="79" t="n">
        <v>33745</v>
      </c>
      <c r="K259" s="80" t="n">
        <v>2.22</v>
      </c>
      <c r="L259" s="79" t="n">
        <v>7534</v>
      </c>
      <c r="M259" s="79" t="n">
        <v>162924</v>
      </c>
      <c r="N259" s="80" t="n">
        <v>0.62</v>
      </c>
      <c r="O259" s="80" t="n">
        <v>308.309997558594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169</v>
      </c>
      <c r="B260" s="76" t="s">
        <v>270</v>
      </c>
      <c r="C260" s="77" t="n">
        <v>2022</v>
      </c>
      <c r="D260" s="77" t="n">
        <v>2</v>
      </c>
      <c r="E260" s="78" t="n">
        <v>44561</v>
      </c>
      <c r="F260" s="76" t="s">
        <v>236</v>
      </c>
      <c r="G260" s="76" t="s">
        <v>237</v>
      </c>
      <c r="H260" s="76" t="s">
        <v>238</v>
      </c>
      <c r="I260" s="79" t="n">
        <v>51728</v>
      </c>
      <c r="J260" s="79" t="n">
        <v>34768</v>
      </c>
      <c r="K260" s="80" t="n">
        <v>2.48</v>
      </c>
      <c r="L260" s="79" t="n">
        <v>7555</v>
      </c>
      <c r="M260" s="79" t="n">
        <v>160010</v>
      </c>
      <c r="N260" s="80" t="n">
        <v>0.62</v>
      </c>
      <c r="O260" s="80" t="n">
        <v>336.320007324219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169</v>
      </c>
      <c r="B261" s="76" t="s">
        <v>272</v>
      </c>
      <c r="C261" s="77" t="n">
        <v>2022</v>
      </c>
      <c r="D261" s="77" t="n">
        <v>1</v>
      </c>
      <c r="E261" s="78" t="n">
        <v>44469</v>
      </c>
      <c r="F261" s="76" t="s">
        <v>236</v>
      </c>
      <c r="G261" s="76" t="s">
        <v>237</v>
      </c>
      <c r="H261" s="76" t="s">
        <v>238</v>
      </c>
      <c r="I261" s="79" t="n">
        <v>45317</v>
      </c>
      <c r="J261" s="79" t="n">
        <v>31671</v>
      </c>
      <c r="K261" s="80" t="n">
        <v>2.27</v>
      </c>
      <c r="L261" s="79" t="n">
        <v>7567</v>
      </c>
      <c r="M261" s="79" t="n">
        <v>151978</v>
      </c>
      <c r="N261" s="80" t="n">
        <v>0.56</v>
      </c>
      <c r="O261" s="80" t="n">
        <v>281.920013427734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169</v>
      </c>
      <c r="B262" s="76" t="s">
        <v>274</v>
      </c>
      <c r="C262" s="77" t="n">
        <v>2021</v>
      </c>
      <c r="D262" s="77" t="n">
        <v>4</v>
      </c>
      <c r="E262" s="78" t="n">
        <v>44377</v>
      </c>
      <c r="F262" s="76" t="s">
        <v>236</v>
      </c>
      <c r="G262" s="76" t="s">
        <v>237</v>
      </c>
      <c r="H262" s="76" t="s">
        <v>238</v>
      </c>
      <c r="I262" s="79" t="n">
        <v>46152</v>
      </c>
      <c r="J262" s="79" t="n">
        <v>32161</v>
      </c>
      <c r="K262" s="80" t="n">
        <v>2.17</v>
      </c>
      <c r="L262" s="79"/>
      <c r="M262" s="79" t="n">
        <v>141988</v>
      </c>
      <c r="N262" s="80" t="n">
        <v>0.56</v>
      </c>
      <c r="O262" s="80" t="n">
        <v>270.899993896484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169</v>
      </c>
      <c r="B263" s="76" t="s">
        <v>276</v>
      </c>
      <c r="C263" s="77" t="n">
        <v>2021</v>
      </c>
      <c r="D263" s="77" t="n">
        <v>3</v>
      </c>
      <c r="E263" s="78" t="n">
        <v>44286</v>
      </c>
      <c r="F263" s="76" t="s">
        <v>236</v>
      </c>
      <c r="G263" s="76" t="s">
        <v>237</v>
      </c>
      <c r="H263" s="76" t="s">
        <v>238</v>
      </c>
      <c r="I263" s="79" t="n">
        <v>41706</v>
      </c>
      <c r="J263" s="79" t="n">
        <v>28661</v>
      </c>
      <c r="K263" s="80" t="n">
        <v>1.95</v>
      </c>
      <c r="L263" s="79" t="n">
        <v>7597</v>
      </c>
      <c r="M263" s="79" t="n">
        <v>134505</v>
      </c>
      <c r="N263" s="80" t="n">
        <v>0.56</v>
      </c>
      <c r="O263" s="80" t="n">
        <v>235.770004272461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169</v>
      </c>
      <c r="B264" s="76" t="s">
        <v>278</v>
      </c>
      <c r="C264" s="77" t="n">
        <v>2021</v>
      </c>
      <c r="D264" s="77" t="n">
        <v>2</v>
      </c>
      <c r="E264" s="78" t="n">
        <v>44196</v>
      </c>
      <c r="F264" s="76" t="s">
        <v>236</v>
      </c>
      <c r="G264" s="76" t="s">
        <v>237</v>
      </c>
      <c r="H264" s="76" t="s">
        <v>238</v>
      </c>
      <c r="I264" s="79" t="n">
        <v>43076</v>
      </c>
      <c r="J264" s="79" t="n">
        <v>28882</v>
      </c>
      <c r="K264" s="80" t="n">
        <v>2.03</v>
      </c>
      <c r="L264" s="79" t="n">
        <v>7616</v>
      </c>
      <c r="M264" s="79" t="n">
        <v>130236</v>
      </c>
      <c r="N264" s="80" t="n">
        <v>0.56</v>
      </c>
      <c r="O264" s="80" t="n">
        <v>222.419998168945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169</v>
      </c>
      <c r="B265" s="76" t="s">
        <v>280</v>
      </c>
      <c r="C265" s="77" t="n">
        <v>2021</v>
      </c>
      <c r="D265" s="77" t="n">
        <v>1</v>
      </c>
      <c r="E265" s="78" t="n">
        <v>44104</v>
      </c>
      <c r="F265" s="76" t="s">
        <v>236</v>
      </c>
      <c r="G265" s="76" t="s">
        <v>237</v>
      </c>
      <c r="H265" s="76" t="s">
        <v>238</v>
      </c>
      <c r="I265" s="79" t="n">
        <v>37154</v>
      </c>
      <c r="J265" s="79" t="n">
        <v>26152</v>
      </c>
      <c r="K265" s="80" t="n">
        <v>1.82</v>
      </c>
      <c r="L265" s="79" t="n">
        <v>7637</v>
      </c>
      <c r="M265" s="79" t="n">
        <v>123392</v>
      </c>
      <c r="N265" s="80"/>
      <c r="O265" s="80" t="n">
        <v>210.330001831055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182</v>
      </c>
      <c r="B266" s="76" t="s">
        <v>286</v>
      </c>
      <c r="C266" s="77" t="n">
        <v>2026</v>
      </c>
      <c r="D266" s="77" t="n">
        <v>3</v>
      </c>
      <c r="E266" s="78" t="n">
        <v>46173</v>
      </c>
      <c r="F266" s="76" t="s">
        <v>236</v>
      </c>
      <c r="G266" s="76" t="s">
        <v>237</v>
      </c>
      <c r="H266" s="76" t="s">
        <v>238</v>
      </c>
      <c r="I266" s="79" t="n">
        <v>41456</v>
      </c>
      <c r="J266" s="79" t="n">
        <v>35056</v>
      </c>
      <c r="K266" s="80" t="n">
        <v>25.11</v>
      </c>
      <c r="L266" s="79" t="n">
        <v>1145</v>
      </c>
      <c r="M266" s="79" t="n">
        <v>100724</v>
      </c>
      <c r="N266" s="80" t="n">
        <v>0.15</v>
      </c>
      <c r="O266" s="80" t="n">
        <v>971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182</v>
      </c>
      <c r="B267" s="76" t="s">
        <v>235</v>
      </c>
      <c r="C267" s="77" t="n">
        <v>2026</v>
      </c>
      <c r="D267" s="77" t="n">
        <v>2</v>
      </c>
      <c r="E267" s="78" t="n">
        <v>46081</v>
      </c>
      <c r="F267" s="76" t="s">
        <v>236</v>
      </c>
      <c r="G267" s="76" t="s">
        <v>237</v>
      </c>
      <c r="H267" s="76" t="s">
        <v>238</v>
      </c>
      <c r="I267" s="79" t="n">
        <v>23860</v>
      </c>
      <c r="J267" s="79" t="n">
        <v>17755</v>
      </c>
      <c r="K267" s="80" t="n">
        <v>12.2</v>
      </c>
      <c r="L267" s="79" t="n">
        <v>1142</v>
      </c>
      <c r="M267" s="79" t="n">
        <v>72459</v>
      </c>
      <c r="N267" s="80" t="n">
        <v>0.115</v>
      </c>
      <c r="O267" s="80" t="n">
        <v>412.369995117188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182</v>
      </c>
      <c r="B268" s="76" t="s">
        <v>240</v>
      </c>
      <c r="C268" s="77" t="n">
        <v>2026</v>
      </c>
      <c r="D268" s="77" t="n">
        <v>1</v>
      </c>
      <c r="E268" s="78" t="n">
        <v>45991</v>
      </c>
      <c r="F268" s="76" t="s">
        <v>236</v>
      </c>
      <c r="G268" s="76" t="s">
        <v>237</v>
      </c>
      <c r="H268" s="76" t="s">
        <v>238</v>
      </c>
      <c r="I268" s="79" t="n">
        <v>13643</v>
      </c>
      <c r="J268" s="79" t="n">
        <v>7646</v>
      </c>
      <c r="K268" s="80" t="n">
        <v>4.78</v>
      </c>
      <c r="L268" s="79" t="n">
        <v>1138</v>
      </c>
      <c r="M268" s="79" t="n">
        <v>58806</v>
      </c>
      <c r="N268" s="80" t="n">
        <v>0.115</v>
      </c>
      <c r="O268" s="80" t="n">
        <v>236.479995727539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182</v>
      </c>
      <c r="B269" s="76" t="s">
        <v>242</v>
      </c>
      <c r="C269" s="77" t="n">
        <v>2025</v>
      </c>
      <c r="D269" s="77" t="n">
        <v>4</v>
      </c>
      <c r="E269" s="78" t="n">
        <v>45900</v>
      </c>
      <c r="F269" s="76" t="s">
        <v>236</v>
      </c>
      <c r="G269" s="76" t="s">
        <v>237</v>
      </c>
      <c r="H269" s="76" t="s">
        <v>238</v>
      </c>
      <c r="I269" s="79" t="n">
        <v>11315</v>
      </c>
      <c r="J269" s="79" t="n">
        <v>5054</v>
      </c>
      <c r="K269" s="80" t="n">
        <v>3.03</v>
      </c>
      <c r="L269" s="79" t="n">
        <v>1131</v>
      </c>
      <c r="M269" s="79" t="n">
        <v>54165</v>
      </c>
      <c r="N269" s="80" t="n">
        <v>0.115</v>
      </c>
      <c r="O269" s="80" t="n">
        <v>119.010002136231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182</v>
      </c>
      <c r="B270" s="76" t="s">
        <v>244</v>
      </c>
      <c r="C270" s="77" t="n">
        <v>2025</v>
      </c>
      <c r="D270" s="77" t="n">
        <v>3</v>
      </c>
      <c r="E270" s="78" t="n">
        <v>45808</v>
      </c>
      <c r="F270" s="76" t="s">
        <v>236</v>
      </c>
      <c r="G270" s="76" t="s">
        <v>237</v>
      </c>
      <c r="H270" s="76" t="s">
        <v>238</v>
      </c>
      <c r="I270" s="79" t="n">
        <v>9301</v>
      </c>
      <c r="J270" s="79" t="n">
        <v>3508</v>
      </c>
      <c r="K270" s="80" t="n">
        <v>1.91</v>
      </c>
      <c r="L270" s="79" t="n">
        <v>1125</v>
      </c>
      <c r="M270" s="79" t="n">
        <v>50748</v>
      </c>
      <c r="N270" s="80" t="n">
        <v>0.115</v>
      </c>
      <c r="O270" s="80" t="n">
        <v>94.4599990844727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182</v>
      </c>
      <c r="B271" s="76" t="s">
        <v>246</v>
      </c>
      <c r="C271" s="77" t="n">
        <v>2025</v>
      </c>
      <c r="D271" s="77" t="n">
        <v>2</v>
      </c>
      <c r="E271" s="78" t="n">
        <v>45716</v>
      </c>
      <c r="F271" s="76" t="s">
        <v>236</v>
      </c>
      <c r="G271" s="76" t="s">
        <v>237</v>
      </c>
      <c r="H271" s="76" t="s">
        <v>238</v>
      </c>
      <c r="I271" s="79" t="n">
        <v>8053</v>
      </c>
      <c r="J271" s="79" t="n">
        <v>2963</v>
      </c>
      <c r="K271" s="80" t="n">
        <v>1.56</v>
      </c>
      <c r="L271" s="79" t="n">
        <v>1128.5</v>
      </c>
      <c r="M271" s="79" t="n">
        <v>48633</v>
      </c>
      <c r="N271" s="80" t="n">
        <v>0.115</v>
      </c>
      <c r="O271" s="80" t="n">
        <v>93.629997253418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182</v>
      </c>
      <c r="B272" s="76" t="s">
        <v>248</v>
      </c>
      <c r="C272" s="77" t="n">
        <v>2025</v>
      </c>
      <c r="D272" s="77" t="n">
        <v>1</v>
      </c>
      <c r="E272" s="78" t="n">
        <v>45626</v>
      </c>
      <c r="F272" s="76" t="s">
        <v>236</v>
      </c>
      <c r="G272" s="76" t="s">
        <v>237</v>
      </c>
      <c r="H272" s="76" t="s">
        <v>238</v>
      </c>
      <c r="I272" s="79" t="n">
        <v>8709</v>
      </c>
      <c r="J272" s="79" t="n">
        <v>3348</v>
      </c>
      <c r="K272" s="80" t="n">
        <v>1.79</v>
      </c>
      <c r="L272" s="79" t="n">
        <v>1123.5</v>
      </c>
      <c r="M272" s="79" t="n">
        <v>46797</v>
      </c>
      <c r="N272" s="80" t="n">
        <v>0.115</v>
      </c>
      <c r="O272" s="80" t="n">
        <v>97.9499969482422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182</v>
      </c>
      <c r="B273" s="76" t="s">
        <v>250</v>
      </c>
      <c r="C273" s="77" t="n">
        <v>2024</v>
      </c>
      <c r="D273" s="77" t="n">
        <v>4</v>
      </c>
      <c r="E273" s="78" t="n">
        <v>45535</v>
      </c>
      <c r="F273" s="76" t="s">
        <v>236</v>
      </c>
      <c r="G273" s="76" t="s">
        <v>237</v>
      </c>
      <c r="H273" s="76" t="s">
        <v>238</v>
      </c>
      <c r="I273" s="79" t="n">
        <v>7750</v>
      </c>
      <c r="J273" s="79" t="n">
        <v>2737</v>
      </c>
      <c r="K273" s="80" t="n">
        <v>1.18</v>
      </c>
      <c r="L273" s="79"/>
      <c r="M273" s="79" t="n">
        <v>45131</v>
      </c>
      <c r="N273" s="80" t="n">
        <v>0.115</v>
      </c>
      <c r="O273" s="80" t="n">
        <v>96.2399978637695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182</v>
      </c>
      <c r="B274" s="76" t="s">
        <v>252</v>
      </c>
      <c r="C274" s="77" t="n">
        <v>2024</v>
      </c>
      <c r="D274" s="77" t="n">
        <v>3</v>
      </c>
      <c r="E274" s="78" t="n">
        <v>45443</v>
      </c>
      <c r="F274" s="76" t="s">
        <v>236</v>
      </c>
      <c r="G274" s="76" t="s">
        <v>237</v>
      </c>
      <c r="H274" s="76" t="s">
        <v>238</v>
      </c>
      <c r="I274" s="79" t="n">
        <v>6811</v>
      </c>
      <c r="J274" s="79" t="n">
        <v>1832</v>
      </c>
      <c r="K274" s="80" t="n">
        <v>0.62</v>
      </c>
      <c r="L274" s="79" t="n">
        <v>1102</v>
      </c>
      <c r="M274" s="79" t="n">
        <v>44225</v>
      </c>
      <c r="N274" s="80" t="n">
        <v>0.115</v>
      </c>
      <c r="O274" s="80" t="n">
        <v>125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182</v>
      </c>
      <c r="B275" s="76" t="s">
        <v>254</v>
      </c>
      <c r="C275" s="77" t="n">
        <v>2024</v>
      </c>
      <c r="D275" s="77" t="n">
        <v>2</v>
      </c>
      <c r="E275" s="78" t="n">
        <v>45351</v>
      </c>
      <c r="F275" s="76" t="s">
        <v>236</v>
      </c>
      <c r="G275" s="76" t="s">
        <v>237</v>
      </c>
      <c r="H275" s="76" t="s">
        <v>238</v>
      </c>
      <c r="I275" s="79" t="n">
        <v>5824</v>
      </c>
      <c r="J275" s="79" t="n">
        <v>1079</v>
      </c>
      <c r="K275" s="80" t="n">
        <v>0.42</v>
      </c>
      <c r="L275" s="79" t="n">
        <v>1098.5</v>
      </c>
      <c r="M275" s="79" t="n">
        <v>43870</v>
      </c>
      <c r="N275" s="80" t="n">
        <v>0.115</v>
      </c>
      <c r="O275" s="80" t="n">
        <v>90.6100006103516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182</v>
      </c>
      <c r="B276" s="76" t="s">
        <v>256</v>
      </c>
      <c r="C276" s="77" t="n">
        <v>2024</v>
      </c>
      <c r="D276" s="77" t="n">
        <v>1</v>
      </c>
      <c r="E276" s="78" t="n">
        <v>45260</v>
      </c>
      <c r="F276" s="76" t="s">
        <v>236</v>
      </c>
      <c r="G276" s="76" t="s">
        <v>237</v>
      </c>
      <c r="H276" s="76" t="s">
        <v>238</v>
      </c>
      <c r="I276" s="79" t="n">
        <v>4726</v>
      </c>
      <c r="J276" s="79" t="n">
        <v>-35</v>
      </c>
      <c r="K276" s="80" t="n">
        <v>-0.95</v>
      </c>
      <c r="L276" s="79" t="n">
        <v>1095.5</v>
      </c>
      <c r="M276" s="79" t="n">
        <v>42885</v>
      </c>
      <c r="N276" s="80" t="n">
        <v>0.115</v>
      </c>
      <c r="O276" s="80" t="n">
        <v>76.120002746582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182</v>
      </c>
      <c r="B277" s="76" t="s">
        <v>258</v>
      </c>
      <c r="C277" s="77" t="n">
        <v>2023</v>
      </c>
      <c r="D277" s="77" t="n">
        <v>4</v>
      </c>
      <c r="E277" s="78" t="n">
        <v>45169</v>
      </c>
      <c r="F277" s="76" t="s">
        <v>236</v>
      </c>
      <c r="G277" s="76" t="s">
        <v>237</v>
      </c>
      <c r="H277" s="76" t="s">
        <v>238</v>
      </c>
      <c r="I277" s="79" t="n">
        <v>4010</v>
      </c>
      <c r="J277" s="79" t="n">
        <v>-435</v>
      </c>
      <c r="K277" s="80" t="n">
        <v>-1.07</v>
      </c>
      <c r="L277" s="79"/>
      <c r="M277" s="79" t="n">
        <v>44120</v>
      </c>
      <c r="N277" s="80" t="n">
        <v>0.115</v>
      </c>
      <c r="O277" s="80" t="n">
        <v>69.9400024414063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182</v>
      </c>
      <c r="B278" s="76" t="s">
        <v>260</v>
      </c>
      <c r="C278" s="77" t="n">
        <v>2023</v>
      </c>
      <c r="D278" s="77" t="n">
        <v>3</v>
      </c>
      <c r="E278" s="78" t="n">
        <v>45077</v>
      </c>
      <c r="F278" s="76" t="s">
        <v>236</v>
      </c>
      <c r="G278" s="76" t="s">
        <v>237</v>
      </c>
      <c r="H278" s="76" t="s">
        <v>238</v>
      </c>
      <c r="I278" s="79" t="n">
        <v>3752</v>
      </c>
      <c r="J278" s="79" t="n">
        <v>-668</v>
      </c>
      <c r="K278" s="80" t="n">
        <v>-1.43</v>
      </c>
      <c r="L278" s="79" t="n">
        <v>1094</v>
      </c>
      <c r="M278" s="79" t="n">
        <v>45405</v>
      </c>
      <c r="N278" s="80" t="n">
        <v>0.115</v>
      </c>
      <c r="O278" s="80" t="n">
        <v>68.1999969482422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182</v>
      </c>
      <c r="B279" s="76" t="s">
        <v>262</v>
      </c>
      <c r="C279" s="77" t="n">
        <v>2023</v>
      </c>
      <c r="D279" s="77" t="n">
        <v>2</v>
      </c>
      <c r="E279" s="78" t="n">
        <v>44985</v>
      </c>
      <c r="F279" s="76" t="s">
        <v>236</v>
      </c>
      <c r="G279" s="76" t="s">
        <v>237</v>
      </c>
      <c r="H279" s="76" t="s">
        <v>238</v>
      </c>
      <c r="I279" s="79" t="n">
        <v>3693</v>
      </c>
      <c r="J279" s="79" t="n">
        <v>-1206</v>
      </c>
      <c r="K279" s="80" t="n">
        <v>-1.91</v>
      </c>
      <c r="L279" s="79" t="n">
        <v>1091</v>
      </c>
      <c r="M279" s="79" t="n">
        <v>47257</v>
      </c>
      <c r="N279" s="80" t="n">
        <v>0.115</v>
      </c>
      <c r="O279" s="80" t="n">
        <v>57.8199996948242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182</v>
      </c>
      <c r="B280" s="76" t="s">
        <v>264</v>
      </c>
      <c r="C280" s="77" t="n">
        <v>2023</v>
      </c>
      <c r="D280" s="77" t="n">
        <v>1</v>
      </c>
      <c r="E280" s="78" t="n">
        <v>44895</v>
      </c>
      <c r="F280" s="76" t="s">
        <v>236</v>
      </c>
      <c r="G280" s="76" t="s">
        <v>237</v>
      </c>
      <c r="H280" s="76" t="s">
        <v>238</v>
      </c>
      <c r="I280" s="79" t="n">
        <v>4085</v>
      </c>
      <c r="J280" s="79" t="n">
        <v>893</v>
      </c>
      <c r="K280" s="80" t="n">
        <v>-0.04</v>
      </c>
      <c r="L280" s="79" t="n">
        <v>1090</v>
      </c>
      <c r="M280" s="79" t="n">
        <v>49306</v>
      </c>
      <c r="N280" s="80" t="n">
        <v>0.115</v>
      </c>
      <c r="O280" s="80" t="n">
        <v>57.6500015258789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182</v>
      </c>
      <c r="B281" s="76" t="s">
        <v>266</v>
      </c>
      <c r="C281" s="77" t="n">
        <v>2022</v>
      </c>
      <c r="D281" s="77" t="n">
        <v>4</v>
      </c>
      <c r="E281" s="78" t="n">
        <v>44804</v>
      </c>
      <c r="F281" s="76" t="s">
        <v>236</v>
      </c>
      <c r="G281" s="76" t="s">
        <v>237</v>
      </c>
      <c r="H281" s="76" t="s">
        <v>238</v>
      </c>
      <c r="I281" s="79" t="n">
        <v>6643</v>
      </c>
      <c r="J281" s="79" t="n">
        <v>2622</v>
      </c>
      <c r="K281" s="80" t="n">
        <v>1.45</v>
      </c>
      <c r="L281" s="79"/>
      <c r="M281" s="79" t="n">
        <v>49907</v>
      </c>
      <c r="N281" s="80" t="n">
        <v>0.115</v>
      </c>
      <c r="O281" s="80" t="n">
        <v>56.5299987792969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182</v>
      </c>
      <c r="B282" s="76" t="s">
        <v>268</v>
      </c>
      <c r="C282" s="77" t="n">
        <v>2022</v>
      </c>
      <c r="D282" s="77" t="n">
        <v>3</v>
      </c>
      <c r="E282" s="78" t="n">
        <v>44712</v>
      </c>
      <c r="F282" s="76" t="s">
        <v>236</v>
      </c>
      <c r="G282" s="76" t="s">
        <v>237</v>
      </c>
      <c r="H282" s="76" t="s">
        <v>238</v>
      </c>
      <c r="I282" s="79" t="n">
        <v>8642</v>
      </c>
      <c r="J282" s="79" t="n">
        <v>4035</v>
      </c>
      <c r="K282" s="80" t="n">
        <v>2.59</v>
      </c>
      <c r="L282" s="79" t="n">
        <v>1121</v>
      </c>
      <c r="M282" s="79" t="n">
        <v>49281</v>
      </c>
      <c r="N282" s="80" t="n">
        <v>0.1</v>
      </c>
      <c r="O282" s="80" t="n">
        <v>73.8399963378906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182</v>
      </c>
      <c r="B283" s="76" t="s">
        <v>270</v>
      </c>
      <c r="C283" s="77" t="n">
        <v>2022</v>
      </c>
      <c r="D283" s="77" t="n">
        <v>2</v>
      </c>
      <c r="E283" s="78" t="n">
        <v>44620</v>
      </c>
      <c r="F283" s="76" t="s">
        <v>236</v>
      </c>
      <c r="G283" s="76" t="s">
        <v>237</v>
      </c>
      <c r="H283" s="76" t="s">
        <v>238</v>
      </c>
      <c r="I283" s="79" t="n">
        <v>7786</v>
      </c>
      <c r="J283" s="79" t="n">
        <v>3676</v>
      </c>
      <c r="K283" s="80" t="n">
        <v>2.14</v>
      </c>
      <c r="L283" s="79" t="n">
        <v>1130</v>
      </c>
      <c r="M283" s="79" t="n">
        <v>47845</v>
      </c>
      <c r="N283" s="80" t="n">
        <v>0.1</v>
      </c>
      <c r="O283" s="80" t="n">
        <v>88.8600006103516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182</v>
      </c>
      <c r="B284" s="76" t="s">
        <v>272</v>
      </c>
      <c r="C284" s="77" t="n">
        <v>2022</v>
      </c>
      <c r="D284" s="77" t="n">
        <v>1</v>
      </c>
      <c r="E284" s="78" t="n">
        <v>44530</v>
      </c>
      <c r="F284" s="76" t="s">
        <v>236</v>
      </c>
      <c r="G284" s="76" t="s">
        <v>237</v>
      </c>
      <c r="H284" s="76" t="s">
        <v>238</v>
      </c>
      <c r="I284" s="79" t="n">
        <v>7687</v>
      </c>
      <c r="J284" s="79" t="n">
        <v>3565</v>
      </c>
      <c r="K284" s="80" t="n">
        <v>2.16</v>
      </c>
      <c r="L284" s="79" t="n">
        <v>1130</v>
      </c>
      <c r="M284" s="79" t="n">
        <v>45908</v>
      </c>
      <c r="N284" s="80" t="n">
        <v>0.1</v>
      </c>
      <c r="O284" s="80" t="n">
        <v>84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182</v>
      </c>
      <c r="B285" s="76" t="s">
        <v>274</v>
      </c>
      <c r="C285" s="77" t="n">
        <v>2021</v>
      </c>
      <c r="D285" s="77" t="n">
        <v>4</v>
      </c>
      <c r="E285" s="78" t="n">
        <v>44439</v>
      </c>
      <c r="F285" s="76" t="s">
        <v>236</v>
      </c>
      <c r="G285" s="76" t="s">
        <v>237</v>
      </c>
      <c r="H285" s="76" t="s">
        <v>238</v>
      </c>
      <c r="I285" s="79" t="n">
        <v>8274</v>
      </c>
      <c r="J285" s="79" t="n">
        <v>3912</v>
      </c>
      <c r="K285" s="80" t="n">
        <v>2.42</v>
      </c>
      <c r="L285" s="79"/>
      <c r="M285" s="79" t="n">
        <v>43933</v>
      </c>
      <c r="N285" s="80" t="n">
        <v>0</v>
      </c>
      <c r="O285" s="80" t="n">
        <v>73.6999969482422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182</v>
      </c>
      <c r="B286" s="76" t="s">
        <v>276</v>
      </c>
      <c r="C286" s="77" t="n">
        <v>2021</v>
      </c>
      <c r="D286" s="77" t="n">
        <v>3</v>
      </c>
      <c r="E286" s="78" t="n">
        <v>44347</v>
      </c>
      <c r="F286" s="76" t="s">
        <v>236</v>
      </c>
      <c r="G286" s="76" t="s">
        <v>237</v>
      </c>
      <c r="H286" s="76" t="s">
        <v>238</v>
      </c>
      <c r="I286" s="79" t="n">
        <v>7422</v>
      </c>
      <c r="J286" s="79" t="n">
        <v>3126</v>
      </c>
      <c r="K286" s="80" t="n">
        <v>1.88</v>
      </c>
      <c r="L286" s="79" t="n">
        <v>1145</v>
      </c>
      <c r="M286" s="79" t="n">
        <v>42259</v>
      </c>
      <c r="N286" s="80" t="n">
        <v>0</v>
      </c>
      <c r="O286" s="80" t="n">
        <v>84.1399993896484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182</v>
      </c>
      <c r="B287" s="76" t="s">
        <v>278</v>
      </c>
      <c r="C287" s="77" t="n">
        <v>2021</v>
      </c>
      <c r="D287" s="77" t="n">
        <v>2</v>
      </c>
      <c r="E287" s="78" t="n">
        <v>44255</v>
      </c>
      <c r="F287" s="76" t="s">
        <v>236</v>
      </c>
      <c r="G287" s="76" t="s">
        <v>237</v>
      </c>
      <c r="H287" s="76" t="s">
        <v>238</v>
      </c>
      <c r="I287" s="79" t="n">
        <v>6236</v>
      </c>
      <c r="J287" s="79" t="n">
        <v>1649</v>
      </c>
      <c r="K287" s="80" t="n">
        <v>0.98</v>
      </c>
      <c r="L287" s="79" t="n">
        <v>1144</v>
      </c>
      <c r="M287" s="79" t="n">
        <v>40663</v>
      </c>
      <c r="N287" s="80" t="n">
        <v>0</v>
      </c>
      <c r="O287" s="80" t="n">
        <v>91.5299987792969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182</v>
      </c>
      <c r="B288" s="76" t="s">
        <v>280</v>
      </c>
      <c r="C288" s="77" t="n">
        <v>2021</v>
      </c>
      <c r="D288" s="77" t="n">
        <v>1</v>
      </c>
      <c r="E288" s="78" t="n">
        <v>44165</v>
      </c>
      <c r="F288" s="76" t="s">
        <v>236</v>
      </c>
      <c r="G288" s="76" t="s">
        <v>237</v>
      </c>
      <c r="H288" s="76" t="s">
        <v>238</v>
      </c>
      <c r="I288" s="79" t="n">
        <v>5773</v>
      </c>
      <c r="J288" s="79" t="n">
        <v>1736</v>
      </c>
      <c r="K288" s="80" t="n">
        <v>0.78</v>
      </c>
      <c r="L288" s="79" t="n">
        <v>1135</v>
      </c>
      <c r="M288" s="79" t="n">
        <v>39907</v>
      </c>
      <c r="N288" s="80" t="n">
        <v>0</v>
      </c>
      <c r="O288" s="80" t="n">
        <v>64.0899963378906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182</v>
      </c>
      <c r="B289" s="76" t="s">
        <v>282</v>
      </c>
      <c r="C289" s="77" t="n">
        <v>2020</v>
      </c>
      <c r="D289" s="77" t="n">
        <v>4</v>
      </c>
      <c r="E289" s="78" t="n">
        <v>44074</v>
      </c>
      <c r="F289" s="76" t="s">
        <v>236</v>
      </c>
      <c r="G289" s="76" t="s">
        <v>237</v>
      </c>
      <c r="H289" s="76" t="s">
        <v>238</v>
      </c>
      <c r="I289" s="79" t="n">
        <v>6056</v>
      </c>
      <c r="J289" s="79" t="n">
        <v>2068</v>
      </c>
      <c r="K289" s="80" t="n">
        <v>1.08</v>
      </c>
      <c r="L289" s="79"/>
      <c r="M289" s="79" t="n">
        <v>38996</v>
      </c>
      <c r="N289" s="80"/>
      <c r="O289" s="80" t="n">
        <v>45.5099983215332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193</v>
      </c>
      <c r="B290" s="76" t="s">
        <v>235</v>
      </c>
      <c r="C290" s="77" t="n">
        <v>2026</v>
      </c>
      <c r="D290" s="77" t="n">
        <v>2</v>
      </c>
      <c r="E290" s="78" t="n">
        <v>46203</v>
      </c>
      <c r="F290" s="76" t="s">
        <v>236</v>
      </c>
      <c r="G290" s="76" t="s">
        <v>237</v>
      </c>
      <c r="H290" s="76" t="s">
        <v>238</v>
      </c>
      <c r="I290" s="79" t="n">
        <v>696.061</v>
      </c>
      <c r="J290" s="79" t="n">
        <v>499.517</v>
      </c>
      <c r="K290" s="80" t="n">
        <v>0.29</v>
      </c>
      <c r="L290" s="79" t="n">
        <v>354.334</v>
      </c>
      <c r="M290" s="79" t="n">
        <v>1620.02</v>
      </c>
      <c r="N290" s="80"/>
      <c r="O290" s="80" t="n">
        <v>245.279998779297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193</v>
      </c>
      <c r="B291" s="76" t="s">
        <v>240</v>
      </c>
      <c r="C291" s="77" t="n">
        <v>2026</v>
      </c>
      <c r="D291" s="77" t="n">
        <v>1</v>
      </c>
      <c r="E291" s="78" t="n">
        <v>46112</v>
      </c>
      <c r="F291" s="76" t="s">
        <v>236</v>
      </c>
      <c r="G291" s="76" t="s">
        <v>237</v>
      </c>
      <c r="H291" s="76" t="s">
        <v>238</v>
      </c>
      <c r="I291" s="79" t="n">
        <v>639.755</v>
      </c>
      <c r="J291" s="79" t="n">
        <v>455.597</v>
      </c>
      <c r="K291" s="80" t="n">
        <v>0.25</v>
      </c>
      <c r="L291" s="79" t="n">
        <v>352.625</v>
      </c>
      <c r="M291" s="79" t="n">
        <v>1526.708</v>
      </c>
      <c r="N291" s="80"/>
      <c r="O291" s="80" t="n">
        <v>206.339996337891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193</v>
      </c>
      <c r="B292" s="76" t="s">
        <v>242</v>
      </c>
      <c r="C292" s="77" t="n">
        <v>2025</v>
      </c>
      <c r="D292" s="77" t="n">
        <v>4</v>
      </c>
      <c r="E292" s="78" t="n">
        <v>46022</v>
      </c>
      <c r="F292" s="76" t="s">
        <v>236</v>
      </c>
      <c r="G292" s="76" t="s">
        <v>237</v>
      </c>
      <c r="H292" s="76" t="s">
        <v>238</v>
      </c>
      <c r="I292" s="79" t="n">
        <v>614.507</v>
      </c>
      <c r="J292" s="79" t="n">
        <v>452.551</v>
      </c>
      <c r="K292" s="80" t="n">
        <v>0.28</v>
      </c>
      <c r="L292" s="79" t="n">
        <v>351.087</v>
      </c>
      <c r="M292" s="79" t="n">
        <v>1459.123</v>
      </c>
      <c r="N292" s="80"/>
      <c r="O292" s="80" t="n">
        <v>197.149993896484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193</v>
      </c>
      <c r="B293" s="76" t="s">
        <v>244</v>
      </c>
      <c r="C293" s="77" t="n">
        <v>2025</v>
      </c>
      <c r="D293" s="77" t="n">
        <v>3</v>
      </c>
      <c r="E293" s="78" t="n">
        <v>45930</v>
      </c>
      <c r="F293" s="76" t="s">
        <v>236</v>
      </c>
      <c r="G293" s="76" t="s">
        <v>237</v>
      </c>
      <c r="H293" s="76" t="s">
        <v>238</v>
      </c>
      <c r="I293" s="79" t="n">
        <v>562.027</v>
      </c>
      <c r="J293" s="79" t="n">
        <v>415.711</v>
      </c>
      <c r="K293" s="80" t="n">
        <v>0.27</v>
      </c>
      <c r="L293" s="79" t="n">
        <v>349.312</v>
      </c>
      <c r="M293" s="79" t="n">
        <v>1347.016</v>
      </c>
      <c r="N293" s="80"/>
      <c r="O293" s="80" t="n">
        <v>214.589996337891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193</v>
      </c>
      <c r="B294" s="76" t="s">
        <v>246</v>
      </c>
      <c r="C294" s="77" t="n">
        <v>2025</v>
      </c>
      <c r="D294" s="77" t="n">
        <v>2</v>
      </c>
      <c r="E294" s="78" t="n">
        <v>45838</v>
      </c>
      <c r="F294" s="76" t="s">
        <v>236</v>
      </c>
      <c r="G294" s="76" t="s">
        <v>237</v>
      </c>
      <c r="H294" s="76" t="s">
        <v>238</v>
      </c>
      <c r="I294" s="79" t="n">
        <v>512.316</v>
      </c>
      <c r="J294" s="79" t="n">
        <v>383.639</v>
      </c>
      <c r="K294" s="80" t="n">
        <v>0.21</v>
      </c>
      <c r="L294" s="79" t="n">
        <v>347.489</v>
      </c>
      <c r="M294" s="79" t="n">
        <v>1239.727</v>
      </c>
      <c r="N294" s="80"/>
      <c r="O294" s="80" t="n">
        <v>195.830001831055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193</v>
      </c>
      <c r="B295" s="76" t="s">
        <v>248</v>
      </c>
      <c r="C295" s="77" t="n">
        <v>2025</v>
      </c>
      <c r="D295" s="77" t="n">
        <v>1</v>
      </c>
      <c r="E295" s="78" t="n">
        <v>45747</v>
      </c>
      <c r="F295" s="76" t="s">
        <v>236</v>
      </c>
      <c r="G295" s="76" t="s">
        <v>237</v>
      </c>
      <c r="H295" s="76" t="s">
        <v>238</v>
      </c>
      <c r="I295" s="79" t="n">
        <v>479.087</v>
      </c>
      <c r="J295" s="79" t="n">
        <v>363.511</v>
      </c>
      <c r="K295" s="80" t="n">
        <v>0.16</v>
      </c>
      <c r="L295" s="79" t="n">
        <v>343.196</v>
      </c>
      <c r="M295" s="79" t="n">
        <v>1425.878</v>
      </c>
      <c r="N295" s="80"/>
      <c r="O295" s="80" t="n">
        <v>112.690002441406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193</v>
      </c>
      <c r="B296" s="76" t="s">
        <v>250</v>
      </c>
      <c r="C296" s="77" t="n">
        <v>2024</v>
      </c>
      <c r="D296" s="77" t="n">
        <v>4</v>
      </c>
      <c r="E296" s="78" t="n">
        <v>45657</v>
      </c>
      <c r="F296" s="76" t="s">
        <v>236</v>
      </c>
      <c r="G296" s="76" t="s">
        <v>237</v>
      </c>
      <c r="H296" s="76" t="s">
        <v>238</v>
      </c>
      <c r="I296" s="79" t="n">
        <v>459.946</v>
      </c>
      <c r="J296" s="79" t="n">
        <v>351.26</v>
      </c>
      <c r="K296" s="80" t="n">
        <v>0.19</v>
      </c>
      <c r="L296" s="79" t="n">
        <v>341.411</v>
      </c>
      <c r="M296" s="79" t="n">
        <v>1046.201</v>
      </c>
      <c r="N296" s="80"/>
      <c r="O296" s="80" t="n">
        <v>107.680000305176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193</v>
      </c>
      <c r="B297" s="76" t="s">
        <v>252</v>
      </c>
      <c r="C297" s="77" t="n">
        <v>2024</v>
      </c>
      <c r="D297" s="77" t="n">
        <v>3</v>
      </c>
      <c r="E297" s="78" t="n">
        <v>45565</v>
      </c>
      <c r="F297" s="76" t="s">
        <v>236</v>
      </c>
      <c r="G297" s="76" t="s">
        <v>237</v>
      </c>
      <c r="H297" s="76" t="s">
        <v>238</v>
      </c>
      <c r="I297" s="79" t="n">
        <v>430.082</v>
      </c>
      <c r="J297" s="79" t="n">
        <v>334.115</v>
      </c>
      <c r="K297" s="80" t="n">
        <v>0.2</v>
      </c>
      <c r="L297" s="79" t="n">
        <v>339.61025</v>
      </c>
      <c r="M297" s="79" t="n">
        <v>973.09</v>
      </c>
      <c r="N297" s="80"/>
      <c r="O297" s="80" t="n">
        <v>80.8899993896484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193</v>
      </c>
      <c r="B298" s="76" t="s">
        <v>254</v>
      </c>
      <c r="C298" s="77" t="n">
        <v>2024</v>
      </c>
      <c r="D298" s="77" t="n">
        <v>2</v>
      </c>
      <c r="E298" s="78" t="n">
        <v>45473</v>
      </c>
      <c r="F298" s="76" t="s">
        <v>236</v>
      </c>
      <c r="G298" s="76" t="s">
        <v>237</v>
      </c>
      <c r="H298" s="76" t="s">
        <v>238</v>
      </c>
      <c r="I298" s="79" t="n">
        <v>400.996</v>
      </c>
      <c r="J298" s="79" t="n">
        <v>311.985</v>
      </c>
      <c r="K298" s="80" t="n">
        <v>0.2</v>
      </c>
      <c r="L298" s="79" t="n">
        <v>337.7405</v>
      </c>
      <c r="M298" s="79" t="n">
        <v>881.545</v>
      </c>
      <c r="N298" s="80"/>
      <c r="O298" s="80" t="n">
        <v>82.8300018310547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193</v>
      </c>
      <c r="B299" s="76" t="s">
        <v>256</v>
      </c>
      <c r="C299" s="77" t="n">
        <v>2024</v>
      </c>
      <c r="D299" s="77" t="n">
        <v>1</v>
      </c>
      <c r="E299" s="78" t="n">
        <v>45382</v>
      </c>
      <c r="F299" s="76" t="s">
        <v>236</v>
      </c>
      <c r="G299" s="76" t="s">
        <v>237</v>
      </c>
      <c r="H299" s="76" t="s">
        <v>238</v>
      </c>
      <c r="I299" s="79" t="n">
        <v>378.602</v>
      </c>
      <c r="J299" s="79" t="n">
        <v>293.564</v>
      </c>
      <c r="K299" s="80" t="n">
        <v>0.16</v>
      </c>
      <c r="L299" s="79" t="n">
        <v>335.7045</v>
      </c>
      <c r="M299" s="79" t="n">
        <v>797.224</v>
      </c>
      <c r="N299" s="80"/>
      <c r="O299" s="80" t="n">
        <v>96.8300018310547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193</v>
      </c>
      <c r="B300" s="76" t="s">
        <v>258</v>
      </c>
      <c r="C300" s="77" t="n">
        <v>2023</v>
      </c>
      <c r="D300" s="77" t="n">
        <v>4</v>
      </c>
      <c r="E300" s="78" t="n">
        <v>45291</v>
      </c>
      <c r="F300" s="76" t="s">
        <v>236</v>
      </c>
      <c r="G300" s="76" t="s">
        <v>237</v>
      </c>
      <c r="H300" s="76" t="s">
        <v>238</v>
      </c>
      <c r="I300" s="79" t="n">
        <v>362.473</v>
      </c>
      <c r="J300" s="79" t="n">
        <v>279.19</v>
      </c>
      <c r="K300" s="80" t="n">
        <v>0.15</v>
      </c>
      <c r="L300" s="79" t="n">
        <v>333.656</v>
      </c>
      <c r="M300" s="79" t="n">
        <v>763.047</v>
      </c>
      <c r="N300" s="80"/>
      <c r="O300" s="80" t="n">
        <v>83.2600021362305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193</v>
      </c>
      <c r="B301" s="76" t="s">
        <v>260</v>
      </c>
      <c r="C301" s="77" t="n">
        <v>2023</v>
      </c>
      <c r="D301" s="77" t="n">
        <v>3</v>
      </c>
      <c r="E301" s="78" t="n">
        <v>45199</v>
      </c>
      <c r="F301" s="76" t="s">
        <v>236</v>
      </c>
      <c r="G301" s="76" t="s">
        <v>237</v>
      </c>
      <c r="H301" s="76" t="s">
        <v>238</v>
      </c>
      <c r="I301" s="79" t="n">
        <v>335.603</v>
      </c>
      <c r="J301" s="79" t="n">
        <v>257.534</v>
      </c>
      <c r="K301" s="80" t="n">
        <v>0.16</v>
      </c>
      <c r="L301" s="79" t="n">
        <v>331.68925</v>
      </c>
      <c r="M301" s="79" t="n">
        <v>699.257</v>
      </c>
      <c r="N301" s="80"/>
      <c r="O301" s="80" t="n">
        <v>63.0400009155273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193</v>
      </c>
      <c r="B302" s="76" t="s">
        <v>262</v>
      </c>
      <c r="C302" s="77" t="n">
        <v>2023</v>
      </c>
      <c r="D302" s="77" t="n">
        <v>2</v>
      </c>
      <c r="E302" s="78" t="n">
        <v>45107</v>
      </c>
      <c r="F302" s="76" t="s">
        <v>236</v>
      </c>
      <c r="G302" s="76" t="s">
        <v>237</v>
      </c>
      <c r="H302" s="76" t="s">
        <v>238</v>
      </c>
      <c r="I302" s="79" t="n">
        <v>308.494</v>
      </c>
      <c r="J302" s="79" t="n">
        <v>233.273</v>
      </c>
      <c r="K302" s="80" t="n">
        <v>0.1</v>
      </c>
      <c r="L302" s="79" t="n">
        <v>332.297</v>
      </c>
      <c r="M302" s="79" t="n">
        <v>641.834</v>
      </c>
      <c r="N302" s="80"/>
      <c r="O302" s="80" t="n">
        <v>65.370002746582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193</v>
      </c>
      <c r="B303" s="76" t="s">
        <v>264</v>
      </c>
      <c r="C303" s="77" t="n">
        <v>2023</v>
      </c>
      <c r="D303" s="77" t="n">
        <v>1</v>
      </c>
      <c r="E303" s="78" t="n">
        <v>45016</v>
      </c>
      <c r="F303" s="76" t="s">
        <v>236</v>
      </c>
      <c r="G303" s="76" t="s">
        <v>237</v>
      </c>
      <c r="H303" s="76" t="s">
        <v>238</v>
      </c>
      <c r="I303" s="79" t="n">
        <v>290.175</v>
      </c>
      <c r="J303" s="79" t="n">
        <v>219.743</v>
      </c>
      <c r="K303" s="80" t="n">
        <v>0.08</v>
      </c>
      <c r="L303" s="79" t="n">
        <v>330.389</v>
      </c>
      <c r="M303" s="79" t="n">
        <v>652.586</v>
      </c>
      <c r="N303" s="80"/>
      <c r="O303" s="80" t="n">
        <v>61.6599998474121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193</v>
      </c>
      <c r="B304" s="76" t="s">
        <v>266</v>
      </c>
      <c r="C304" s="77" t="n">
        <v>2022</v>
      </c>
      <c r="D304" s="77" t="n">
        <v>4</v>
      </c>
      <c r="E304" s="78" t="n">
        <v>44926</v>
      </c>
      <c r="F304" s="76" t="s">
        <v>236</v>
      </c>
      <c r="G304" s="76" t="s">
        <v>237</v>
      </c>
      <c r="H304" s="76" t="s">
        <v>238</v>
      </c>
      <c r="I304" s="79" t="n">
        <v>274.7</v>
      </c>
      <c r="J304" s="79" t="n">
        <v>206.912</v>
      </c>
      <c r="K304" s="80" t="n">
        <v>0.06</v>
      </c>
      <c r="L304" s="79"/>
      <c r="M304" s="79" t="n">
        <v>623.964</v>
      </c>
      <c r="N304" s="80"/>
      <c r="O304" s="80" t="n">
        <v>45.2099990844727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193</v>
      </c>
      <c r="B305" s="76" t="s">
        <v>268</v>
      </c>
      <c r="C305" s="77" t="n">
        <v>2022</v>
      </c>
      <c r="D305" s="77" t="n">
        <v>3</v>
      </c>
      <c r="E305" s="78" t="n">
        <v>44834</v>
      </c>
      <c r="F305" s="76" t="s">
        <v>236</v>
      </c>
      <c r="G305" s="76" t="s">
        <v>237</v>
      </c>
      <c r="H305" s="76" t="s">
        <v>238</v>
      </c>
      <c r="I305" s="79" t="n">
        <v>253.857</v>
      </c>
      <c r="J305" s="79" t="n">
        <v>191.89</v>
      </c>
      <c r="K305" s="80" t="n">
        <v>0.06</v>
      </c>
      <c r="L305" s="79" t="n">
        <v>326.59</v>
      </c>
      <c r="M305" s="79" t="n">
        <v>593.989</v>
      </c>
      <c r="N305" s="80"/>
      <c r="O305" s="80" t="n">
        <v>55.310001373291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193</v>
      </c>
      <c r="B306" s="76" t="s">
        <v>270</v>
      </c>
      <c r="C306" s="77" t="n">
        <v>2022</v>
      </c>
      <c r="D306" s="77" t="n">
        <v>2</v>
      </c>
      <c r="E306" s="78" t="n">
        <v>44742</v>
      </c>
      <c r="F306" s="76" t="s">
        <v>236</v>
      </c>
      <c r="G306" s="76" t="s">
        <v>237</v>
      </c>
      <c r="H306" s="76" t="s">
        <v>238</v>
      </c>
      <c r="I306" s="79" t="n">
        <v>234.517</v>
      </c>
      <c r="J306" s="79" t="n">
        <v>178.713</v>
      </c>
      <c r="K306" s="80"/>
      <c r="L306" s="79" t="n">
        <v>325.197</v>
      </c>
      <c r="M306" s="79" t="n">
        <v>580.49</v>
      </c>
      <c r="N306" s="80"/>
      <c r="O306" s="80" t="n">
        <v>43.75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193</v>
      </c>
      <c r="B307" s="76" t="s">
        <v>272</v>
      </c>
      <c r="C307" s="77" t="n">
        <v>2022</v>
      </c>
      <c r="D307" s="77" t="n">
        <v>1</v>
      </c>
      <c r="E307" s="78" t="n">
        <v>44651</v>
      </c>
      <c r="F307" s="76" t="s">
        <v>236</v>
      </c>
      <c r="G307" s="76" t="s">
        <v>237</v>
      </c>
      <c r="H307" s="76" t="s">
        <v>238</v>
      </c>
      <c r="I307" s="79" t="n">
        <v>212.167</v>
      </c>
      <c r="J307" s="79" t="n">
        <v>165.116</v>
      </c>
      <c r="K307" s="80" t="n">
        <v>0.01</v>
      </c>
      <c r="L307" s="79" t="n">
        <v>323.334</v>
      </c>
      <c r="M307" s="79" t="n">
        <v>515.477</v>
      </c>
      <c r="N307" s="80"/>
      <c r="O307" s="80" t="n">
        <v>119.699996948242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193</v>
      </c>
      <c r="B308" s="76" t="s">
        <v>274</v>
      </c>
      <c r="C308" s="77" t="n">
        <v>2021</v>
      </c>
      <c r="D308" s="77" t="n">
        <v>4</v>
      </c>
      <c r="E308" s="78" t="n">
        <v>44561</v>
      </c>
      <c r="F308" s="76" t="s">
        <v>236</v>
      </c>
      <c r="G308" s="76" t="s">
        <v>237</v>
      </c>
      <c r="H308" s="76" t="s">
        <v>238</v>
      </c>
      <c r="I308" s="79" t="n">
        <v>193.596</v>
      </c>
      <c r="J308" s="79" t="n">
        <v>151.1</v>
      </c>
      <c r="K308" s="80"/>
      <c r="L308" s="79"/>
      <c r="M308" s="79" t="n">
        <v>815.798</v>
      </c>
      <c r="N308" s="80"/>
      <c r="O308" s="80" t="n">
        <v>131.5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193</v>
      </c>
      <c r="B309" s="76" t="s">
        <v>276</v>
      </c>
      <c r="C309" s="77" t="n">
        <v>2021</v>
      </c>
      <c r="D309" s="77" t="n">
        <v>3</v>
      </c>
      <c r="E309" s="78" t="n">
        <v>44469</v>
      </c>
      <c r="F309" s="76" t="s">
        <v>236</v>
      </c>
      <c r="G309" s="76" t="s">
        <v>237</v>
      </c>
      <c r="H309" s="76" t="s">
        <v>238</v>
      </c>
      <c r="I309" s="79" t="n">
        <v>172.347</v>
      </c>
      <c r="J309" s="79" t="n">
        <v>134.822</v>
      </c>
      <c r="K309" s="80"/>
      <c r="L309" s="79" t="n">
        <v>314.543</v>
      </c>
      <c r="M309" s="79" t="n">
        <v>853.15</v>
      </c>
      <c r="N309" s="80"/>
      <c r="O309" s="80" t="n">
        <v>112.650001525879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193</v>
      </c>
      <c r="B310" s="76" t="s">
        <v>278</v>
      </c>
      <c r="C310" s="77" t="n">
        <v>2021</v>
      </c>
      <c r="D310" s="77" t="n">
        <v>2</v>
      </c>
      <c r="E310" s="78" t="n">
        <v>44377</v>
      </c>
      <c r="F310" s="76" t="s">
        <v>236</v>
      </c>
      <c r="G310" s="76" t="s">
        <v>237</v>
      </c>
      <c r="H310" s="76" t="s">
        <v>238</v>
      </c>
      <c r="I310" s="79" t="n">
        <v>152.428</v>
      </c>
      <c r="J310" s="79" t="n">
        <v>117.399</v>
      </c>
      <c r="K310" s="80" t="n">
        <v>-0.02</v>
      </c>
      <c r="L310" s="79" t="n">
        <v>308.263</v>
      </c>
      <c r="M310" s="79" t="n">
        <v>801.096</v>
      </c>
      <c r="N310" s="80"/>
      <c r="O310" s="80" t="n">
        <v>105.839996337891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193</v>
      </c>
      <c r="B311" s="76" t="s">
        <v>280</v>
      </c>
      <c r="C311" s="77" t="n">
        <v>2021</v>
      </c>
      <c r="D311" s="77" t="n">
        <v>1</v>
      </c>
      <c r="E311" s="78" t="n">
        <v>44286</v>
      </c>
      <c r="F311" s="76" t="s">
        <v>236</v>
      </c>
      <c r="G311" s="76" t="s">
        <v>237</v>
      </c>
      <c r="H311" s="76" t="s">
        <v>238</v>
      </c>
      <c r="I311" s="79" t="n">
        <v>138.055</v>
      </c>
      <c r="J311" s="79" t="n">
        <v>105.971</v>
      </c>
      <c r="K311" s="80" t="n">
        <v>-0.03</v>
      </c>
      <c r="L311" s="79" t="n">
        <v>305.947</v>
      </c>
      <c r="M311" s="79" t="n">
        <v>804.04</v>
      </c>
      <c r="N311" s="80"/>
      <c r="O311" s="80" t="n">
        <v>70.2600021362305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193</v>
      </c>
      <c r="B312" s="76" t="s">
        <v>282</v>
      </c>
      <c r="C312" s="77" t="n">
        <v>2020</v>
      </c>
      <c r="D312" s="77" t="n">
        <v>4</v>
      </c>
      <c r="E312" s="78" t="n">
        <v>44196</v>
      </c>
      <c r="F312" s="76" t="s">
        <v>236</v>
      </c>
      <c r="G312" s="76" t="s">
        <v>237</v>
      </c>
      <c r="H312" s="76" t="s">
        <v>238</v>
      </c>
      <c r="I312" s="79" t="n">
        <v>125.926</v>
      </c>
      <c r="J312" s="79" t="n">
        <v>96.861</v>
      </c>
      <c r="K312" s="80" t="n">
        <v>-0.02</v>
      </c>
      <c r="L312" s="79"/>
      <c r="M312" s="79" t="n">
        <v>816.94</v>
      </c>
      <c r="N312" s="80"/>
      <c r="O312" s="80" t="n">
        <v>75.9899978637695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193</v>
      </c>
      <c r="B313" s="76" t="s">
        <v>284</v>
      </c>
      <c r="C313" s="77" t="n">
        <v>2020</v>
      </c>
      <c r="D313" s="77" t="n">
        <v>3</v>
      </c>
      <c r="E313" s="78" t="n">
        <v>44104</v>
      </c>
      <c r="F313" s="76" t="s">
        <v>236</v>
      </c>
      <c r="G313" s="76" t="s">
        <v>237</v>
      </c>
      <c r="H313" s="76" t="s">
        <v>238</v>
      </c>
      <c r="I313" s="79" t="n">
        <v>114.162</v>
      </c>
      <c r="J313" s="79" t="n">
        <v>87.157</v>
      </c>
      <c r="K313" s="80" t="n">
        <v>-0.02</v>
      </c>
      <c r="L313" s="79" t="n">
        <v>301.689</v>
      </c>
      <c r="M313" s="79" t="n">
        <v>826.447</v>
      </c>
      <c r="N313" s="80"/>
      <c r="O313" s="80" t="n">
        <v>41.060001373291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172</v>
      </c>
      <c r="B314" s="76" t="s">
        <v>383</v>
      </c>
      <c r="C314" s="77" t="n">
        <v>2027</v>
      </c>
      <c r="D314" s="77" t="n">
        <v>2</v>
      </c>
      <c r="E314" s="78" t="n">
        <v>46234</v>
      </c>
      <c r="F314" s="76" t="s">
        <v>236</v>
      </c>
      <c r="G314" s="76" t="s">
        <v>237</v>
      </c>
      <c r="H314" s="76" t="s">
        <v>238</v>
      </c>
      <c r="I314" s="79" t="n">
        <v>302970</v>
      </c>
      <c r="J314" s="79" t="n">
        <v>226241</v>
      </c>
      <c r="K314" s="80" t="n">
        <v>2.22</v>
      </c>
      <c r="L314" s="79" t="n">
        <v>24397.5</v>
      </c>
      <c r="M314" s="79" t="n">
        <v>228984</v>
      </c>
      <c r="N314" s="80" t="n">
        <v>0.25</v>
      </c>
      <c r="O314" s="80" t="n">
        <v>200.75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172</v>
      </c>
      <c r="B315" s="76" t="s">
        <v>385</v>
      </c>
      <c r="C315" s="77" t="n">
        <v>2027</v>
      </c>
      <c r="D315" s="77" t="n">
        <v>1</v>
      </c>
      <c r="E315" s="78" t="n">
        <v>46142</v>
      </c>
      <c r="F315" s="76" t="s">
        <v>236</v>
      </c>
      <c r="G315" s="76" t="s">
        <v>237</v>
      </c>
      <c r="H315" s="76" t="s">
        <v>238</v>
      </c>
      <c r="I315" s="79" t="n">
        <v>81615</v>
      </c>
      <c r="J315" s="79" t="n">
        <v>61157</v>
      </c>
      <c r="K315" s="80" t="n">
        <v>1.87</v>
      </c>
      <c r="L315" s="79" t="n">
        <v>24391</v>
      </c>
      <c r="M315" s="79" t="n">
        <v>195474</v>
      </c>
      <c r="N315" s="80" t="n">
        <v>0.01</v>
      </c>
      <c r="O315" s="80" t="n">
        <v>199.570007324219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172</v>
      </c>
      <c r="B316" s="76" t="s">
        <v>387</v>
      </c>
      <c r="C316" s="77" t="n">
        <v>2026</v>
      </c>
      <c r="D316" s="77" t="n">
        <v>4</v>
      </c>
      <c r="E316" s="78" t="n">
        <v>46053</v>
      </c>
      <c r="F316" s="76" t="s">
        <v>236</v>
      </c>
      <c r="G316" s="76" t="s">
        <v>237</v>
      </c>
      <c r="H316" s="76" t="s">
        <v>238</v>
      </c>
      <c r="I316" s="79" t="n">
        <v>68127</v>
      </c>
      <c r="J316" s="79" t="n">
        <v>51093</v>
      </c>
      <c r="K316" s="80" t="n">
        <v>1.62</v>
      </c>
      <c r="L316" s="79" t="n">
        <v>24432</v>
      </c>
      <c r="M316" s="79" t="n">
        <v>157293</v>
      </c>
      <c r="N316" s="80" t="n">
        <v>0.01</v>
      </c>
      <c r="O316" s="80" t="n">
        <v>191.130004882813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172</v>
      </c>
      <c r="B317" s="76" t="s">
        <v>286</v>
      </c>
      <c r="C317" s="77" t="n">
        <v>2026</v>
      </c>
      <c r="D317" s="77" t="n">
        <v>3</v>
      </c>
      <c r="E317" s="78" t="n">
        <v>45961</v>
      </c>
      <c r="F317" s="76" t="s">
        <v>236</v>
      </c>
      <c r="G317" s="76" t="s">
        <v>237</v>
      </c>
      <c r="H317" s="76" t="s">
        <v>238</v>
      </c>
      <c r="I317" s="79" t="n">
        <v>57006</v>
      </c>
      <c r="J317" s="79" t="n">
        <v>41849</v>
      </c>
      <c r="K317" s="80" t="n">
        <v>1.3</v>
      </c>
      <c r="L317" s="79" t="n">
        <v>24483</v>
      </c>
      <c r="M317" s="79" t="n">
        <v>118897</v>
      </c>
      <c r="N317" s="80" t="n">
        <v>0.01</v>
      </c>
      <c r="O317" s="80" t="n">
        <v>202.490005493164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172</v>
      </c>
      <c r="B318" s="76" t="s">
        <v>235</v>
      </c>
      <c r="C318" s="77" t="n">
        <v>2026</v>
      </c>
      <c r="D318" s="77" t="n">
        <v>2</v>
      </c>
      <c r="E318" s="78" t="n">
        <v>45869</v>
      </c>
      <c r="F318" s="76" t="s">
        <v>236</v>
      </c>
      <c r="G318" s="76" t="s">
        <v>237</v>
      </c>
      <c r="H318" s="76" t="s">
        <v>238</v>
      </c>
      <c r="I318" s="79" t="n">
        <v>46743</v>
      </c>
      <c r="J318" s="79" t="n">
        <v>33853</v>
      </c>
      <c r="K318" s="80" t="n">
        <v>1.05</v>
      </c>
      <c r="L318" s="79" t="n">
        <v>24532</v>
      </c>
      <c r="M318" s="79" t="n">
        <v>100131</v>
      </c>
      <c r="N318" s="80" t="n">
        <v>0.01</v>
      </c>
      <c r="O318" s="80" t="n">
        <v>177.869995117188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172</v>
      </c>
      <c r="B319" s="76" t="s">
        <v>240</v>
      </c>
      <c r="C319" s="77" t="n">
        <v>2026</v>
      </c>
      <c r="D319" s="77" t="n">
        <v>1</v>
      </c>
      <c r="E319" s="78" t="n">
        <v>45777</v>
      </c>
      <c r="F319" s="76" t="s">
        <v>236</v>
      </c>
      <c r="G319" s="76" t="s">
        <v>237</v>
      </c>
      <c r="H319" s="76" t="s">
        <v>238</v>
      </c>
      <c r="I319" s="79" t="n">
        <v>44062</v>
      </c>
      <c r="J319" s="79" t="n">
        <v>26668</v>
      </c>
      <c r="K319" s="80" t="n">
        <v>0.81</v>
      </c>
      <c r="L319" s="79" t="n">
        <v>24611</v>
      </c>
      <c r="M319" s="79" t="n">
        <v>83843</v>
      </c>
      <c r="N319" s="80" t="n">
        <v>0.01</v>
      </c>
      <c r="O319" s="80" t="n">
        <v>108.919998168945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172</v>
      </c>
      <c r="B320" s="76" t="s">
        <v>242</v>
      </c>
      <c r="C320" s="77" t="n">
        <v>2025</v>
      </c>
      <c r="D320" s="77" t="n">
        <v>4</v>
      </c>
      <c r="E320" s="78" t="n">
        <v>45688</v>
      </c>
      <c r="F320" s="76" t="s">
        <v>236</v>
      </c>
      <c r="G320" s="76" t="s">
        <v>237</v>
      </c>
      <c r="H320" s="76" t="s">
        <v>238</v>
      </c>
      <c r="I320" s="79" t="n">
        <v>39331</v>
      </c>
      <c r="J320" s="79" t="n">
        <v>28723</v>
      </c>
      <c r="K320" s="80" t="n">
        <v>0.89</v>
      </c>
      <c r="L320" s="79"/>
      <c r="M320" s="79" t="n">
        <v>79327</v>
      </c>
      <c r="N320" s="80" t="n">
        <v>0.01</v>
      </c>
      <c r="O320" s="80" t="n">
        <v>120.069999694824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172</v>
      </c>
      <c r="B321" s="76" t="s">
        <v>244</v>
      </c>
      <c r="C321" s="77" t="n">
        <v>2025</v>
      </c>
      <c r="D321" s="77" t="n">
        <v>3</v>
      </c>
      <c r="E321" s="78" t="n">
        <v>45596</v>
      </c>
      <c r="F321" s="76" t="s">
        <v>236</v>
      </c>
      <c r="G321" s="76" t="s">
        <v>237</v>
      </c>
      <c r="H321" s="76" t="s">
        <v>238</v>
      </c>
      <c r="I321" s="79" t="n">
        <v>35082</v>
      </c>
      <c r="J321" s="79" t="n">
        <v>26156</v>
      </c>
      <c r="K321" s="80" t="n">
        <v>0.81</v>
      </c>
      <c r="L321" s="79" t="n">
        <v>24774</v>
      </c>
      <c r="M321" s="79" t="n">
        <v>65899</v>
      </c>
      <c r="N321" s="80" t="n">
        <v>0.01</v>
      </c>
      <c r="O321" s="80" t="n">
        <v>132.759994506836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172</v>
      </c>
      <c r="B322" s="76" t="s">
        <v>246</v>
      </c>
      <c r="C322" s="77" t="n">
        <v>2025</v>
      </c>
      <c r="D322" s="77" t="n">
        <v>2</v>
      </c>
      <c r="E322" s="78" t="n">
        <v>45501</v>
      </c>
      <c r="F322" s="76" t="s">
        <v>236</v>
      </c>
      <c r="G322" s="76" t="s">
        <v>237</v>
      </c>
      <c r="H322" s="76" t="s">
        <v>238</v>
      </c>
      <c r="I322" s="79" t="n">
        <v>30040</v>
      </c>
      <c r="J322" s="79" t="n">
        <v>22574</v>
      </c>
      <c r="K322" s="80"/>
      <c r="L322" s="79" t="n">
        <v>24848</v>
      </c>
      <c r="M322" s="79" t="n">
        <v>58157</v>
      </c>
      <c r="N322" s="80" t="n">
        <v>0.01</v>
      </c>
      <c r="O322" s="80" t="n">
        <v>113.059997558594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172</v>
      </c>
      <c r="B323" s="76" t="s">
        <v>248</v>
      </c>
      <c r="C323" s="77" t="n">
        <v>2025</v>
      </c>
      <c r="D323" s="77" t="n">
        <v>1</v>
      </c>
      <c r="E323" s="78" t="n">
        <v>45410</v>
      </c>
      <c r="F323" s="76" t="s">
        <v>236</v>
      </c>
      <c r="G323" s="76" t="s">
        <v>237</v>
      </c>
      <c r="H323" s="76" t="s">
        <v>238</v>
      </c>
      <c r="I323" s="79" t="n">
        <v>26044</v>
      </c>
      <c r="J323" s="79" t="n">
        <v>20406</v>
      </c>
      <c r="K323" s="80"/>
      <c r="L323" s="79" t="n">
        <v>24890</v>
      </c>
      <c r="M323" s="79" t="n">
        <v>49142</v>
      </c>
      <c r="N323" s="80"/>
      <c r="O323" s="80" t="n">
        <v>87.7350006103516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172</v>
      </c>
      <c r="B324" s="76" t="s">
        <v>250</v>
      </c>
      <c r="C324" s="77" t="n">
        <v>2024</v>
      </c>
      <c r="D324" s="77" t="n">
        <v>4</v>
      </c>
      <c r="E324" s="78" t="n">
        <v>45322</v>
      </c>
      <c r="F324" s="76" t="s">
        <v>236</v>
      </c>
      <c r="G324" s="76" t="s">
        <v>237</v>
      </c>
      <c r="H324" s="76" t="s">
        <v>238</v>
      </c>
      <c r="I324" s="79" t="n">
        <v>22103</v>
      </c>
      <c r="J324" s="79" t="n">
        <v>16791</v>
      </c>
      <c r="K324" s="80" t="n">
        <v>0.52</v>
      </c>
      <c r="L324" s="79" t="n">
        <v>24940</v>
      </c>
      <c r="M324" s="79" t="n">
        <v>42978</v>
      </c>
      <c r="N324" s="80" t="n">
        <v>0.004</v>
      </c>
      <c r="O324" s="80" t="n">
        <v>61.5270004272461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172</v>
      </c>
      <c r="B325" s="76" t="s">
        <v>252</v>
      </c>
      <c r="C325" s="77" t="n">
        <v>2024</v>
      </c>
      <c r="D325" s="77" t="n">
        <v>3</v>
      </c>
      <c r="E325" s="78" t="n">
        <v>45230</v>
      </c>
      <c r="F325" s="76" t="s">
        <v>236</v>
      </c>
      <c r="G325" s="76" t="s">
        <v>237</v>
      </c>
      <c r="H325" s="76" t="s">
        <v>238</v>
      </c>
      <c r="I325" s="79" t="n">
        <v>18120</v>
      </c>
      <c r="J325" s="79" t="n">
        <v>13400</v>
      </c>
      <c r="K325" s="80" t="n">
        <v>0.4</v>
      </c>
      <c r="L325" s="79" t="n">
        <v>24897.5</v>
      </c>
      <c r="M325" s="79" t="n">
        <v>33265</v>
      </c>
      <c r="N325" s="80" t="n">
        <v>0.004</v>
      </c>
      <c r="O325" s="80" t="n">
        <v>40.7799987792969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172</v>
      </c>
      <c r="B326" s="76" t="s">
        <v>254</v>
      </c>
      <c r="C326" s="77" t="n">
        <v>2024</v>
      </c>
      <c r="D326" s="77" t="n">
        <v>2</v>
      </c>
      <c r="E326" s="78" t="n">
        <v>45138</v>
      </c>
      <c r="F326" s="76" t="s">
        <v>236</v>
      </c>
      <c r="G326" s="76" t="s">
        <v>237</v>
      </c>
      <c r="H326" s="76" t="s">
        <v>238</v>
      </c>
      <c r="I326" s="79" t="n">
        <v>13507</v>
      </c>
      <c r="J326" s="79" t="n">
        <v>9462</v>
      </c>
      <c r="K326" s="80" t="n">
        <v>0.27</v>
      </c>
      <c r="L326" s="79" t="n">
        <v>24994</v>
      </c>
      <c r="M326" s="79" t="n">
        <v>27501</v>
      </c>
      <c r="N326" s="80" t="n">
        <v>0.004</v>
      </c>
      <c r="O326" s="80" t="n">
        <v>46.7290000915527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172</v>
      </c>
      <c r="B327" s="76" t="s">
        <v>256</v>
      </c>
      <c r="C327" s="77" t="n">
        <v>2024</v>
      </c>
      <c r="D327" s="77" t="n">
        <v>1</v>
      </c>
      <c r="E327" s="78" t="n">
        <v>45046</v>
      </c>
      <c r="F327" s="76" t="s">
        <v>236</v>
      </c>
      <c r="G327" s="76" t="s">
        <v>237</v>
      </c>
      <c r="H327" s="76" t="s">
        <v>238</v>
      </c>
      <c r="I327" s="79" t="n">
        <v>7192</v>
      </c>
      <c r="J327" s="79" t="n">
        <v>4648</v>
      </c>
      <c r="K327" s="80" t="n">
        <v>0.11</v>
      </c>
      <c r="L327" s="79" t="n">
        <v>24900</v>
      </c>
      <c r="M327" s="79" t="n">
        <v>24520</v>
      </c>
      <c r="N327" s="80" t="n">
        <v>0.004</v>
      </c>
      <c r="O327" s="80" t="n">
        <v>27.7490005493164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172</v>
      </c>
      <c r="B328" s="76" t="s">
        <v>258</v>
      </c>
      <c r="C328" s="77" t="n">
        <v>2023</v>
      </c>
      <c r="D328" s="77" t="n">
        <v>4</v>
      </c>
      <c r="E328" s="78" t="n">
        <v>44957</v>
      </c>
      <c r="F328" s="76" t="s">
        <v>236</v>
      </c>
      <c r="G328" s="76" t="s">
        <v>237</v>
      </c>
      <c r="H328" s="76" t="s">
        <v>238</v>
      </c>
      <c r="I328" s="79" t="n">
        <v>6051</v>
      </c>
      <c r="J328" s="79" t="n">
        <v>3833</v>
      </c>
      <c r="K328" s="80" t="n">
        <v>0.09</v>
      </c>
      <c r="L328" s="79"/>
      <c r="M328" s="79" t="n">
        <v>22101</v>
      </c>
      <c r="N328" s="80" t="n">
        <v>0.004</v>
      </c>
      <c r="O328" s="80" t="n">
        <v>19.5370006561279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172</v>
      </c>
      <c r="B329" s="76" t="s">
        <v>260</v>
      </c>
      <c r="C329" s="77" t="n">
        <v>2023</v>
      </c>
      <c r="D329" s="77" t="n">
        <v>3</v>
      </c>
      <c r="E329" s="78" t="n">
        <v>44865</v>
      </c>
      <c r="F329" s="76" t="s">
        <v>236</v>
      </c>
      <c r="G329" s="76" t="s">
        <v>237</v>
      </c>
      <c r="H329" s="76" t="s">
        <v>238</v>
      </c>
      <c r="I329" s="79" t="n">
        <v>5931</v>
      </c>
      <c r="J329" s="79" t="n">
        <v>3177</v>
      </c>
      <c r="K329" s="80" t="n">
        <v>0.06</v>
      </c>
      <c r="L329" s="79" t="n">
        <v>24990</v>
      </c>
      <c r="M329" s="79" t="n">
        <v>21349</v>
      </c>
      <c r="N329" s="80" t="n">
        <v>0.004</v>
      </c>
      <c r="O329" s="80" t="n">
        <v>13.4969997406006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172</v>
      </c>
      <c r="B330" s="76" t="s">
        <v>262</v>
      </c>
      <c r="C330" s="77" t="n">
        <v>2023</v>
      </c>
      <c r="D330" s="77" t="n">
        <v>2</v>
      </c>
      <c r="E330" s="78" t="n">
        <v>44773</v>
      </c>
      <c r="F330" s="76" t="s">
        <v>236</v>
      </c>
      <c r="G330" s="76" t="s">
        <v>237</v>
      </c>
      <c r="H330" s="76" t="s">
        <v>238</v>
      </c>
      <c r="I330" s="79" t="n">
        <v>6704</v>
      </c>
      <c r="J330" s="79" t="n">
        <v>2915</v>
      </c>
      <c r="K330" s="80" t="n">
        <v>0.05</v>
      </c>
      <c r="L330" s="79" t="n">
        <v>25160</v>
      </c>
      <c r="M330" s="79" t="n">
        <v>23851</v>
      </c>
      <c r="N330" s="80" t="n">
        <v>0.004</v>
      </c>
      <c r="O330" s="80" t="n">
        <v>18.1630001068115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172</v>
      </c>
      <c r="B331" s="76" t="s">
        <v>264</v>
      </c>
      <c r="C331" s="77" t="n">
        <v>2023</v>
      </c>
      <c r="D331" s="77" t="n">
        <v>1</v>
      </c>
      <c r="E331" s="78" t="n">
        <v>44681</v>
      </c>
      <c r="F331" s="76" t="s">
        <v>236</v>
      </c>
      <c r="G331" s="76" t="s">
        <v>237</v>
      </c>
      <c r="H331" s="76" t="s">
        <v>238</v>
      </c>
      <c r="I331" s="79" t="n">
        <v>8288</v>
      </c>
      <c r="J331" s="79" t="n">
        <v>5431</v>
      </c>
      <c r="K331" s="80" t="n">
        <v>0.14</v>
      </c>
      <c r="L331" s="79" t="n">
        <v>25370</v>
      </c>
      <c r="M331" s="79" t="n">
        <v>26320</v>
      </c>
      <c r="N331" s="80" t="n">
        <v>0.004</v>
      </c>
      <c r="O331" s="80" t="n">
        <v>18.5470008850098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172</v>
      </c>
      <c r="B332" s="76" t="s">
        <v>266</v>
      </c>
      <c r="C332" s="77" t="n">
        <v>2022</v>
      </c>
      <c r="D332" s="77" t="n">
        <v>4</v>
      </c>
      <c r="E332" s="78" t="n">
        <v>44592</v>
      </c>
      <c r="F332" s="76" t="s">
        <v>236</v>
      </c>
      <c r="G332" s="76" t="s">
        <v>237</v>
      </c>
      <c r="H332" s="76" t="s">
        <v>238</v>
      </c>
      <c r="I332" s="79" t="n">
        <v>7643</v>
      </c>
      <c r="J332" s="79" t="n">
        <v>4999</v>
      </c>
      <c r="K332" s="80" t="n">
        <v>0.13</v>
      </c>
      <c r="L332" s="79"/>
      <c r="M332" s="79" t="n">
        <v>26612</v>
      </c>
      <c r="N332" s="80" t="n">
        <v>0.004</v>
      </c>
      <c r="O332" s="80" t="n">
        <v>24.4860000610352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172</v>
      </c>
      <c r="B333" s="76" t="s">
        <v>268</v>
      </c>
      <c r="C333" s="77" t="n">
        <v>2022</v>
      </c>
      <c r="D333" s="77" t="n">
        <v>3</v>
      </c>
      <c r="E333" s="78" t="n">
        <v>44500</v>
      </c>
      <c r="F333" s="76" t="s">
        <v>236</v>
      </c>
      <c r="G333" s="76" t="s">
        <v>237</v>
      </c>
      <c r="H333" s="76" t="s">
        <v>238</v>
      </c>
      <c r="I333" s="79" t="n">
        <v>7103</v>
      </c>
      <c r="J333" s="79" t="n">
        <v>4631</v>
      </c>
      <c r="K333" s="80" t="n">
        <v>0.12</v>
      </c>
      <c r="L333" s="79" t="n">
        <v>25380</v>
      </c>
      <c r="M333" s="79" t="n">
        <v>23798</v>
      </c>
      <c r="N333" s="80" t="n">
        <v>0.004</v>
      </c>
      <c r="O333" s="80" t="n">
        <v>25.5669994354248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172</v>
      </c>
      <c r="B334" s="76" t="s">
        <v>270</v>
      </c>
      <c r="C334" s="77" t="n">
        <v>2022</v>
      </c>
      <c r="D334" s="77" t="n">
        <v>2</v>
      </c>
      <c r="E334" s="78" t="n">
        <v>44408</v>
      </c>
      <c r="F334" s="76" t="s">
        <v>236</v>
      </c>
      <c r="G334" s="76" t="s">
        <v>237</v>
      </c>
      <c r="H334" s="76" t="s">
        <v>238</v>
      </c>
      <c r="I334" s="79" t="n">
        <v>6507</v>
      </c>
      <c r="J334" s="79" t="n">
        <v>4215</v>
      </c>
      <c r="K334" s="80" t="n">
        <v>0.1</v>
      </c>
      <c r="L334" s="79" t="n">
        <v>25320</v>
      </c>
      <c r="M334" s="79" t="n">
        <v>21147</v>
      </c>
      <c r="N334" s="80" t="n">
        <v>0.004</v>
      </c>
      <c r="O334" s="80" t="n">
        <v>19.4990005493164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172</v>
      </c>
      <c r="B335" s="76" t="s">
        <v>272</v>
      </c>
      <c r="C335" s="77" t="n">
        <v>2022</v>
      </c>
      <c r="D335" s="77" t="n">
        <v>1</v>
      </c>
      <c r="E335" s="78" t="n">
        <v>44316</v>
      </c>
      <c r="F335" s="76" t="s">
        <v>236</v>
      </c>
      <c r="G335" s="76" t="s">
        <v>237</v>
      </c>
      <c r="H335" s="76" t="s">
        <v>238</v>
      </c>
      <c r="I335" s="79" t="n">
        <v>5661</v>
      </c>
      <c r="J335" s="79" t="n">
        <v>3629</v>
      </c>
      <c r="K335" s="80" t="n">
        <v>0.09</v>
      </c>
      <c r="L335" s="79" t="n">
        <v>25280</v>
      </c>
      <c r="M335" s="79" t="n">
        <v>18774</v>
      </c>
      <c r="N335" s="80" t="n">
        <v>0.004</v>
      </c>
      <c r="O335" s="80" t="n">
        <v>15.0094995498657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172</v>
      </c>
      <c r="B336" s="76" t="s">
        <v>274</v>
      </c>
      <c r="C336" s="77" t="n">
        <v>2021</v>
      </c>
      <c r="D336" s="77" t="n">
        <v>4</v>
      </c>
      <c r="E336" s="78" t="n">
        <v>44227</v>
      </c>
      <c r="F336" s="76" t="s">
        <v>236</v>
      </c>
      <c r="G336" s="76" t="s">
        <v>237</v>
      </c>
      <c r="H336" s="76" t="s">
        <v>238</v>
      </c>
      <c r="I336" s="79" t="n">
        <v>5003</v>
      </c>
      <c r="J336" s="79" t="n">
        <v>3156</v>
      </c>
      <c r="K336" s="80" t="n">
        <v>0.08</v>
      </c>
      <c r="L336" s="79"/>
      <c r="M336" s="79" t="n">
        <v>16893</v>
      </c>
      <c r="N336" s="80" t="n">
        <v>0.004</v>
      </c>
      <c r="O336" s="80" t="n">
        <v>12.9897499084473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172</v>
      </c>
      <c r="B337" s="76" t="s">
        <v>276</v>
      </c>
      <c r="C337" s="77" t="n">
        <v>2021</v>
      </c>
      <c r="D337" s="77" t="n">
        <v>3</v>
      </c>
      <c r="E337" s="78" t="n">
        <v>44135</v>
      </c>
      <c r="F337" s="76" t="s">
        <v>236</v>
      </c>
      <c r="G337" s="76" t="s">
        <v>237</v>
      </c>
      <c r="H337" s="76" t="s">
        <v>238</v>
      </c>
      <c r="I337" s="79" t="n">
        <v>4726</v>
      </c>
      <c r="J337" s="79" t="n">
        <v>2960</v>
      </c>
      <c r="K337" s="80" t="n">
        <v>0.07</v>
      </c>
      <c r="L337" s="79" t="n">
        <v>25200</v>
      </c>
      <c r="M337" s="79" t="n">
        <v>15334</v>
      </c>
      <c r="N337" s="80" t="n">
        <v>0.004</v>
      </c>
      <c r="O337" s="80" t="n">
        <v>12.5340003967285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278</v>
      </c>
      <c r="C338" s="77" t="n">
        <v>2021</v>
      </c>
      <c r="D338" s="77" t="n">
        <v>2</v>
      </c>
      <c r="E338" s="78" t="n">
        <v>44043</v>
      </c>
      <c r="F338" s="76" t="s">
        <v>236</v>
      </c>
      <c r="G338" s="76" t="s">
        <v>237</v>
      </c>
      <c r="H338" s="76" t="s">
        <v>238</v>
      </c>
      <c r="I338" s="79" t="n">
        <v>3866</v>
      </c>
      <c r="J338" s="79" t="n">
        <v>2275</v>
      </c>
      <c r="K338" s="80" t="n">
        <v>0.05</v>
      </c>
      <c r="L338" s="79" t="n">
        <v>25040</v>
      </c>
      <c r="M338" s="79" t="n">
        <v>13914</v>
      </c>
      <c r="N338" s="80"/>
      <c r="O338" s="80" t="n">
        <v>10.6147499084473</v>
      </c>
      <c r="P338" s="47" t="n">
        <v>25</v>
      </c>
      <c r="Q338" s="66" t="s">
        <v>602</v>
      </c>
    </row>
    <row r="339" customFormat="false" ht="15" hidden="false" customHeight="false" outlineLevel="0" collapsed="false">
      <c r="A339" s="76" t="s">
        <v>205</v>
      </c>
      <c r="B339" s="76" t="s">
        <v>383</v>
      </c>
      <c r="C339" s="77" t="n">
        <v>2027</v>
      </c>
      <c r="D339" s="77" t="n">
        <v>2</v>
      </c>
      <c r="E339" s="78" t="n">
        <v>46234</v>
      </c>
      <c r="F339" s="76" t="s">
        <v>236</v>
      </c>
      <c r="G339" s="76" t="s">
        <v>237</v>
      </c>
      <c r="H339" s="76" t="s">
        <v>238</v>
      </c>
      <c r="I339" s="79" t="n">
        <v>805</v>
      </c>
      <c r="J339" s="79" t="n">
        <v>641</v>
      </c>
      <c r="K339" s="80" t="n">
        <v>1.05</v>
      </c>
      <c r="L339" s="79" t="n">
        <v>178.808</v>
      </c>
      <c r="M339" s="79" t="n">
        <v>6973</v>
      </c>
      <c r="N339" s="80"/>
      <c r="O339" s="80" t="n">
        <v>141.929992675781</v>
      </c>
      <c r="P339" s="47" t="n">
        <v>1</v>
      </c>
      <c r="Q339" s="66" t="s">
        <v>603</v>
      </c>
    </row>
    <row r="340" customFormat="false" ht="15" hidden="false" customHeight="false" outlineLevel="0" collapsed="false">
      <c r="A340" s="76" t="s">
        <v>205</v>
      </c>
      <c r="B340" s="76" t="s">
        <v>385</v>
      </c>
      <c r="C340" s="77" t="n">
        <v>2027</v>
      </c>
      <c r="D340" s="77" t="n">
        <v>1</v>
      </c>
      <c r="E340" s="78" t="n">
        <v>46142</v>
      </c>
      <c r="F340" s="76" t="s">
        <v>236</v>
      </c>
      <c r="G340" s="76" t="s">
        <v>237</v>
      </c>
      <c r="H340" s="76" t="s">
        <v>238</v>
      </c>
      <c r="I340" s="79" t="n">
        <v>765</v>
      </c>
      <c r="J340" s="79" t="n">
        <v>595</v>
      </c>
      <c r="K340" s="80" t="n">
        <v>0.91</v>
      </c>
      <c r="L340" s="79" t="n">
        <v>177.699</v>
      </c>
      <c r="M340" s="79" t="n">
        <v>6899</v>
      </c>
      <c r="N340" s="80"/>
      <c r="O340" s="80" t="n">
        <v>73.6500015258789</v>
      </c>
      <c r="P340" s="47" t="n">
        <v>2</v>
      </c>
      <c r="Q340" s="66" t="s">
        <v>604</v>
      </c>
    </row>
    <row r="341" customFormat="false" ht="15" hidden="false" customHeight="false" outlineLevel="0" collapsed="false">
      <c r="A341" s="76" t="s">
        <v>205</v>
      </c>
      <c r="B341" s="76" t="s">
        <v>387</v>
      </c>
      <c r="C341" s="77" t="n">
        <v>2026</v>
      </c>
      <c r="D341" s="77" t="n">
        <v>4</v>
      </c>
      <c r="E341" s="78" t="n">
        <v>46053</v>
      </c>
      <c r="F341" s="76" t="s">
        <v>236</v>
      </c>
      <c r="G341" s="76" t="s">
        <v>237</v>
      </c>
      <c r="H341" s="76" t="s">
        <v>238</v>
      </c>
      <c r="I341" s="79" t="n">
        <v>761</v>
      </c>
      <c r="J341" s="79" t="n">
        <v>593</v>
      </c>
      <c r="K341" s="80" t="n">
        <v>0.9</v>
      </c>
      <c r="L341" s="79" t="n">
        <v>180.45</v>
      </c>
      <c r="M341" s="79" t="n">
        <v>6999</v>
      </c>
      <c r="N341" s="80"/>
      <c r="O341" s="80" t="n">
        <v>84.4800033569336</v>
      </c>
      <c r="P341" s="47" t="n">
        <v>3</v>
      </c>
      <c r="Q341" s="66" t="s">
        <v>605</v>
      </c>
    </row>
    <row r="342" customFormat="false" ht="15" hidden="false" customHeight="false" outlineLevel="0" collapsed="false">
      <c r="A342" s="76" t="s">
        <v>205</v>
      </c>
      <c r="B342" s="76" t="s">
        <v>286</v>
      </c>
      <c r="C342" s="77" t="n">
        <v>2026</v>
      </c>
      <c r="D342" s="77" t="n">
        <v>3</v>
      </c>
      <c r="E342" s="78" t="n">
        <v>45961</v>
      </c>
      <c r="F342" s="76" t="s">
        <v>236</v>
      </c>
      <c r="G342" s="76" t="s">
        <v>237</v>
      </c>
      <c r="H342" s="76" t="s">
        <v>238</v>
      </c>
      <c r="I342" s="79" t="n">
        <v>742</v>
      </c>
      <c r="J342" s="79" t="n">
        <v>572</v>
      </c>
      <c r="K342" s="80" t="n">
        <v>0.82</v>
      </c>
      <c r="L342" s="79" t="n">
        <v>178.402</v>
      </c>
      <c r="M342" s="79" t="n">
        <v>6893</v>
      </c>
      <c r="N342" s="80"/>
      <c r="O342" s="80" t="n">
        <v>91.5299987792969</v>
      </c>
      <c r="P342" s="47" t="n">
        <v>4</v>
      </c>
      <c r="Q342" s="66" t="s">
        <v>606</v>
      </c>
    </row>
    <row r="343" customFormat="false" ht="15" hidden="false" customHeight="false" outlineLevel="0" collapsed="false">
      <c r="A343" s="76" t="s">
        <v>205</v>
      </c>
      <c r="B343" s="76" t="s">
        <v>235</v>
      </c>
      <c r="C343" s="77" t="n">
        <v>2026</v>
      </c>
      <c r="D343" s="77" t="n">
        <v>2</v>
      </c>
      <c r="E343" s="78" t="n">
        <v>45869</v>
      </c>
      <c r="F343" s="76" t="s">
        <v>236</v>
      </c>
      <c r="G343" s="76" t="s">
        <v>237</v>
      </c>
      <c r="H343" s="76" t="s">
        <v>238</v>
      </c>
      <c r="I343" s="79" t="n">
        <v>728</v>
      </c>
      <c r="J343" s="79" t="n">
        <v>560</v>
      </c>
      <c r="K343" s="80" t="n">
        <v>0.91</v>
      </c>
      <c r="L343" s="79" t="n">
        <v>180.966</v>
      </c>
      <c r="M343" s="79" t="n">
        <v>6754</v>
      </c>
      <c r="N343" s="80"/>
      <c r="O343" s="80" t="n">
        <v>97.8000030517578</v>
      </c>
      <c r="P343" s="47" t="n">
        <v>5</v>
      </c>
      <c r="Q343" s="66" t="s">
        <v>607</v>
      </c>
    </row>
    <row r="344" customFormat="false" ht="15" hidden="false" customHeight="false" outlineLevel="0" collapsed="false">
      <c r="A344" s="76" t="s">
        <v>205</v>
      </c>
      <c r="B344" s="76" t="s">
        <v>240</v>
      </c>
      <c r="C344" s="77" t="n">
        <v>2026</v>
      </c>
      <c r="D344" s="77" t="n">
        <v>1</v>
      </c>
      <c r="E344" s="78" t="n">
        <v>45777</v>
      </c>
      <c r="F344" s="76" t="s">
        <v>236</v>
      </c>
      <c r="G344" s="76" t="s">
        <v>237</v>
      </c>
      <c r="H344" s="76" t="s">
        <v>238</v>
      </c>
      <c r="I344" s="79" t="n">
        <v>688</v>
      </c>
      <c r="J344" s="79" t="n">
        <v>533</v>
      </c>
      <c r="K344" s="80" t="n">
        <v>0.86</v>
      </c>
      <c r="L344" s="79" t="n">
        <v>178.65825</v>
      </c>
      <c r="M344" s="79" t="n">
        <v>6567</v>
      </c>
      <c r="N344" s="80"/>
      <c r="O344" s="80" t="n">
        <v>112.160003662109</v>
      </c>
      <c r="P344" s="47" t="n">
        <v>6</v>
      </c>
      <c r="Q344" s="66" t="s">
        <v>608</v>
      </c>
    </row>
    <row r="345" customFormat="false" ht="15" hidden="false" customHeight="false" outlineLevel="0" collapsed="false">
      <c r="A345" s="76" t="s">
        <v>205</v>
      </c>
      <c r="B345" s="76" t="s">
        <v>242</v>
      </c>
      <c r="C345" s="77" t="n">
        <v>2025</v>
      </c>
      <c r="D345" s="77" t="n">
        <v>4</v>
      </c>
      <c r="E345" s="78" t="n">
        <v>45688</v>
      </c>
      <c r="F345" s="76" t="s">
        <v>236</v>
      </c>
      <c r="G345" s="76" t="s">
        <v>237</v>
      </c>
      <c r="H345" s="76" t="s">
        <v>238</v>
      </c>
      <c r="I345" s="79" t="n">
        <v>682</v>
      </c>
      <c r="J345" s="79" t="n">
        <v>524</v>
      </c>
      <c r="K345" s="80" t="n">
        <v>0.78</v>
      </c>
      <c r="L345" s="79" t="n">
        <v>175.086</v>
      </c>
      <c r="M345" s="79" t="n">
        <v>6405</v>
      </c>
      <c r="N345" s="80"/>
      <c r="O345" s="80" t="n">
        <v>94.2200012207031</v>
      </c>
      <c r="P345" s="47" t="n">
        <v>7</v>
      </c>
      <c r="Q345" s="66" t="s">
        <v>609</v>
      </c>
    </row>
    <row r="346" customFormat="false" ht="15" hidden="false" customHeight="false" outlineLevel="0" collapsed="false">
      <c r="A346" s="76" t="s">
        <v>205</v>
      </c>
      <c r="B346" s="76" t="s">
        <v>244</v>
      </c>
      <c r="C346" s="77" t="n">
        <v>2025</v>
      </c>
      <c r="D346" s="77" t="n">
        <v>3</v>
      </c>
      <c r="E346" s="78" t="n">
        <v>45596</v>
      </c>
      <c r="F346" s="76" t="s">
        <v>236</v>
      </c>
      <c r="G346" s="76" t="s">
        <v>237</v>
      </c>
      <c r="H346" s="76" t="s">
        <v>238</v>
      </c>
      <c r="I346" s="79" t="n">
        <v>665</v>
      </c>
      <c r="J346" s="79" t="n">
        <v>508</v>
      </c>
      <c r="K346" s="80" t="n">
        <v>0.67</v>
      </c>
      <c r="L346" s="79" t="n">
        <v>168.833</v>
      </c>
      <c r="M346" s="79" t="n">
        <v>6265</v>
      </c>
      <c r="N346" s="80"/>
      <c r="O346" s="80" t="n">
        <v>71.8899993896484</v>
      </c>
      <c r="P346" s="47" t="n">
        <v>8</v>
      </c>
      <c r="Q346" s="66" t="s">
        <v>610</v>
      </c>
    </row>
    <row r="347" customFormat="false" ht="15" hidden="false" customHeight="false" outlineLevel="0" collapsed="false">
      <c r="A347" s="76" t="s">
        <v>205</v>
      </c>
      <c r="B347" s="76" t="s">
        <v>246</v>
      </c>
      <c r="C347" s="77" t="n">
        <v>2025</v>
      </c>
      <c r="D347" s="77" t="n">
        <v>2</v>
      </c>
      <c r="E347" s="78" t="n">
        <v>45504</v>
      </c>
      <c r="F347" s="76" t="s">
        <v>236</v>
      </c>
      <c r="G347" s="76" t="s">
        <v>237</v>
      </c>
      <c r="H347" s="76" t="s">
        <v>238</v>
      </c>
      <c r="I347" s="79" t="n">
        <v>646</v>
      </c>
      <c r="J347" s="79" t="n">
        <v>491</v>
      </c>
      <c r="K347" s="80" t="n">
        <v>0.72</v>
      </c>
      <c r="L347" s="79" t="n">
        <v>166.631</v>
      </c>
      <c r="M347" s="79" t="n">
        <v>6133</v>
      </c>
      <c r="N347" s="80"/>
      <c r="O347" s="80" t="n">
        <v>93.9400024414062</v>
      </c>
      <c r="P347" s="47" t="n">
        <v>9</v>
      </c>
      <c r="Q347" s="66" t="s">
        <v>611</v>
      </c>
    </row>
    <row r="348" customFormat="false" ht="15" hidden="false" customHeight="false" outlineLevel="0" collapsed="false">
      <c r="A348" s="76" t="s">
        <v>205</v>
      </c>
      <c r="B348" s="76" t="s">
        <v>248</v>
      </c>
      <c r="C348" s="77" t="n">
        <v>2025</v>
      </c>
      <c r="D348" s="77" t="n">
        <v>1</v>
      </c>
      <c r="E348" s="78" t="n">
        <v>45412</v>
      </c>
      <c r="F348" s="76" t="s">
        <v>236</v>
      </c>
      <c r="G348" s="76" t="s">
        <v>237</v>
      </c>
      <c r="H348" s="76" t="s">
        <v>238</v>
      </c>
      <c r="I348" s="79" t="n">
        <v>617</v>
      </c>
      <c r="J348" s="79" t="n">
        <v>469</v>
      </c>
      <c r="K348" s="80" t="n">
        <v>0.65</v>
      </c>
      <c r="L348" s="79" t="n">
        <v>165.1695</v>
      </c>
      <c r="M348" s="79" t="n">
        <v>5953</v>
      </c>
      <c r="N348" s="80"/>
      <c r="O348" s="80" t="n">
        <v>92.9800033569336</v>
      </c>
      <c r="P348" s="47" t="n">
        <v>10</v>
      </c>
      <c r="Q348" s="66" t="s">
        <v>612</v>
      </c>
    </row>
    <row r="349" customFormat="false" ht="15" hidden="false" customHeight="false" outlineLevel="0" collapsed="false">
      <c r="A349" s="76" t="s">
        <v>205</v>
      </c>
      <c r="B349" s="76" t="s">
        <v>250</v>
      </c>
      <c r="C349" s="77" t="n">
        <v>2024</v>
      </c>
      <c r="D349" s="77" t="n">
        <v>4</v>
      </c>
      <c r="E349" s="78" t="n">
        <v>45322</v>
      </c>
      <c r="F349" s="76" t="s">
        <v>236</v>
      </c>
      <c r="G349" s="76" t="s">
        <v>237</v>
      </c>
      <c r="H349" s="76" t="s">
        <v>238</v>
      </c>
      <c r="I349" s="79" t="n">
        <v>605</v>
      </c>
      <c r="J349" s="79" t="n">
        <v>460</v>
      </c>
      <c r="K349" s="80" t="n">
        <v>0.63</v>
      </c>
      <c r="L349" s="79" t="n">
        <v>163.634</v>
      </c>
      <c r="M349" s="79" t="n">
        <v>5888</v>
      </c>
      <c r="N349" s="80"/>
      <c r="O349" s="80" t="n">
        <v>82.6500015258789</v>
      </c>
      <c r="P349" s="47" t="n">
        <v>11</v>
      </c>
      <c r="Q349" s="66" t="s">
        <v>613</v>
      </c>
    </row>
    <row r="350" customFormat="false" ht="15" hidden="false" customHeight="false" outlineLevel="0" collapsed="false">
      <c r="A350" s="76" t="s">
        <v>205</v>
      </c>
      <c r="B350" s="76" t="s">
        <v>252</v>
      </c>
      <c r="C350" s="77" t="n">
        <v>2024</v>
      </c>
      <c r="D350" s="77" t="n">
        <v>3</v>
      </c>
      <c r="E350" s="78" t="n">
        <v>45230</v>
      </c>
      <c r="F350" s="76" t="s">
        <v>236</v>
      </c>
      <c r="G350" s="76" t="s">
        <v>237</v>
      </c>
      <c r="H350" s="76" t="s">
        <v>238</v>
      </c>
      <c r="I350" s="79" t="n">
        <v>584</v>
      </c>
      <c r="J350" s="79" t="n">
        <v>439</v>
      </c>
      <c r="K350" s="80" t="n">
        <v>0.44</v>
      </c>
      <c r="L350" s="79" t="n">
        <v>162.142</v>
      </c>
      <c r="M350" s="79" t="n">
        <v>5730</v>
      </c>
      <c r="N350" s="80"/>
      <c r="O350" s="80" t="n">
        <v>67.4100036621094</v>
      </c>
      <c r="P350" s="47" t="n">
        <v>12</v>
      </c>
      <c r="Q350" s="66" t="s">
        <v>614</v>
      </c>
    </row>
    <row r="351" customFormat="false" ht="15" hidden="false" customHeight="false" outlineLevel="0" collapsed="false">
      <c r="A351" s="76" t="s">
        <v>205</v>
      </c>
      <c r="B351" s="76" t="s">
        <v>254</v>
      </c>
      <c r="C351" s="77" t="n">
        <v>2024</v>
      </c>
      <c r="D351" s="77" t="n">
        <v>2</v>
      </c>
      <c r="E351" s="78" t="n">
        <v>45138</v>
      </c>
      <c r="F351" s="76" t="s">
        <v>236</v>
      </c>
      <c r="G351" s="76" t="s">
        <v>237</v>
      </c>
      <c r="H351" s="76" t="s">
        <v>238</v>
      </c>
      <c r="I351" s="79" t="n">
        <v>556</v>
      </c>
      <c r="J351" s="79" t="n">
        <v>407</v>
      </c>
      <c r="K351" s="80" t="n">
        <v>0.31</v>
      </c>
      <c r="L351" s="79" t="n">
        <v>162.755</v>
      </c>
      <c r="M351" s="79" t="n">
        <v>5640</v>
      </c>
      <c r="N351" s="80"/>
      <c r="O351" s="80" t="n">
        <v>76.8600006103516</v>
      </c>
      <c r="P351" s="47" t="n">
        <v>13</v>
      </c>
      <c r="Q351" s="66" t="s">
        <v>615</v>
      </c>
    </row>
    <row r="352" customFormat="false" ht="15" hidden="false" customHeight="false" outlineLevel="0" collapsed="false">
      <c r="A352" s="76" t="s">
        <v>205</v>
      </c>
      <c r="B352" s="76" t="s">
        <v>256</v>
      </c>
      <c r="C352" s="77" t="n">
        <v>2024</v>
      </c>
      <c r="D352" s="77" t="n">
        <v>1</v>
      </c>
      <c r="E352" s="78" t="n">
        <v>45046</v>
      </c>
      <c r="F352" s="76" t="s">
        <v>236</v>
      </c>
      <c r="G352" s="76" t="s">
        <v>237</v>
      </c>
      <c r="H352" s="76" t="s">
        <v>238</v>
      </c>
      <c r="I352" s="79" t="n">
        <v>518</v>
      </c>
      <c r="J352" s="79" t="n">
        <v>376</v>
      </c>
      <c r="K352" s="80" t="n">
        <v>0.22</v>
      </c>
      <c r="L352" s="79" t="n">
        <v>161.323</v>
      </c>
      <c r="M352" s="79" t="n">
        <v>5534</v>
      </c>
      <c r="N352" s="80"/>
      <c r="O352" s="80" t="n">
        <v>68.5299987792969</v>
      </c>
      <c r="P352" s="47" t="n">
        <v>14</v>
      </c>
      <c r="Q352" s="66" t="s">
        <v>616</v>
      </c>
    </row>
    <row r="353" customFormat="false" ht="15" hidden="false" customHeight="false" outlineLevel="0" collapsed="false">
      <c r="A353" s="76" t="s">
        <v>205</v>
      </c>
      <c r="B353" s="76" t="s">
        <v>258</v>
      </c>
      <c r="C353" s="77" t="n">
        <v>2023</v>
      </c>
      <c r="D353" s="77" t="n">
        <v>4</v>
      </c>
      <c r="E353" s="78" t="n">
        <v>44957</v>
      </c>
      <c r="F353" s="76" t="s">
        <v>236</v>
      </c>
      <c r="G353" s="76" t="s">
        <v>237</v>
      </c>
      <c r="H353" s="76" t="s">
        <v>238</v>
      </c>
      <c r="I353" s="79" t="n">
        <v>510</v>
      </c>
      <c r="J353" s="79" t="n">
        <v>371</v>
      </c>
      <c r="K353" s="80" t="n">
        <v>0.3</v>
      </c>
      <c r="L353" s="79"/>
      <c r="M353" s="79" t="n">
        <v>5466</v>
      </c>
      <c r="N353" s="80"/>
      <c r="O353" s="80" t="n">
        <v>73.6100006103516</v>
      </c>
      <c r="P353" s="47" t="n">
        <v>15</v>
      </c>
      <c r="Q353" s="66" t="s">
        <v>617</v>
      </c>
    </row>
    <row r="354" customFormat="false" ht="15" hidden="false" customHeight="false" outlineLevel="0" collapsed="false">
      <c r="A354" s="76" t="s">
        <v>205</v>
      </c>
      <c r="B354" s="76" t="s">
        <v>260</v>
      </c>
      <c r="C354" s="77" t="n">
        <v>2023</v>
      </c>
      <c r="D354" s="77" t="n">
        <v>3</v>
      </c>
      <c r="E354" s="78" t="n">
        <v>44865</v>
      </c>
      <c r="F354" s="76" t="s">
        <v>236</v>
      </c>
      <c r="G354" s="76" t="s">
        <v>237</v>
      </c>
      <c r="H354" s="76" t="s">
        <v>238</v>
      </c>
      <c r="I354" s="79" t="n">
        <v>481.042</v>
      </c>
      <c r="J354" s="79" t="n">
        <v>343.389</v>
      </c>
      <c r="K354" s="80"/>
      <c r="L354" s="79" t="n">
        <v>158.708</v>
      </c>
      <c r="M354" s="79" t="n">
        <v>5407.612</v>
      </c>
      <c r="N354" s="80"/>
      <c r="O354" s="80" t="n">
        <v>56.1199989318848</v>
      </c>
      <c r="P354" s="47" t="n">
        <v>16</v>
      </c>
      <c r="Q354" s="66" t="s">
        <v>618</v>
      </c>
    </row>
    <row r="355" customFormat="false" ht="15" hidden="false" customHeight="false" outlineLevel="0" collapsed="false">
      <c r="A355" s="76" t="s">
        <v>205</v>
      </c>
      <c r="B355" s="76" t="s">
        <v>262</v>
      </c>
      <c r="C355" s="77" t="n">
        <v>2023</v>
      </c>
      <c r="D355" s="77" t="n">
        <v>2</v>
      </c>
      <c r="E355" s="78" t="n">
        <v>44773</v>
      </c>
      <c r="F355" s="76" t="s">
        <v>236</v>
      </c>
      <c r="G355" s="76" t="s">
        <v>237</v>
      </c>
      <c r="H355" s="76" t="s">
        <v>238</v>
      </c>
      <c r="I355" s="79" t="n">
        <v>452</v>
      </c>
      <c r="J355" s="79" t="n">
        <v>314</v>
      </c>
      <c r="K355" s="80" t="n">
        <v>-0.1</v>
      </c>
      <c r="L355" s="79" t="n">
        <v>157.4</v>
      </c>
      <c r="M355" s="79" t="n">
        <v>5453.016</v>
      </c>
      <c r="N355" s="80"/>
      <c r="O355" s="80" t="n">
        <v>98.4499969482422</v>
      </c>
      <c r="P355" s="47" t="n">
        <v>17</v>
      </c>
      <c r="Q355" s="66" t="s">
        <v>619</v>
      </c>
    </row>
    <row r="356" customFormat="false" ht="15" hidden="false" customHeight="false" outlineLevel="0" collapsed="false">
      <c r="A356" s="76" t="s">
        <v>205</v>
      </c>
      <c r="B356" s="76" t="s">
        <v>264</v>
      </c>
      <c r="C356" s="77" t="n">
        <v>2023</v>
      </c>
      <c r="D356" s="77" t="n">
        <v>1</v>
      </c>
      <c r="E356" s="78" t="n">
        <v>44681</v>
      </c>
      <c r="F356" s="76" t="s">
        <v>236</v>
      </c>
      <c r="G356" s="76" t="s">
        <v>237</v>
      </c>
      <c r="H356" s="76" t="s">
        <v>238</v>
      </c>
      <c r="I356" s="79" t="n">
        <v>415</v>
      </c>
      <c r="J356" s="79" t="n">
        <v>284</v>
      </c>
      <c r="K356" s="80" t="n">
        <v>-0.27</v>
      </c>
      <c r="L356" s="79" t="n">
        <v>155.875</v>
      </c>
      <c r="M356" s="79" t="n">
        <v>5472.694</v>
      </c>
      <c r="N356" s="80"/>
      <c r="O356" s="80" t="n">
        <v>119.309997558594</v>
      </c>
      <c r="P356" s="47" t="n">
        <v>18</v>
      </c>
      <c r="Q356" s="66" t="s">
        <v>620</v>
      </c>
    </row>
    <row r="357" customFormat="false" ht="15" hidden="false" customHeight="false" outlineLevel="0" collapsed="false">
      <c r="A357" s="76" t="s">
        <v>205</v>
      </c>
      <c r="B357" s="76" t="s">
        <v>266</v>
      </c>
      <c r="C357" s="77" t="n">
        <v>2022</v>
      </c>
      <c r="D357" s="77" t="n">
        <v>4</v>
      </c>
      <c r="E357" s="78" t="n">
        <v>44592</v>
      </c>
      <c r="F357" s="76" t="s">
        <v>236</v>
      </c>
      <c r="G357" s="76" t="s">
        <v>237</v>
      </c>
      <c r="H357" s="76" t="s">
        <v>238</v>
      </c>
      <c r="I357" s="79" t="n">
        <v>383.015</v>
      </c>
      <c r="J357" s="79" t="n">
        <v>263.513</v>
      </c>
      <c r="K357" s="80" t="n">
        <v>-0.18</v>
      </c>
      <c r="L357" s="79"/>
      <c r="M357" s="79" t="n">
        <v>5922</v>
      </c>
      <c r="N357" s="80"/>
      <c r="O357" s="80" t="n">
        <v>197.889999389648</v>
      </c>
      <c r="P357" s="47" t="n">
        <v>19</v>
      </c>
      <c r="Q357" s="66" t="s">
        <v>621</v>
      </c>
    </row>
    <row r="358" customFormat="false" ht="15" hidden="false" customHeight="false" outlineLevel="0" collapsed="false">
      <c r="A358" s="76" t="s">
        <v>205</v>
      </c>
      <c r="B358" s="76" t="s">
        <v>268</v>
      </c>
      <c r="C358" s="77" t="n">
        <v>2022</v>
      </c>
      <c r="D358" s="77" t="n">
        <v>3</v>
      </c>
      <c r="E358" s="78" t="n">
        <v>44500</v>
      </c>
      <c r="F358" s="76" t="s">
        <v>236</v>
      </c>
      <c r="G358" s="76" t="s">
        <v>237</v>
      </c>
      <c r="H358" s="76" t="s">
        <v>238</v>
      </c>
      <c r="I358" s="79" t="n">
        <v>350.68</v>
      </c>
      <c r="J358" s="79" t="n">
        <v>241.006</v>
      </c>
      <c r="K358" s="80" t="n">
        <v>-0.07</v>
      </c>
      <c r="L358" s="79" t="n">
        <v>153.756</v>
      </c>
      <c r="M358" s="79" t="n">
        <v>5984.555</v>
      </c>
      <c r="N358" s="80"/>
      <c r="O358" s="80" t="n">
        <v>247.179992675781</v>
      </c>
      <c r="P358" s="47" t="n">
        <v>20</v>
      </c>
      <c r="Q358" s="66" t="s">
        <v>622</v>
      </c>
    </row>
    <row r="359" customFormat="false" ht="15" hidden="false" customHeight="false" outlineLevel="0" collapsed="false">
      <c r="A359" s="76" t="s">
        <v>205</v>
      </c>
      <c r="B359" s="76" t="s">
        <v>270</v>
      </c>
      <c r="C359" s="77" t="n">
        <v>2022</v>
      </c>
      <c r="D359" s="77" t="n">
        <v>2</v>
      </c>
      <c r="E359" s="78" t="n">
        <v>44408</v>
      </c>
      <c r="F359" s="76" t="s">
        <v>236</v>
      </c>
      <c r="G359" s="76" t="s">
        <v>237</v>
      </c>
      <c r="H359" s="76" t="s">
        <v>238</v>
      </c>
      <c r="I359" s="79" t="n">
        <v>315.5</v>
      </c>
      <c r="J359" s="79" t="n">
        <v>214.394</v>
      </c>
      <c r="K359" s="80" t="n">
        <v>-0.11</v>
      </c>
      <c r="L359" s="79" t="n">
        <v>151.357</v>
      </c>
      <c r="M359" s="79" t="n">
        <v>6042.19</v>
      </c>
      <c r="N359" s="80"/>
      <c r="O359" s="80" t="n">
        <v>247.789993286133</v>
      </c>
      <c r="P359" s="47" t="n">
        <v>21</v>
      </c>
      <c r="Q359" s="66" t="s">
        <v>623</v>
      </c>
    </row>
    <row r="360" customFormat="false" ht="15" hidden="false" customHeight="false" outlineLevel="0" collapsed="false">
      <c r="A360" s="76" t="s">
        <v>205</v>
      </c>
      <c r="B360" s="76" t="s">
        <v>272</v>
      </c>
      <c r="C360" s="77" t="n">
        <v>2022</v>
      </c>
      <c r="D360" s="77" t="n">
        <v>1</v>
      </c>
      <c r="E360" s="78" t="n">
        <v>44316</v>
      </c>
      <c r="F360" s="76" t="s">
        <v>236</v>
      </c>
      <c r="G360" s="76" t="s">
        <v>237</v>
      </c>
      <c r="H360" s="76" t="s">
        <v>238</v>
      </c>
      <c r="I360" s="79" t="n">
        <v>251.006</v>
      </c>
      <c r="J360" s="79" t="n">
        <v>184.883</v>
      </c>
      <c r="K360" s="80" t="n">
        <v>-0.1</v>
      </c>
      <c r="L360" s="79" t="n">
        <v>131.777</v>
      </c>
      <c r="M360" s="79" t="n">
        <v>682.778</v>
      </c>
      <c r="N360" s="80"/>
      <c r="O360" s="80" t="n">
        <v>269.700012207031</v>
      </c>
      <c r="P360" s="47" t="n">
        <v>22</v>
      </c>
      <c r="Q360" s="66" t="s">
        <v>624</v>
      </c>
    </row>
    <row r="361" customFormat="false" ht="15" hidden="false" customHeight="false" outlineLevel="0" collapsed="false">
      <c r="A361" s="76" t="s">
        <v>205</v>
      </c>
      <c r="B361" s="76" t="s">
        <v>274</v>
      </c>
      <c r="C361" s="77" t="n">
        <v>2021</v>
      </c>
      <c r="D361" s="77" t="n">
        <v>4</v>
      </c>
      <c r="E361" s="78" t="n">
        <v>44227</v>
      </c>
      <c r="F361" s="76" t="s">
        <v>236</v>
      </c>
      <c r="G361" s="76" t="s">
        <v>237</v>
      </c>
      <c r="H361" s="76" t="s">
        <v>238</v>
      </c>
      <c r="I361" s="79" t="n">
        <v>234.74</v>
      </c>
      <c r="J361" s="79" t="n">
        <v>173.6</v>
      </c>
      <c r="K361" s="80" t="n">
        <v>0.06</v>
      </c>
      <c r="L361" s="79"/>
      <c r="M361" s="79" t="n">
        <v>694.043</v>
      </c>
      <c r="N361" s="80"/>
      <c r="O361" s="80" t="n">
        <v>259.010009765625</v>
      </c>
      <c r="P361" s="47" t="n">
        <v>23</v>
      </c>
      <c r="Q361" s="66" t="s">
        <v>625</v>
      </c>
    </row>
    <row r="362" customFormat="false" ht="15" hidden="false" customHeight="false" outlineLevel="0" collapsed="false">
      <c r="A362" s="76" t="s">
        <v>205</v>
      </c>
      <c r="B362" s="76" t="s">
        <v>276</v>
      </c>
      <c r="C362" s="77" t="n">
        <v>2021</v>
      </c>
      <c r="D362" s="77" t="n">
        <v>3</v>
      </c>
      <c r="E362" s="78" t="n">
        <v>44135</v>
      </c>
      <c r="F362" s="76" t="s">
        <v>236</v>
      </c>
      <c r="G362" s="76" t="s">
        <v>237</v>
      </c>
      <c r="H362" s="76" t="s">
        <v>238</v>
      </c>
      <c r="I362" s="79" t="n">
        <v>217.379</v>
      </c>
      <c r="J362" s="79" t="n">
        <v>160.471</v>
      </c>
      <c r="K362" s="80" t="n">
        <v>0.04</v>
      </c>
      <c r="L362" s="79" t="n">
        <v>128.813</v>
      </c>
      <c r="M362" s="79" t="n">
        <v>680.648</v>
      </c>
      <c r="N362" s="80"/>
      <c r="O362" s="80" t="n">
        <v>209.830001831055</v>
      </c>
      <c r="P362" s="47" t="n">
        <v>24</v>
      </c>
      <c r="Q362" s="66" t="s">
        <v>626</v>
      </c>
    </row>
    <row r="363" customFormat="false" ht="15" hidden="false" customHeight="false" outlineLevel="0" collapsed="false">
      <c r="A363" s="76" t="s">
        <v>208</v>
      </c>
      <c r="B363" s="76" t="s">
        <v>235</v>
      </c>
      <c r="C363" s="77" t="n">
        <v>2026</v>
      </c>
      <c r="D363" s="77" t="n">
        <v>2</v>
      </c>
      <c r="E363" s="78" t="n">
        <v>46203</v>
      </c>
      <c r="F363" s="76" t="s">
        <v>236</v>
      </c>
      <c r="G363" s="76" t="s">
        <v>237</v>
      </c>
      <c r="H363" s="76" t="s">
        <v>238</v>
      </c>
      <c r="I363" s="79" t="n">
        <v>1935.464</v>
      </c>
      <c r="J363" s="79" t="n">
        <v>1638.594</v>
      </c>
      <c r="K363" s="80" t="n">
        <v>0.41</v>
      </c>
      <c r="L363" s="79" t="n">
        <v>2568.694</v>
      </c>
      <c r="M363" s="79" t="n">
        <v>9774.194</v>
      </c>
      <c r="N363" s="80"/>
      <c r="O363" s="80" t="n">
        <v>116.669998168945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208</v>
      </c>
      <c r="B364" s="76" t="s">
        <v>240</v>
      </c>
      <c r="C364" s="77" t="n">
        <v>2026</v>
      </c>
      <c r="D364" s="77" t="n">
        <v>1</v>
      </c>
      <c r="E364" s="78" t="n">
        <v>46112</v>
      </c>
      <c r="F364" s="76" t="s">
        <v>236</v>
      </c>
      <c r="G364" s="76" t="s">
        <v>237</v>
      </c>
      <c r="H364" s="76" t="s">
        <v>238</v>
      </c>
      <c r="I364" s="79" t="n">
        <v>1632.583</v>
      </c>
      <c r="J364" s="79" t="n">
        <v>1416.785</v>
      </c>
      <c r="K364" s="80" t="n">
        <v>0.33</v>
      </c>
      <c r="L364" s="79" t="n">
        <v>2570.924</v>
      </c>
      <c r="M364" s="79" t="n">
        <v>8449.663</v>
      </c>
      <c r="N364" s="80"/>
      <c r="O364" s="80" t="n">
        <v>146.279998779297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208</v>
      </c>
      <c r="B365" s="76" t="s">
        <v>242</v>
      </c>
      <c r="C365" s="77" t="n">
        <v>2025</v>
      </c>
      <c r="D365" s="77" t="n">
        <v>4</v>
      </c>
      <c r="E365" s="78" t="n">
        <v>46022</v>
      </c>
      <c r="F365" s="76" t="s">
        <v>236</v>
      </c>
      <c r="G365" s="76" t="s">
        <v>237</v>
      </c>
      <c r="H365" s="76" t="s">
        <v>238</v>
      </c>
      <c r="I365" s="79" t="n">
        <v>1406.802</v>
      </c>
      <c r="J365" s="79" t="n">
        <v>1190.836</v>
      </c>
      <c r="K365" s="80" t="n">
        <v>0.25</v>
      </c>
      <c r="L365" s="79" t="n">
        <v>2573.497</v>
      </c>
      <c r="M365" s="79" t="n">
        <v>7387.268</v>
      </c>
      <c r="N365" s="80"/>
      <c r="O365" s="80" t="n">
        <v>177.75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208</v>
      </c>
      <c r="B366" s="76" t="s">
        <v>244</v>
      </c>
      <c r="C366" s="77" t="n">
        <v>2025</v>
      </c>
      <c r="D366" s="77" t="n">
        <v>3</v>
      </c>
      <c r="E366" s="78" t="n">
        <v>45930</v>
      </c>
      <c r="F366" s="76" t="s">
        <v>236</v>
      </c>
      <c r="G366" s="76" t="s">
        <v>237</v>
      </c>
      <c r="H366" s="76" t="s">
        <v>238</v>
      </c>
      <c r="I366" s="79" t="n">
        <v>1181.092</v>
      </c>
      <c r="J366" s="79" t="n">
        <v>973.785</v>
      </c>
      <c r="K366" s="80" t="n">
        <v>0.21</v>
      </c>
      <c r="L366" s="79" t="n">
        <v>2567.309786</v>
      </c>
      <c r="M366" s="79" t="n">
        <v>6590.457</v>
      </c>
      <c r="N366" s="80"/>
      <c r="O366" s="80" t="n">
        <v>182.419998168945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208</v>
      </c>
      <c r="B367" s="76" t="s">
        <v>246</v>
      </c>
      <c r="C367" s="77" t="n">
        <v>2025</v>
      </c>
      <c r="D367" s="77" t="n">
        <v>2</v>
      </c>
      <c r="E367" s="78" t="n">
        <v>45838</v>
      </c>
      <c r="F367" s="76" t="s">
        <v>236</v>
      </c>
      <c r="G367" s="76" t="s">
        <v>237</v>
      </c>
      <c r="H367" s="76" t="s">
        <v>238</v>
      </c>
      <c r="I367" s="79" t="n">
        <v>1003.697</v>
      </c>
      <c r="J367" s="79" t="n">
        <v>810.763</v>
      </c>
      <c r="K367" s="80" t="n">
        <v>0.16</v>
      </c>
      <c r="L367" s="79" t="n">
        <v>2559.176657</v>
      </c>
      <c r="M367" s="79" t="n">
        <v>5928.901</v>
      </c>
      <c r="N367" s="80"/>
      <c r="O367" s="80" t="n">
        <v>136.320007324219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208</v>
      </c>
      <c r="B368" s="76" t="s">
        <v>248</v>
      </c>
      <c r="C368" s="77" t="n">
        <v>2025</v>
      </c>
      <c r="D368" s="77" t="n">
        <v>1</v>
      </c>
      <c r="E368" s="78" t="n">
        <v>45747</v>
      </c>
      <c r="F368" s="76" t="s">
        <v>236</v>
      </c>
      <c r="G368" s="76" t="s">
        <v>237</v>
      </c>
      <c r="H368" s="76" t="s">
        <v>238</v>
      </c>
      <c r="I368" s="79" t="n">
        <v>883.855</v>
      </c>
      <c r="J368" s="79" t="n">
        <v>710.885</v>
      </c>
      <c r="K368" s="80" t="n">
        <v>0.13</v>
      </c>
      <c r="L368" s="79" t="n">
        <v>2488.99575</v>
      </c>
      <c r="M368" s="79" t="n">
        <v>5424.155</v>
      </c>
      <c r="N368" s="80"/>
      <c r="O368" s="80" t="n">
        <v>84.4000015258789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208</v>
      </c>
      <c r="B369" s="76" t="s">
        <v>250</v>
      </c>
      <c r="C369" s="77" t="n">
        <v>2024</v>
      </c>
      <c r="D369" s="77" t="n">
        <v>4</v>
      </c>
      <c r="E369" s="78" t="n">
        <v>45657</v>
      </c>
      <c r="F369" s="76" t="s">
        <v>236</v>
      </c>
      <c r="G369" s="76" t="s">
        <v>237</v>
      </c>
      <c r="H369" s="76" t="s">
        <v>238</v>
      </c>
      <c r="I369" s="79" t="n">
        <v>827.519</v>
      </c>
      <c r="J369" s="79" t="n">
        <v>652.986</v>
      </c>
      <c r="K369" s="80" t="n">
        <v>0.14</v>
      </c>
      <c r="L369" s="79" t="n">
        <v>2450.818</v>
      </c>
      <c r="M369" s="79" t="n">
        <v>5003.275</v>
      </c>
      <c r="N369" s="80"/>
      <c r="O369" s="80" t="n">
        <v>75.629997253418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208</v>
      </c>
      <c r="B370" s="76" t="s">
        <v>252</v>
      </c>
      <c r="C370" s="77" t="n">
        <v>2024</v>
      </c>
      <c r="D370" s="77" t="n">
        <v>3</v>
      </c>
      <c r="E370" s="78" t="n">
        <v>45565</v>
      </c>
      <c r="F370" s="76" t="s">
        <v>236</v>
      </c>
      <c r="G370" s="76" t="s">
        <v>237</v>
      </c>
      <c r="H370" s="76" t="s">
        <v>238</v>
      </c>
      <c r="I370" s="79" t="n">
        <v>725.516</v>
      </c>
      <c r="J370" s="79" t="n">
        <v>578.877</v>
      </c>
      <c r="K370" s="80" t="n">
        <v>0.1</v>
      </c>
      <c r="L370" s="79" t="n">
        <v>2405.56475</v>
      </c>
      <c r="M370" s="79" t="n">
        <v>4498.143</v>
      </c>
      <c r="N370" s="80"/>
      <c r="O370" s="80" t="n">
        <v>37.2000007629395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208</v>
      </c>
      <c r="B371" s="76" t="s">
        <v>254</v>
      </c>
      <c r="C371" s="77" t="n">
        <v>2024</v>
      </c>
      <c r="D371" s="77" t="n">
        <v>2</v>
      </c>
      <c r="E371" s="78" t="n">
        <v>45473</v>
      </c>
      <c r="F371" s="76" t="s">
        <v>236</v>
      </c>
      <c r="G371" s="76" t="s">
        <v>237</v>
      </c>
      <c r="H371" s="76" t="s">
        <v>238</v>
      </c>
      <c r="I371" s="79" t="n">
        <v>678.134</v>
      </c>
      <c r="J371" s="79" t="n">
        <v>549.572</v>
      </c>
      <c r="K371" s="80" t="n">
        <v>0.09</v>
      </c>
      <c r="L371" s="79" t="n">
        <v>2375.5255</v>
      </c>
      <c r="M371" s="79" t="n">
        <v>4050.524</v>
      </c>
      <c r="N371" s="80"/>
      <c r="O371" s="80" t="n">
        <v>25.3299999237061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208</v>
      </c>
      <c r="B372" s="76" t="s">
        <v>256</v>
      </c>
      <c r="C372" s="77" t="n">
        <v>2024</v>
      </c>
      <c r="D372" s="77" t="n">
        <v>1</v>
      </c>
      <c r="E372" s="78" t="n">
        <v>45382</v>
      </c>
      <c r="F372" s="76" t="s">
        <v>236</v>
      </c>
      <c r="G372" s="76" t="s">
        <v>237</v>
      </c>
      <c r="H372" s="76" t="s">
        <v>238</v>
      </c>
      <c r="I372" s="79" t="n">
        <v>634.338</v>
      </c>
      <c r="J372" s="79" t="n">
        <v>518.082</v>
      </c>
      <c r="K372" s="80" t="n">
        <v>0.08</v>
      </c>
      <c r="L372" s="79" t="n">
        <v>2343.594</v>
      </c>
      <c r="M372" s="79" t="n">
        <v>3775.227</v>
      </c>
      <c r="N372" s="80"/>
      <c r="O372" s="80" t="n">
        <v>23.0100002288818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208</v>
      </c>
      <c r="B373" s="76" t="s">
        <v>258</v>
      </c>
      <c r="C373" s="77" t="n">
        <v>2023</v>
      </c>
      <c r="D373" s="77" t="n">
        <v>4</v>
      </c>
      <c r="E373" s="78" t="n">
        <v>45291</v>
      </c>
      <c r="F373" s="76" t="s">
        <v>236</v>
      </c>
      <c r="G373" s="76" t="s">
        <v>237</v>
      </c>
      <c r="H373" s="76" t="s">
        <v>238</v>
      </c>
      <c r="I373" s="79" t="n">
        <v>608.35</v>
      </c>
      <c r="J373" s="79" t="n">
        <v>499.711</v>
      </c>
      <c r="K373" s="80" t="n">
        <v>0.08</v>
      </c>
      <c r="L373" s="79" t="n">
        <v>2297.927</v>
      </c>
      <c r="M373" s="79" t="n">
        <v>3475.561</v>
      </c>
      <c r="N373" s="80"/>
      <c r="O373" s="80" t="n">
        <v>17.170000076294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208</v>
      </c>
      <c r="B374" s="76" t="s">
        <v>260</v>
      </c>
      <c r="C374" s="77" t="n">
        <v>2023</v>
      </c>
      <c r="D374" s="77" t="n">
        <v>3</v>
      </c>
      <c r="E374" s="78" t="n">
        <v>45199</v>
      </c>
      <c r="F374" s="76" t="s">
        <v>236</v>
      </c>
      <c r="G374" s="76" t="s">
        <v>237</v>
      </c>
      <c r="H374" s="76" t="s">
        <v>238</v>
      </c>
      <c r="I374" s="79" t="n">
        <v>558.159</v>
      </c>
      <c r="J374" s="79" t="n">
        <v>450.237</v>
      </c>
      <c r="K374" s="80" t="n">
        <v>0.07</v>
      </c>
      <c r="L374" s="79" t="n">
        <v>2233.60875</v>
      </c>
      <c r="M374" s="79" t="n">
        <v>3190.015</v>
      </c>
      <c r="N374" s="80"/>
      <c r="O374" s="80" t="n">
        <v>16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208</v>
      </c>
      <c r="B375" s="76" t="s">
        <v>262</v>
      </c>
      <c r="C375" s="77" t="n">
        <v>2023</v>
      </c>
      <c r="D375" s="77" t="n">
        <v>2</v>
      </c>
      <c r="E375" s="78" t="n">
        <v>45107</v>
      </c>
      <c r="F375" s="76" t="s">
        <v>236</v>
      </c>
      <c r="G375" s="76" t="s">
        <v>237</v>
      </c>
      <c r="H375" s="76" t="s">
        <v>238</v>
      </c>
      <c r="I375" s="79" t="n">
        <v>533.317</v>
      </c>
      <c r="J375" s="79" t="n">
        <v>426.418</v>
      </c>
      <c r="K375" s="80" t="n">
        <v>0.05</v>
      </c>
      <c r="L375" s="79" t="n">
        <v>2278.155</v>
      </c>
      <c r="M375" s="79" t="n">
        <v>2955.474</v>
      </c>
      <c r="N375" s="80"/>
      <c r="O375" s="80" t="n">
        <v>15.3299999237061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208</v>
      </c>
      <c r="B376" s="76" t="s">
        <v>264</v>
      </c>
      <c r="C376" s="77" t="n">
        <v>2023</v>
      </c>
      <c r="D376" s="77" t="n">
        <v>1</v>
      </c>
      <c r="E376" s="78" t="n">
        <v>45016</v>
      </c>
      <c r="F376" s="76" t="s">
        <v>236</v>
      </c>
      <c r="G376" s="76" t="s">
        <v>237</v>
      </c>
      <c r="H376" s="76" t="s">
        <v>238</v>
      </c>
      <c r="I376" s="79" t="n">
        <v>525.186</v>
      </c>
      <c r="J376" s="79" t="n">
        <v>417.541</v>
      </c>
      <c r="K376" s="80" t="n">
        <v>0.05</v>
      </c>
      <c r="L376" s="79" t="n">
        <v>2217.439</v>
      </c>
      <c r="M376" s="79" t="n">
        <v>2723.733</v>
      </c>
      <c r="N376" s="80"/>
      <c r="O376" s="80" t="n">
        <v>8.44999980926514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208</v>
      </c>
      <c r="B377" s="76" t="s">
        <v>266</v>
      </c>
      <c r="C377" s="77" t="n">
        <v>2022</v>
      </c>
      <c r="D377" s="77" t="n">
        <v>4</v>
      </c>
      <c r="E377" s="78" t="n">
        <v>44926</v>
      </c>
      <c r="F377" s="76" t="s">
        <v>236</v>
      </c>
      <c r="G377" s="76" t="s">
        <v>237</v>
      </c>
      <c r="H377" s="76" t="s">
        <v>238</v>
      </c>
      <c r="I377" s="79" t="n">
        <v>508.624</v>
      </c>
      <c r="J377" s="79" t="n">
        <v>404.313</v>
      </c>
      <c r="K377" s="80" t="n">
        <v>0.04</v>
      </c>
      <c r="L377" s="79"/>
      <c r="M377" s="79" t="n">
        <v>2565.326</v>
      </c>
      <c r="N377" s="80"/>
      <c r="O377" s="80" t="n">
        <v>6.42000007629395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208</v>
      </c>
      <c r="B378" s="76" t="s">
        <v>268</v>
      </c>
      <c r="C378" s="77" t="n">
        <v>2022</v>
      </c>
      <c r="D378" s="77" t="n">
        <v>3</v>
      </c>
      <c r="E378" s="78" t="n">
        <v>44834</v>
      </c>
      <c r="F378" s="76" t="s">
        <v>236</v>
      </c>
      <c r="G378" s="76" t="s">
        <v>237</v>
      </c>
      <c r="H378" s="76" t="s">
        <v>238</v>
      </c>
      <c r="I378" s="79" t="n">
        <v>477.88</v>
      </c>
      <c r="J378" s="79" t="n">
        <v>370.269</v>
      </c>
      <c r="K378" s="80" t="n">
        <v>0.01</v>
      </c>
      <c r="L378" s="79" t="n">
        <v>2073.265</v>
      </c>
      <c r="M378" s="79" t="n">
        <v>2386.615</v>
      </c>
      <c r="N378" s="80"/>
      <c r="O378" s="80" t="n">
        <v>8.13000011444092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208</v>
      </c>
      <c r="B379" s="76" t="s">
        <v>270</v>
      </c>
      <c r="C379" s="77" t="n">
        <v>2022</v>
      </c>
      <c r="D379" s="77" t="n">
        <v>2</v>
      </c>
      <c r="E379" s="78" t="n">
        <v>44742</v>
      </c>
      <c r="F379" s="76" t="s">
        <v>236</v>
      </c>
      <c r="G379" s="76" t="s">
        <v>237</v>
      </c>
      <c r="H379" s="76" t="s">
        <v>238</v>
      </c>
      <c r="I379" s="79" t="n">
        <v>473.01</v>
      </c>
      <c r="J379" s="79" t="n">
        <v>370.786</v>
      </c>
      <c r="K379" s="80" t="n">
        <v>-0.01</v>
      </c>
      <c r="L379" s="79" t="n">
        <v>2054.799</v>
      </c>
      <c r="M379" s="79" t="n">
        <v>2348.824</v>
      </c>
      <c r="N379" s="80"/>
      <c r="O379" s="80" t="n">
        <v>9.06999969482422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208</v>
      </c>
      <c r="B380" s="76" t="s">
        <v>272</v>
      </c>
      <c r="C380" s="77" t="n">
        <v>2022</v>
      </c>
      <c r="D380" s="77" t="n">
        <v>1</v>
      </c>
      <c r="E380" s="78" t="n">
        <v>44651</v>
      </c>
      <c r="F380" s="76" t="s">
        <v>236</v>
      </c>
      <c r="G380" s="76" t="s">
        <v>237</v>
      </c>
      <c r="H380" s="76" t="s">
        <v>238</v>
      </c>
      <c r="I380" s="79" t="n">
        <v>446.357</v>
      </c>
      <c r="J380" s="79" t="n">
        <v>351.954</v>
      </c>
      <c r="K380" s="80" t="n">
        <v>0.02</v>
      </c>
      <c r="L380" s="79" t="n">
        <v>2036.307</v>
      </c>
      <c r="M380" s="79" t="n">
        <v>2364.746</v>
      </c>
      <c r="N380" s="80"/>
      <c r="O380" s="80" t="n">
        <v>13.7299995422363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208</v>
      </c>
      <c r="B381" s="76" t="s">
        <v>274</v>
      </c>
      <c r="C381" s="77" t="n">
        <v>2021</v>
      </c>
      <c r="D381" s="77" t="n">
        <v>4</v>
      </c>
      <c r="E381" s="78" t="n">
        <v>44561</v>
      </c>
      <c r="F381" s="76" t="s">
        <v>236</v>
      </c>
      <c r="G381" s="76" t="s">
        <v>237</v>
      </c>
      <c r="H381" s="76" t="s">
        <v>238</v>
      </c>
      <c r="I381" s="79" t="n">
        <v>432.867</v>
      </c>
      <c r="J381" s="79" t="n">
        <v>345.304</v>
      </c>
      <c r="K381" s="80" t="n">
        <v>0.02</v>
      </c>
      <c r="L381" s="79"/>
      <c r="M381" s="79" t="n">
        <v>2291.03</v>
      </c>
      <c r="N381" s="80"/>
      <c r="O381" s="80" t="n">
        <v>18.2099990844727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208</v>
      </c>
      <c r="B382" s="76" t="s">
        <v>276</v>
      </c>
      <c r="C382" s="77" t="n">
        <v>2021</v>
      </c>
      <c r="D382" s="77" t="n">
        <v>3</v>
      </c>
      <c r="E382" s="78" t="n">
        <v>44469</v>
      </c>
      <c r="F382" s="76" t="s">
        <v>236</v>
      </c>
      <c r="G382" s="76" t="s">
        <v>237</v>
      </c>
      <c r="H382" s="76" t="s">
        <v>238</v>
      </c>
      <c r="I382" s="79" t="n">
        <v>392.146</v>
      </c>
      <c r="J382" s="79" t="n">
        <v>305.342</v>
      </c>
      <c r="K382" s="80" t="n">
        <v>0.04</v>
      </c>
      <c r="L382" s="79" t="n">
        <v>1964.395</v>
      </c>
      <c r="M382" s="79" t="n">
        <v>2248.056</v>
      </c>
      <c r="N382" s="80"/>
      <c r="O382" s="80" t="n">
        <v>24.0400009155273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208</v>
      </c>
      <c r="B383" s="76" t="s">
        <v>278</v>
      </c>
      <c r="C383" s="77" t="n">
        <v>2021</v>
      </c>
      <c r="D383" s="77" t="n">
        <v>2</v>
      </c>
      <c r="E383" s="78" t="n">
        <v>44377</v>
      </c>
      <c r="F383" s="76" t="s">
        <v>236</v>
      </c>
      <c r="G383" s="76" t="s">
        <v>237</v>
      </c>
      <c r="H383" s="76" t="s">
        <v>238</v>
      </c>
      <c r="I383" s="79" t="n">
        <v>375.642</v>
      </c>
      <c r="J383" s="79" t="n">
        <v>284.716</v>
      </c>
      <c r="K383" s="80" t="n">
        <v>0.04</v>
      </c>
      <c r="L383" s="79" t="n">
        <v>1894.606</v>
      </c>
      <c r="M383" s="79" t="n">
        <v>2068.963</v>
      </c>
      <c r="N383" s="80"/>
      <c r="O383" s="80" t="n">
        <v>26.3600006103516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208</v>
      </c>
      <c r="B384" s="76" t="s">
        <v>280</v>
      </c>
      <c r="C384" s="77" t="n">
        <v>2021</v>
      </c>
      <c r="D384" s="77" t="n">
        <v>1</v>
      </c>
      <c r="E384" s="78" t="n">
        <v>44286</v>
      </c>
      <c r="F384" s="76" t="s">
        <v>236</v>
      </c>
      <c r="G384" s="76" t="s">
        <v>237</v>
      </c>
      <c r="H384" s="76" t="s">
        <v>238</v>
      </c>
      <c r="I384" s="79" t="n">
        <v>341.234</v>
      </c>
      <c r="J384" s="79" t="n">
        <v>267.123</v>
      </c>
      <c r="K384" s="80" t="n">
        <v>0.04</v>
      </c>
      <c r="L384" s="79" t="n">
        <v>1821.158</v>
      </c>
      <c r="M384" s="79" t="n">
        <v>1805.943</v>
      </c>
      <c r="N384" s="80"/>
      <c r="O384" s="80" t="n">
        <v>23.2900009155273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208</v>
      </c>
      <c r="B385" s="76" t="s">
        <v>282</v>
      </c>
      <c r="C385" s="77" t="n">
        <v>2020</v>
      </c>
      <c r="D385" s="77" t="n">
        <v>4</v>
      </c>
      <c r="E385" s="78" t="n">
        <v>44196</v>
      </c>
      <c r="F385" s="76" t="s">
        <v>236</v>
      </c>
      <c r="G385" s="76" t="s">
        <v>237</v>
      </c>
      <c r="H385" s="76" t="s">
        <v>238</v>
      </c>
      <c r="I385" s="79" t="n">
        <v>322.091</v>
      </c>
      <c r="J385" s="79" t="n">
        <v>251.588</v>
      </c>
      <c r="K385" s="80" t="n">
        <v>0.06</v>
      </c>
      <c r="L385" s="79"/>
      <c r="M385" s="79" t="n">
        <v>1522.55</v>
      </c>
      <c r="N385" s="80"/>
      <c r="O385" s="80" t="n">
        <v>23.5499992370606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208</v>
      </c>
      <c r="B386" s="76" t="s">
        <v>284</v>
      </c>
      <c r="C386" s="77" t="n">
        <v>2020</v>
      </c>
      <c r="D386" s="77" t="n">
        <v>3</v>
      </c>
      <c r="E386" s="78" t="n">
        <v>44104</v>
      </c>
      <c r="F386" s="76" t="s">
        <v>236</v>
      </c>
      <c r="G386" s="76" t="s">
        <v>237</v>
      </c>
      <c r="H386" s="76" t="s">
        <v>238</v>
      </c>
      <c r="I386" s="79" t="n">
        <v>289.366</v>
      </c>
      <c r="J386" s="79" t="n">
        <v>140.026</v>
      </c>
      <c r="K386" s="80" t="n">
        <v>0.06</v>
      </c>
      <c r="L386" s="79" t="n">
        <v>905.462</v>
      </c>
      <c r="M386" s="79" t="n">
        <v>1251.753</v>
      </c>
      <c r="N386" s="80"/>
      <c r="O386" s="80" t="n">
        <v>9.5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212</v>
      </c>
      <c r="B387" s="76" t="s">
        <v>286</v>
      </c>
      <c r="C387" s="77" t="n">
        <v>2026</v>
      </c>
      <c r="D387" s="77" t="n">
        <v>3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9947</v>
      </c>
      <c r="J387" s="79" t="n">
        <v>5277</v>
      </c>
      <c r="K387" s="80" t="n">
        <v>2.21</v>
      </c>
      <c r="L387" s="79" t="n">
        <v>1069</v>
      </c>
      <c r="M387" s="79" t="n">
        <v>27658</v>
      </c>
      <c r="N387" s="80" t="n">
        <v>0.92</v>
      </c>
      <c r="O387" s="80" t="n">
        <v>184.789993286133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212</v>
      </c>
      <c r="B388" s="76" t="s">
        <v>235</v>
      </c>
      <c r="C388" s="77" t="n">
        <v>2026</v>
      </c>
      <c r="D388" s="77" t="n">
        <v>2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10599</v>
      </c>
      <c r="J388" s="79" t="n">
        <v>5699</v>
      </c>
      <c r="K388" s="80" t="n">
        <v>2.65</v>
      </c>
      <c r="L388" s="79" t="n">
        <v>1072</v>
      </c>
      <c r="M388" s="79" t="n">
        <v>27278</v>
      </c>
      <c r="N388" s="80" t="n">
        <v>0.89</v>
      </c>
      <c r="O388" s="80" t="n">
        <v>128.779998779297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212</v>
      </c>
      <c r="B389" s="76" t="s">
        <v>240</v>
      </c>
      <c r="C389" s="77" t="n">
        <v>2026</v>
      </c>
      <c r="D389" s="77" t="n">
        <v>1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12252</v>
      </c>
      <c r="J389" s="79" t="n">
        <v>6684</v>
      </c>
      <c r="K389" s="80" t="n">
        <v>3.5</v>
      </c>
      <c r="L389" s="79" t="n">
        <v>1079</v>
      </c>
      <c r="M389" s="79" t="n">
        <v>23073</v>
      </c>
      <c r="N389" s="80" t="n">
        <v>0.89</v>
      </c>
      <c r="O389" s="80" t="n">
        <v>171.050003051758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212</v>
      </c>
      <c r="B390" s="76" t="s">
        <v>242</v>
      </c>
      <c r="C390" s="77" t="n">
        <v>2025</v>
      </c>
      <c r="D390" s="77" t="n">
        <v>4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11271</v>
      </c>
      <c r="J390" s="79" t="n">
        <v>6237</v>
      </c>
      <c r="K390" s="80" t="n">
        <v>3</v>
      </c>
      <c r="L390" s="79" t="n">
        <v>1078</v>
      </c>
      <c r="M390" s="79" t="n">
        <v>21206</v>
      </c>
      <c r="N390" s="80" t="n">
        <v>0.89</v>
      </c>
      <c r="O390" s="80" t="n">
        <v>166.360000610352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212</v>
      </c>
      <c r="B391" s="76" t="s">
        <v>244</v>
      </c>
      <c r="C391" s="77" t="n">
        <v>2025</v>
      </c>
      <c r="D391" s="77" t="n">
        <v>3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10365</v>
      </c>
      <c r="J391" s="79" t="n">
        <v>5759</v>
      </c>
      <c r="K391" s="80" t="n">
        <v>2.77</v>
      </c>
      <c r="L391" s="79" t="n">
        <v>1099</v>
      </c>
      <c r="M391" s="79" t="n">
        <v>27209</v>
      </c>
      <c r="N391" s="80" t="n">
        <v>0.89</v>
      </c>
      <c r="O391" s="80" t="n">
        <v>159.259994506836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212</v>
      </c>
      <c r="B392" s="76" t="s">
        <v>246</v>
      </c>
      <c r="C392" s="77" t="n">
        <v>2025</v>
      </c>
      <c r="D392" s="77" t="n">
        <v>2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10979</v>
      </c>
      <c r="J392" s="79" t="n">
        <v>6042</v>
      </c>
      <c r="K392" s="80" t="n">
        <v>2.85</v>
      </c>
      <c r="L392" s="79" t="n">
        <v>1115</v>
      </c>
      <c r="M392" s="79" t="n">
        <v>27728</v>
      </c>
      <c r="N392" s="80" t="n">
        <v>0.85</v>
      </c>
      <c r="O392" s="80" t="n">
        <v>153.610000610352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212</v>
      </c>
      <c r="B393" s="76" t="s">
        <v>248</v>
      </c>
      <c r="C393" s="77" t="n">
        <v>2025</v>
      </c>
      <c r="D393" s="77" t="n">
        <v>1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11669</v>
      </c>
      <c r="J393" s="79" t="n">
        <v>6508</v>
      </c>
      <c r="K393" s="80" t="n">
        <v>3.41</v>
      </c>
      <c r="L393" s="79" t="n">
        <v>1122</v>
      </c>
      <c r="M393" s="79" t="n">
        <v>26880</v>
      </c>
      <c r="N393" s="80" t="n">
        <v>0.85</v>
      </c>
      <c r="O393" s="80" t="n">
        <v>153.619995117188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212</v>
      </c>
      <c r="B394" s="76" t="s">
        <v>250</v>
      </c>
      <c r="C394" s="77" t="n">
        <v>2024</v>
      </c>
      <c r="D394" s="77" t="n">
        <v>4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10244</v>
      </c>
      <c r="J394" s="79" t="n">
        <v>5777</v>
      </c>
      <c r="K394" s="80" t="n">
        <v>2.69</v>
      </c>
      <c r="L394" s="79"/>
      <c r="M394" s="79" t="n">
        <v>26274</v>
      </c>
      <c r="N394" s="80" t="n">
        <v>0.85</v>
      </c>
      <c r="O394" s="80" t="n">
        <v>170.050003051758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212</v>
      </c>
      <c r="B395" s="76" t="s">
        <v>252</v>
      </c>
      <c r="C395" s="77" t="n">
        <v>2024</v>
      </c>
      <c r="D395" s="77" t="n">
        <v>3</v>
      </c>
      <c r="E395" s="78" t="n">
        <v>45466</v>
      </c>
      <c r="F395" s="76" t="s">
        <v>236</v>
      </c>
      <c r="G395" s="76" t="s">
        <v>237</v>
      </c>
      <c r="H395" s="76" t="s">
        <v>238</v>
      </c>
      <c r="I395" s="79" t="n">
        <v>9393</v>
      </c>
      <c r="J395" s="79"/>
      <c r="K395" s="80"/>
      <c r="L395" s="79" t="n">
        <v>1134</v>
      </c>
      <c r="M395" s="79" t="n">
        <v>24670</v>
      </c>
      <c r="N395" s="80" t="n">
        <v>0.85</v>
      </c>
      <c r="O395" s="80" t="n">
        <v>212.529998779297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212</v>
      </c>
      <c r="B396" s="76" t="s">
        <v>254</v>
      </c>
      <c r="C396" s="77" t="n">
        <v>2024</v>
      </c>
      <c r="D396" s="77" t="n">
        <v>2</v>
      </c>
      <c r="E396" s="78" t="n">
        <v>45375</v>
      </c>
      <c r="F396" s="76" t="s">
        <v>236</v>
      </c>
      <c r="G396" s="76" t="s">
        <v>237</v>
      </c>
      <c r="H396" s="76" t="s">
        <v>238</v>
      </c>
      <c r="I396" s="79" t="n">
        <v>9389</v>
      </c>
      <c r="J396" s="79"/>
      <c r="K396" s="80"/>
      <c r="L396" s="79" t="n">
        <v>1130</v>
      </c>
      <c r="M396" s="79" t="n">
        <v>24469</v>
      </c>
      <c r="N396" s="80"/>
      <c r="O396" s="80" t="n">
        <v>170.100006103516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212</v>
      </c>
      <c r="B397" s="76" t="s">
        <v>256</v>
      </c>
      <c r="C397" s="77" t="n">
        <v>2024</v>
      </c>
      <c r="D397" s="77" t="n">
        <v>1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9935</v>
      </c>
      <c r="J397" s="79" t="n">
        <v>5623</v>
      </c>
      <c r="K397" s="80" t="n">
        <v>2.75</v>
      </c>
      <c r="L397" s="79" t="n">
        <v>1125</v>
      </c>
      <c r="M397" s="79" t="n">
        <v>23058</v>
      </c>
      <c r="N397" s="80" t="n">
        <v>0.8</v>
      </c>
      <c r="O397" s="80" t="n">
        <v>144.630004882813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212</v>
      </c>
      <c r="B398" s="76" t="s">
        <v>258</v>
      </c>
      <c r="C398" s="77" t="n">
        <v>2023</v>
      </c>
      <c r="D398" s="77" t="n">
        <v>4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8631</v>
      </c>
      <c r="J398" s="79" t="n">
        <v>4751</v>
      </c>
      <c r="K398" s="80" t="n">
        <v>2.02</v>
      </c>
      <c r="L398" s="79" t="n">
        <v>1126</v>
      </c>
      <c r="M398" s="79" t="n">
        <v>21581</v>
      </c>
      <c r="N398" s="80" t="n">
        <v>0.8</v>
      </c>
      <c r="O398" s="80" t="n">
        <v>111.059997558594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212</v>
      </c>
      <c r="B399" s="76" t="s">
        <v>260</v>
      </c>
      <c r="C399" s="77" t="n">
        <v>2023</v>
      </c>
      <c r="D399" s="77" t="n">
        <v>3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8451</v>
      </c>
      <c r="J399" s="79" t="n">
        <v>4659</v>
      </c>
      <c r="K399" s="80" t="n">
        <v>1.87</v>
      </c>
      <c r="L399" s="79" t="n">
        <v>1124</v>
      </c>
      <c r="M399" s="79" t="n">
        <v>20670</v>
      </c>
      <c r="N399" s="80" t="n">
        <v>0.8</v>
      </c>
      <c r="O399" s="80" t="n">
        <v>119.040000915527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212</v>
      </c>
      <c r="B400" s="76" t="s">
        <v>262</v>
      </c>
      <c r="C400" s="77" t="n">
        <v>2023</v>
      </c>
      <c r="D400" s="77" t="n">
        <v>2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9275</v>
      </c>
      <c r="J400" s="79" t="n">
        <v>5122</v>
      </c>
      <c r="K400" s="80" t="n">
        <v>2.15</v>
      </c>
      <c r="L400" s="79" t="n">
        <v>1123</v>
      </c>
      <c r="M400" s="79" t="n">
        <v>19698</v>
      </c>
      <c r="N400" s="80" t="n">
        <v>0.75</v>
      </c>
      <c r="O400" s="80" t="n">
        <v>127.580001831055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212</v>
      </c>
      <c r="B401" s="76" t="s">
        <v>264</v>
      </c>
      <c r="C401" s="77" t="n">
        <v>2023</v>
      </c>
      <c r="D401" s="77" t="n">
        <v>1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9463</v>
      </c>
      <c r="J401" s="79" t="n">
        <v>5419</v>
      </c>
      <c r="K401" s="80" t="n">
        <v>2.37</v>
      </c>
      <c r="L401" s="79" t="n">
        <v>1131</v>
      </c>
      <c r="M401" s="79" t="n">
        <v>18810</v>
      </c>
      <c r="N401" s="80" t="n">
        <v>0.75</v>
      </c>
      <c r="O401" s="80" t="n">
        <v>109.940002441406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212</v>
      </c>
      <c r="B402" s="76" t="s">
        <v>266</v>
      </c>
      <c r="C402" s="77" t="n">
        <v>2022</v>
      </c>
      <c r="D402" s="77" t="n">
        <v>4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11395</v>
      </c>
      <c r="J402" s="79" t="n">
        <v>6527</v>
      </c>
      <c r="K402" s="80" t="n">
        <v>3.13</v>
      </c>
      <c r="L402" s="79"/>
      <c r="M402" s="79" t="n">
        <v>18013</v>
      </c>
      <c r="N402" s="80" t="n">
        <v>0.75</v>
      </c>
      <c r="O402" s="80" t="n">
        <v>112.980003356934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212</v>
      </c>
      <c r="B403" s="76" t="s">
        <v>268</v>
      </c>
      <c r="C403" s="77" t="n">
        <v>2022</v>
      </c>
      <c r="D403" s="77" t="n">
        <v>3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10936</v>
      </c>
      <c r="J403" s="79" t="n">
        <v>6120</v>
      </c>
      <c r="K403" s="80" t="n">
        <v>2.96</v>
      </c>
      <c r="L403" s="79" t="n">
        <v>1134</v>
      </c>
      <c r="M403" s="79" t="n">
        <v>16048</v>
      </c>
      <c r="N403" s="80" t="n">
        <v>0.75</v>
      </c>
      <c r="O403" s="80" t="n">
        <v>127.73999786377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212</v>
      </c>
      <c r="B404" s="76" t="s">
        <v>270</v>
      </c>
      <c r="C404" s="77" t="n">
        <v>2022</v>
      </c>
      <c r="D404" s="77" t="n">
        <v>2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11164</v>
      </c>
      <c r="J404" s="79" t="n">
        <v>6516</v>
      </c>
      <c r="K404" s="80" t="n">
        <v>3.21</v>
      </c>
      <c r="L404" s="79" t="n">
        <v>1140</v>
      </c>
      <c r="M404" s="79" t="n">
        <v>13328</v>
      </c>
      <c r="N404" s="80" t="n">
        <v>0.68</v>
      </c>
      <c r="O404" s="80" t="n">
        <v>152.820007324219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212</v>
      </c>
      <c r="B405" s="76" t="s">
        <v>272</v>
      </c>
      <c r="C405" s="77" t="n">
        <v>2022</v>
      </c>
      <c r="D405" s="77" t="n">
        <v>1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10705</v>
      </c>
      <c r="J405" s="79" t="n">
        <v>6402</v>
      </c>
      <c r="K405" s="80" t="n">
        <v>3.23</v>
      </c>
      <c r="L405" s="79" t="n">
        <v>1142</v>
      </c>
      <c r="M405" s="79" t="n">
        <v>11333</v>
      </c>
      <c r="N405" s="80" t="n">
        <v>0.68</v>
      </c>
      <c r="O405" s="80" t="n">
        <v>182.869995117188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212</v>
      </c>
      <c r="B406" s="76" t="s">
        <v>274</v>
      </c>
      <c r="C406" s="77" t="n">
        <v>2021</v>
      </c>
      <c r="D406" s="77" t="n">
        <v>4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9336</v>
      </c>
      <c r="J406" s="79" t="n">
        <v>5399</v>
      </c>
      <c r="K406" s="80" t="n">
        <v>2.55</v>
      </c>
      <c r="L406" s="79"/>
      <c r="M406" s="79" t="n">
        <v>9950</v>
      </c>
      <c r="N406" s="80" t="n">
        <v>0.68</v>
      </c>
      <c r="O406" s="80" t="n">
        <v>128.979995727539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212</v>
      </c>
      <c r="B407" s="76" t="s">
        <v>276</v>
      </c>
      <c r="C407" s="77" t="n">
        <v>2021</v>
      </c>
      <c r="D407" s="77" t="n">
        <v>3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8060</v>
      </c>
      <c r="J407" s="79" t="n">
        <v>4656</v>
      </c>
      <c r="K407" s="80" t="n">
        <v>1.92</v>
      </c>
      <c r="L407" s="79" t="n">
        <v>1145</v>
      </c>
      <c r="M407" s="79" t="n">
        <v>8177</v>
      </c>
      <c r="N407" s="80" t="n">
        <v>0.68</v>
      </c>
      <c r="O407" s="80" t="n">
        <v>142.929992675781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212</v>
      </c>
      <c r="B408" s="76" t="s">
        <v>278</v>
      </c>
      <c r="C408" s="77" t="n">
        <v>2021</v>
      </c>
      <c r="D408" s="77" t="n">
        <v>2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7935</v>
      </c>
      <c r="J408" s="79" t="n">
        <v>4503</v>
      </c>
      <c r="K408" s="80" t="n">
        <v>1.9</v>
      </c>
      <c r="L408" s="79" t="n">
        <v>1151</v>
      </c>
      <c r="M408" s="79" t="n">
        <v>7424</v>
      </c>
      <c r="N408" s="80" t="n">
        <v>0.65</v>
      </c>
      <c r="O408" s="80" t="n">
        <v>132.589996337891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212</v>
      </c>
      <c r="B409" s="76" t="s">
        <v>280</v>
      </c>
      <c r="C409" s="77" t="n">
        <v>2021</v>
      </c>
      <c r="D409" s="77" t="n">
        <v>1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8235</v>
      </c>
      <c r="J409" s="79" t="n">
        <v>4746</v>
      </c>
      <c r="K409" s="80" t="n">
        <v>2.17</v>
      </c>
      <c r="L409" s="79" t="n">
        <v>1156</v>
      </c>
      <c r="M409" s="79" t="n">
        <v>7380</v>
      </c>
      <c r="N409" s="80" t="n">
        <v>0.65</v>
      </c>
      <c r="O409" s="80" t="n">
        <v>152.339996337891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212</v>
      </c>
      <c r="B410" s="76" t="s">
        <v>282</v>
      </c>
      <c r="C410" s="77" t="n">
        <v>2020</v>
      </c>
      <c r="D410" s="77" t="n">
        <v>4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8346</v>
      </c>
      <c r="J410" s="79" t="n">
        <v>5580</v>
      </c>
      <c r="K410" s="80" t="n">
        <v>1.45</v>
      </c>
      <c r="L410" s="79"/>
      <c r="M410" s="79" t="n">
        <v>6077</v>
      </c>
      <c r="N410" s="80"/>
      <c r="O410" s="80" t="n">
        <v>117.680000305176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210</v>
      </c>
      <c r="B411" s="76" t="s">
        <v>383</v>
      </c>
      <c r="C411" s="77" t="n">
        <v>2027</v>
      </c>
      <c r="D411" s="77" t="n">
        <v>2</v>
      </c>
      <c r="E411" s="78" t="n">
        <v>46234</v>
      </c>
      <c r="F411" s="76" t="s">
        <v>236</v>
      </c>
      <c r="G411" s="76" t="s">
        <v>237</v>
      </c>
      <c r="H411" s="76" t="s">
        <v>238</v>
      </c>
      <c r="I411" s="79" t="n">
        <v>341.871</v>
      </c>
      <c r="J411" s="79" t="n">
        <v>183.764</v>
      </c>
      <c r="K411" s="80" t="n">
        <v>0.71</v>
      </c>
      <c r="L411" s="79" t="n">
        <v>100.8</v>
      </c>
      <c r="M411" s="79" t="n">
        <v>748.872</v>
      </c>
      <c r="N411" s="80"/>
      <c r="O411" s="80" t="n">
        <v>117.819999694824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210</v>
      </c>
      <c r="B412" s="76" t="s">
        <v>385</v>
      </c>
      <c r="C412" s="77" t="n">
        <v>2027</v>
      </c>
      <c r="D412" s="77" t="n">
        <v>1</v>
      </c>
      <c r="E412" s="78" t="n">
        <v>46142</v>
      </c>
      <c r="F412" s="76" t="s">
        <v>236</v>
      </c>
      <c r="G412" s="76" t="s">
        <v>237</v>
      </c>
      <c r="H412" s="76" t="s">
        <v>238</v>
      </c>
      <c r="I412" s="79" t="n">
        <v>291.018</v>
      </c>
      <c r="J412" s="79" t="n">
        <v>151.464</v>
      </c>
      <c r="K412" s="80" t="n">
        <v>0.51</v>
      </c>
      <c r="L412" s="79" t="n">
        <v>98</v>
      </c>
      <c r="M412" s="79" t="n">
        <v>573.322</v>
      </c>
      <c r="N412" s="80"/>
      <c r="O412" s="80" t="n">
        <v>105.050003051758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210</v>
      </c>
      <c r="B413" s="76" t="s">
        <v>387</v>
      </c>
      <c r="C413" s="77" t="n">
        <v>2026</v>
      </c>
      <c r="D413" s="77" t="n">
        <v>4</v>
      </c>
      <c r="E413" s="78" t="n">
        <v>46053</v>
      </c>
      <c r="F413" s="76" t="s">
        <v>236</v>
      </c>
      <c r="G413" s="76" t="s">
        <v>237</v>
      </c>
      <c r="H413" s="76" t="s">
        <v>238</v>
      </c>
      <c r="I413" s="79" t="n">
        <v>274.355</v>
      </c>
      <c r="J413" s="79" t="n">
        <v>138.272</v>
      </c>
      <c r="K413" s="80" t="n">
        <v>0.44</v>
      </c>
      <c r="L413" s="79" t="n">
        <v>92.6</v>
      </c>
      <c r="M413" s="79" t="n">
        <v>549.718</v>
      </c>
      <c r="N413" s="80"/>
      <c r="O413" s="80" t="n">
        <v>79.75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210</v>
      </c>
      <c r="B414" s="76" t="s">
        <v>286</v>
      </c>
      <c r="C414" s="77" t="n">
        <v>2026</v>
      </c>
      <c r="D414" s="77" t="n">
        <v>3</v>
      </c>
      <c r="E414" s="78" t="n">
        <v>45961</v>
      </c>
      <c r="F414" s="76" t="s">
        <v>236</v>
      </c>
      <c r="G414" s="76" t="s">
        <v>237</v>
      </c>
      <c r="H414" s="76" t="s">
        <v>238</v>
      </c>
      <c r="I414" s="79" t="n">
        <v>266.971</v>
      </c>
      <c r="J414" s="79" t="n">
        <v>138.478</v>
      </c>
      <c r="K414" s="80" t="n">
        <v>0.48</v>
      </c>
      <c r="L414" s="79" t="n">
        <v>87.7</v>
      </c>
      <c r="M414" s="79" t="n">
        <v>565.656</v>
      </c>
      <c r="N414" s="80"/>
      <c r="O414" s="80" t="n">
        <v>67.8600006103516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210</v>
      </c>
      <c r="B415" s="76" t="s">
        <v>235</v>
      </c>
      <c r="C415" s="77" t="n">
        <v>2026</v>
      </c>
      <c r="D415" s="77" t="n">
        <v>2</v>
      </c>
      <c r="E415" s="78" t="n">
        <v>45869</v>
      </c>
      <c r="F415" s="76" t="s">
        <v>236</v>
      </c>
      <c r="G415" s="76" t="s">
        <v>237</v>
      </c>
      <c r="H415" s="76" t="s">
        <v>238</v>
      </c>
      <c r="I415" s="79" t="n">
        <v>257.589</v>
      </c>
      <c r="J415" s="79" t="n">
        <v>134.105</v>
      </c>
      <c r="K415" s="80" t="n">
        <v>0.41</v>
      </c>
      <c r="L415" s="79" t="n">
        <v>86.7</v>
      </c>
      <c r="M415" s="79" t="n">
        <v>552.892</v>
      </c>
      <c r="N415" s="80"/>
      <c r="O415" s="80" t="n">
        <v>51.0999984741211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210</v>
      </c>
      <c r="B416" s="76" t="s">
        <v>240</v>
      </c>
      <c r="C416" s="77" t="n">
        <v>2026</v>
      </c>
      <c r="D416" s="77" t="n">
        <v>1</v>
      </c>
      <c r="E416" s="78" t="n">
        <v>45777</v>
      </c>
      <c r="F416" s="76" t="s">
        <v>236</v>
      </c>
      <c r="G416" s="76" t="s">
        <v>237</v>
      </c>
      <c r="H416" s="76" t="s">
        <v>238</v>
      </c>
      <c r="I416" s="79" t="n">
        <v>251.06</v>
      </c>
      <c r="J416" s="79" t="n">
        <v>131.142</v>
      </c>
      <c r="K416" s="80" t="n">
        <v>0.38</v>
      </c>
      <c r="L416" s="79" t="n">
        <v>89.579</v>
      </c>
      <c r="M416" s="79" t="n">
        <v>568.815</v>
      </c>
      <c r="N416" s="80"/>
      <c r="O416" s="80" t="n">
        <v>31.25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210</v>
      </c>
      <c r="B417" s="76" t="s">
        <v>242</v>
      </c>
      <c r="C417" s="77" t="n">
        <v>2025</v>
      </c>
      <c r="D417" s="77" t="n">
        <v>4</v>
      </c>
      <c r="E417" s="78" t="n">
        <v>45688</v>
      </c>
      <c r="F417" s="76" t="s">
        <v>236</v>
      </c>
      <c r="G417" s="76" t="s">
        <v>237</v>
      </c>
      <c r="H417" s="76" t="s">
        <v>238</v>
      </c>
      <c r="I417" s="79" t="n">
        <v>251</v>
      </c>
      <c r="J417" s="79" t="n">
        <v>130.4</v>
      </c>
      <c r="K417" s="80" t="n">
        <v>0.4</v>
      </c>
      <c r="L417" s="79"/>
      <c r="M417" s="79" t="n">
        <v>542.426</v>
      </c>
      <c r="N417" s="80"/>
      <c r="O417" s="80" t="n">
        <v>66.9599990844727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210</v>
      </c>
      <c r="B418" s="76" t="s">
        <v>244</v>
      </c>
      <c r="C418" s="77" t="n">
        <v>2025</v>
      </c>
      <c r="D418" s="77" t="n">
        <v>3</v>
      </c>
      <c r="E418" s="78" t="n">
        <v>45596</v>
      </c>
      <c r="F418" s="76" t="s">
        <v>236</v>
      </c>
      <c r="G418" s="76" t="s">
        <v>237</v>
      </c>
      <c r="H418" s="76" t="s">
        <v>238</v>
      </c>
      <c r="I418" s="79" t="n">
        <v>236.825</v>
      </c>
      <c r="J418" s="79" t="n">
        <v>120.82</v>
      </c>
      <c r="K418" s="80" t="n">
        <v>0.26</v>
      </c>
      <c r="L418" s="79" t="n">
        <v>75.319</v>
      </c>
      <c r="M418" s="79" t="n">
        <v>-139.684</v>
      </c>
      <c r="N418" s="80"/>
      <c r="O418" s="80" t="n">
        <v>44.189998626709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210</v>
      </c>
      <c r="B419" s="76" t="s">
        <v>246</v>
      </c>
      <c r="C419" s="77" t="n">
        <v>2025</v>
      </c>
      <c r="D419" s="77" t="n">
        <v>2</v>
      </c>
      <c r="E419" s="78" t="n">
        <v>45501</v>
      </c>
      <c r="F419" s="76" t="s">
        <v>236</v>
      </c>
      <c r="G419" s="76" t="s">
        <v>237</v>
      </c>
      <c r="H419" s="76" t="s">
        <v>238</v>
      </c>
      <c r="I419" s="79" t="n">
        <v>215.355</v>
      </c>
      <c r="J419" s="79" t="n">
        <v>105.464</v>
      </c>
      <c r="K419" s="80"/>
      <c r="L419" s="79" t="n">
        <v>65.281</v>
      </c>
      <c r="M419" s="79" t="n">
        <v>-141.437</v>
      </c>
      <c r="N419" s="80"/>
      <c r="O419" s="80" t="n">
        <v>30.9899997711182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210</v>
      </c>
      <c r="B420" s="76" t="s">
        <v>248</v>
      </c>
      <c r="C420" s="77" t="n">
        <v>2025</v>
      </c>
      <c r="D420" s="77" t="n">
        <v>1</v>
      </c>
      <c r="E420" s="78" t="n">
        <v>45410</v>
      </c>
      <c r="F420" s="76" t="s">
        <v>236</v>
      </c>
      <c r="G420" s="76" t="s">
        <v>237</v>
      </c>
      <c r="H420" s="76" t="s">
        <v>238</v>
      </c>
      <c r="I420" s="79" t="n">
        <v>206.105</v>
      </c>
      <c r="J420" s="79" t="n">
        <v>99.592</v>
      </c>
      <c r="K420" s="80"/>
      <c r="L420" s="79" t="n">
        <v>64.509</v>
      </c>
      <c r="M420" s="79" t="n">
        <v>-313.098</v>
      </c>
      <c r="N420" s="80"/>
      <c r="O420" s="80" t="n">
        <v>35.7700004577637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210</v>
      </c>
      <c r="B421" s="76" t="s">
        <v>250</v>
      </c>
      <c r="C421" s="77" t="n">
        <v>2024</v>
      </c>
      <c r="D421" s="77" t="n">
        <v>4</v>
      </c>
      <c r="E421" s="78" t="n">
        <v>45322</v>
      </c>
      <c r="F421" s="76" t="s">
        <v>236</v>
      </c>
      <c r="G421" s="76" t="s">
        <v>237</v>
      </c>
      <c r="H421" s="76" t="s">
        <v>238</v>
      </c>
      <c r="I421" s="79" t="n">
        <v>192.948</v>
      </c>
      <c r="J421" s="79" t="n">
        <v>91.095</v>
      </c>
      <c r="K421" s="80" t="n">
        <v>-0.06</v>
      </c>
      <c r="L421" s="79" t="n">
        <v>64.127</v>
      </c>
      <c r="M421" s="79" t="n">
        <v>-307.434</v>
      </c>
      <c r="N421" s="80"/>
      <c r="O421" s="80" t="n">
        <v>19.8400001525879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210</v>
      </c>
      <c r="B422" s="76" t="s">
        <v>252</v>
      </c>
      <c r="C422" s="77" t="n">
        <v>2024</v>
      </c>
      <c r="D422" s="77" t="n">
        <v>3</v>
      </c>
      <c r="E422" s="78" t="n">
        <v>45228</v>
      </c>
      <c r="F422" s="76" t="s">
        <v>236</v>
      </c>
      <c r="G422" s="76" t="s">
        <v>237</v>
      </c>
      <c r="H422" s="76" t="s">
        <v>238</v>
      </c>
      <c r="I422" s="79" t="n">
        <v>200.899</v>
      </c>
      <c r="J422" s="79" t="n">
        <v>92.966</v>
      </c>
      <c r="K422" s="80"/>
      <c r="L422" s="79" t="n">
        <v>64.216</v>
      </c>
      <c r="M422" s="79" t="n">
        <v>334.439</v>
      </c>
      <c r="N422" s="80"/>
      <c r="O422" s="80" t="n">
        <v>14.5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210</v>
      </c>
      <c r="B423" s="76" t="s">
        <v>254</v>
      </c>
      <c r="C423" s="77" t="n">
        <v>2024</v>
      </c>
      <c r="D423" s="77" t="n">
        <v>2</v>
      </c>
      <c r="E423" s="78" t="n">
        <v>45138</v>
      </c>
      <c r="F423" s="76" t="s">
        <v>236</v>
      </c>
      <c r="G423" s="76" t="s">
        <v>237</v>
      </c>
      <c r="H423" s="76" t="s">
        <v>238</v>
      </c>
      <c r="I423" s="79" t="n">
        <v>238.372</v>
      </c>
      <c r="J423" s="79" t="n">
        <v>96.219</v>
      </c>
      <c r="K423" s="80" t="n">
        <v>0.11</v>
      </c>
      <c r="L423" s="79" t="n">
        <v>64.005</v>
      </c>
      <c r="M423" s="79" t="n">
        <v>366.835</v>
      </c>
      <c r="N423" s="80"/>
      <c r="O423" s="80" t="n">
        <v>29.2000007629395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210</v>
      </c>
      <c r="B424" s="76" t="s">
        <v>256</v>
      </c>
      <c r="C424" s="77" t="n">
        <v>2024</v>
      </c>
      <c r="D424" s="77" t="n">
        <v>1</v>
      </c>
      <c r="E424" s="78" t="n">
        <v>45046</v>
      </c>
      <c r="F424" s="76" t="s">
        <v>236</v>
      </c>
      <c r="G424" s="76" t="s">
        <v>237</v>
      </c>
      <c r="H424" s="76" t="s">
        <v>238</v>
      </c>
      <c r="I424" s="79" t="n">
        <v>236.539</v>
      </c>
      <c r="J424" s="79" t="n">
        <v>98.561</v>
      </c>
      <c r="K424" s="80" t="n">
        <v>0.02</v>
      </c>
      <c r="L424" s="79" t="n">
        <v>63.924</v>
      </c>
      <c r="M424" s="79" t="n">
        <v>733.028</v>
      </c>
      <c r="N424" s="80"/>
      <c r="O424" s="80" t="n">
        <v>19.4899997711182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210</v>
      </c>
      <c r="B425" s="76" t="s">
        <v>258</v>
      </c>
      <c r="C425" s="77" t="n">
        <v>2023</v>
      </c>
      <c r="D425" s="77" t="n">
        <v>4</v>
      </c>
      <c r="E425" s="78" t="n">
        <v>44957</v>
      </c>
      <c r="F425" s="76" t="s">
        <v>236</v>
      </c>
      <c r="G425" s="76" t="s">
        <v>237</v>
      </c>
      <c r="H425" s="76" t="s">
        <v>238</v>
      </c>
      <c r="I425" s="79" t="n">
        <v>167.512</v>
      </c>
      <c r="J425" s="79" t="n">
        <v>99.192</v>
      </c>
      <c r="K425" s="80" t="n">
        <v>0.47</v>
      </c>
      <c r="L425" s="79"/>
      <c r="M425" s="79" t="n">
        <v>755.852</v>
      </c>
      <c r="N425" s="80"/>
      <c r="O425" s="80" t="n">
        <v>33.0299987792969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210</v>
      </c>
      <c r="B426" s="76" t="s">
        <v>260</v>
      </c>
      <c r="C426" s="77" t="n">
        <v>2023</v>
      </c>
      <c r="D426" s="77" t="n">
        <v>3</v>
      </c>
      <c r="E426" s="78" t="n">
        <v>44865</v>
      </c>
      <c r="F426" s="76" t="s">
        <v>236</v>
      </c>
      <c r="G426" s="76" t="s">
        <v>237</v>
      </c>
      <c r="H426" s="76" t="s">
        <v>238</v>
      </c>
      <c r="I426" s="79" t="n">
        <v>177.618</v>
      </c>
      <c r="J426" s="79" t="n">
        <v>114.569</v>
      </c>
      <c r="K426" s="80" t="n">
        <v>0.65</v>
      </c>
      <c r="L426" s="79" t="n">
        <v>63.855</v>
      </c>
      <c r="M426" s="79" t="n">
        <v>792.412</v>
      </c>
      <c r="N426" s="80"/>
      <c r="O426" s="80" t="n">
        <v>27.6900005340576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210</v>
      </c>
      <c r="B427" s="76" t="s">
        <v>262</v>
      </c>
      <c r="C427" s="77" t="n">
        <v>2023</v>
      </c>
      <c r="D427" s="77" t="n">
        <v>2</v>
      </c>
      <c r="E427" s="78" t="n">
        <v>44773</v>
      </c>
      <c r="F427" s="76" t="s">
        <v>236</v>
      </c>
      <c r="G427" s="76" t="s">
        <v>237</v>
      </c>
      <c r="H427" s="76" t="s">
        <v>238</v>
      </c>
      <c r="I427" s="79" t="n">
        <v>209.254</v>
      </c>
      <c r="J427" s="79" t="n">
        <v>134.771</v>
      </c>
      <c r="K427" s="80" t="n">
        <v>0.87</v>
      </c>
      <c r="L427" s="79" t="n">
        <v>63.977</v>
      </c>
      <c r="M427" s="79" t="n">
        <v>798.858</v>
      </c>
      <c r="N427" s="80"/>
      <c r="O427" s="80" t="n">
        <v>62.3300018310547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210</v>
      </c>
      <c r="B428" s="76" t="s">
        <v>264</v>
      </c>
      <c r="C428" s="77" t="n">
        <v>2023</v>
      </c>
      <c r="D428" s="77" t="n">
        <v>1</v>
      </c>
      <c r="E428" s="78" t="n">
        <v>44681</v>
      </c>
      <c r="F428" s="76" t="s">
        <v>236</v>
      </c>
      <c r="G428" s="76" t="s">
        <v>237</v>
      </c>
      <c r="H428" s="76" t="s">
        <v>238</v>
      </c>
      <c r="I428" s="79" t="n">
        <v>202.149</v>
      </c>
      <c r="J428" s="79" t="n">
        <v>129.205</v>
      </c>
      <c r="K428" s="80" t="n">
        <v>0.8</v>
      </c>
      <c r="L428" s="79" t="n">
        <v>64.553</v>
      </c>
      <c r="M428" s="79" t="n">
        <v>734.983</v>
      </c>
      <c r="N428" s="80"/>
      <c r="O428" s="80" t="n">
        <v>59.5999984741211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210</v>
      </c>
      <c r="B429" s="76" t="s">
        <v>266</v>
      </c>
      <c r="C429" s="77" t="n">
        <v>2022</v>
      </c>
      <c r="D429" s="77" t="n">
        <v>4</v>
      </c>
      <c r="E429" s="78" t="n">
        <v>44592</v>
      </c>
      <c r="F429" s="76" t="s">
        <v>236</v>
      </c>
      <c r="G429" s="76" t="s">
        <v>237</v>
      </c>
      <c r="H429" s="76" t="s">
        <v>238</v>
      </c>
      <c r="I429" s="79" t="n">
        <v>190.55</v>
      </c>
      <c r="J429" s="79" t="n">
        <v>121.051</v>
      </c>
      <c r="K429" s="80" t="n">
        <v>0.7</v>
      </c>
      <c r="L429" s="79"/>
      <c r="M429" s="79" t="n">
        <v>737.584</v>
      </c>
      <c r="N429" s="80"/>
      <c r="O429" s="80" t="n">
        <v>71.0999984741211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210</v>
      </c>
      <c r="B430" s="76" t="s">
        <v>268</v>
      </c>
      <c r="C430" s="77" t="n">
        <v>2022</v>
      </c>
      <c r="D430" s="77" t="n">
        <v>3</v>
      </c>
      <c r="E430" s="78" t="n">
        <v>44500</v>
      </c>
      <c r="F430" s="76" t="s">
        <v>236</v>
      </c>
      <c r="G430" s="76" t="s">
        <v>237</v>
      </c>
      <c r="H430" s="76" t="s">
        <v>238</v>
      </c>
      <c r="I430" s="79" t="n">
        <v>194.932</v>
      </c>
      <c r="J430" s="79" t="n">
        <v>122.391</v>
      </c>
      <c r="K430" s="80" t="n">
        <v>0.74</v>
      </c>
      <c r="L430" s="79" t="n">
        <v>65.299</v>
      </c>
      <c r="M430" s="79" t="n">
        <v>718.194</v>
      </c>
      <c r="N430" s="80"/>
      <c r="O430" s="80" t="n">
        <v>85.0299987792969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210</v>
      </c>
      <c r="B431" s="76" t="s">
        <v>270</v>
      </c>
      <c r="C431" s="77" t="n">
        <v>2022</v>
      </c>
      <c r="D431" s="77" t="n">
        <v>2</v>
      </c>
      <c r="E431" s="78" t="n">
        <v>44408</v>
      </c>
      <c r="F431" s="76" t="s">
        <v>236</v>
      </c>
      <c r="G431" s="76" t="s">
        <v>237</v>
      </c>
      <c r="H431" s="76" t="s">
        <v>238</v>
      </c>
      <c r="I431" s="79" t="n">
        <v>185.004</v>
      </c>
      <c r="J431" s="79" t="n">
        <v>114.134</v>
      </c>
      <c r="K431" s="80" t="n">
        <v>0.65</v>
      </c>
      <c r="L431" s="79" t="n">
        <v>65.584</v>
      </c>
      <c r="M431" s="79" t="n">
        <v>708.417</v>
      </c>
      <c r="N431" s="80"/>
      <c r="O431" s="80" t="n">
        <v>61.9099998474121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210</v>
      </c>
      <c r="B432" s="76" t="s">
        <v>272</v>
      </c>
      <c r="C432" s="77" t="n">
        <v>2022</v>
      </c>
      <c r="D432" s="77" t="n">
        <v>1</v>
      </c>
      <c r="E432" s="78" t="n">
        <v>44316</v>
      </c>
      <c r="F432" s="76" t="s">
        <v>236</v>
      </c>
      <c r="G432" s="76" t="s">
        <v>237</v>
      </c>
      <c r="H432" s="76" t="s">
        <v>238</v>
      </c>
      <c r="I432" s="79" t="n">
        <v>170.372</v>
      </c>
      <c r="J432" s="79" t="n">
        <v>103.563</v>
      </c>
      <c r="K432" s="80" t="n">
        <v>0.53</v>
      </c>
      <c r="L432" s="79" t="n">
        <v>66.11</v>
      </c>
      <c r="M432" s="79" t="n">
        <v>704.277</v>
      </c>
      <c r="N432" s="80"/>
      <c r="O432" s="80" t="n">
        <v>67.7399978637695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210</v>
      </c>
      <c r="B433" s="76" t="s">
        <v>274</v>
      </c>
      <c r="C433" s="77" t="n">
        <v>2021</v>
      </c>
      <c r="D433" s="77" t="n">
        <v>4</v>
      </c>
      <c r="E433" s="78" t="n">
        <v>44227</v>
      </c>
      <c r="F433" s="76" t="s">
        <v>236</v>
      </c>
      <c r="G433" s="76" t="s">
        <v>237</v>
      </c>
      <c r="H433" s="76" t="s">
        <v>238</v>
      </c>
      <c r="I433" s="79" t="n">
        <v>164.673</v>
      </c>
      <c r="J433" s="79" t="n">
        <v>98.869</v>
      </c>
      <c r="K433" s="80" t="n">
        <v>0.51</v>
      </c>
      <c r="L433" s="79"/>
      <c r="M433" s="79" t="n">
        <v>698.743</v>
      </c>
      <c r="N433" s="80"/>
      <c r="O433" s="80" t="n">
        <v>70.9499969482422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210</v>
      </c>
      <c r="B434" s="76" t="s">
        <v>276</v>
      </c>
      <c r="C434" s="77" t="n">
        <v>2021</v>
      </c>
      <c r="D434" s="77" t="n">
        <v>3</v>
      </c>
      <c r="E434" s="78" t="n">
        <v>44135</v>
      </c>
      <c r="F434" s="76" t="s">
        <v>236</v>
      </c>
      <c r="G434" s="76" t="s">
        <v>237</v>
      </c>
      <c r="H434" s="76" t="s">
        <v>238</v>
      </c>
      <c r="I434" s="79" t="n">
        <v>154.082</v>
      </c>
      <c r="J434" s="79" t="n">
        <v>92.263</v>
      </c>
      <c r="K434" s="80" t="n">
        <v>0.47</v>
      </c>
      <c r="L434" s="79" t="n">
        <v>65.967</v>
      </c>
      <c r="M434" s="79" t="n">
        <v>676.391</v>
      </c>
      <c r="N434" s="80"/>
      <c r="O434" s="80" t="n">
        <v>54.8899993896484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216</v>
      </c>
      <c r="B435" s="76" t="s">
        <v>387</v>
      </c>
      <c r="C435" s="77" t="n">
        <v>2026</v>
      </c>
      <c r="D435" s="77" t="n">
        <v>4</v>
      </c>
      <c r="E435" s="78" t="n">
        <v>46203</v>
      </c>
      <c r="F435" s="76" t="s">
        <v>236</v>
      </c>
      <c r="G435" s="76" t="s">
        <v>237</v>
      </c>
      <c r="H435" s="76" t="s">
        <v>238</v>
      </c>
      <c r="I435" s="79" t="n">
        <v>8965</v>
      </c>
      <c r="J435" s="79" t="n">
        <v>7582</v>
      </c>
      <c r="K435" s="80" t="n">
        <v>38.82</v>
      </c>
      <c r="L435" s="79" t="n">
        <v>157</v>
      </c>
      <c r="M435" s="79" t="n">
        <v>15736</v>
      </c>
      <c r="N435" s="80"/>
      <c r="O435" s="80" t="n">
        <v>2273.72998046875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216</v>
      </c>
      <c r="B436" s="76" t="s">
        <v>286</v>
      </c>
      <c r="C436" s="77" t="n">
        <v>2026</v>
      </c>
      <c r="D436" s="77" t="n">
        <v>3</v>
      </c>
      <c r="E436" s="78" t="n">
        <v>46112</v>
      </c>
      <c r="F436" s="76" t="s">
        <v>236</v>
      </c>
      <c r="G436" s="76" t="s">
        <v>237</v>
      </c>
      <c r="H436" s="76" t="s">
        <v>238</v>
      </c>
      <c r="I436" s="79" t="n">
        <v>5950</v>
      </c>
      <c r="J436" s="79" t="n">
        <v>4662</v>
      </c>
      <c r="K436" s="80" t="n">
        <v>23.41</v>
      </c>
      <c r="L436" s="79" t="n">
        <v>157</v>
      </c>
      <c r="M436" s="79" t="n">
        <v>13777</v>
      </c>
      <c r="N436" s="80"/>
      <c r="O436" s="80" t="n">
        <v>635.340026855469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216</v>
      </c>
      <c r="B437" s="76" t="s">
        <v>235</v>
      </c>
      <c r="C437" s="77" t="n">
        <v>2026</v>
      </c>
      <c r="D437" s="77" t="n">
        <v>2</v>
      </c>
      <c r="E437" s="78" t="n">
        <v>46022</v>
      </c>
      <c r="F437" s="76" t="s">
        <v>236</v>
      </c>
      <c r="G437" s="76" t="s">
        <v>237</v>
      </c>
      <c r="H437" s="76" t="s">
        <v>238</v>
      </c>
      <c r="I437" s="79" t="n">
        <v>3025</v>
      </c>
      <c r="J437" s="79" t="n">
        <v>1541</v>
      </c>
      <c r="K437" s="80" t="n">
        <v>6.2</v>
      </c>
      <c r="L437" s="79" t="n">
        <v>156</v>
      </c>
      <c r="M437" s="79" t="n">
        <v>10213</v>
      </c>
      <c r="N437" s="80"/>
      <c r="O437" s="80" t="n">
        <v>237.380004882813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216</v>
      </c>
      <c r="B438" s="76" t="s">
        <v>240</v>
      </c>
      <c r="C438" s="77" t="n">
        <v>2026</v>
      </c>
      <c r="D438" s="77" t="n">
        <v>1</v>
      </c>
      <c r="E438" s="78" t="n">
        <v>45930</v>
      </c>
      <c r="F438" s="76" t="s">
        <v>236</v>
      </c>
      <c r="G438" s="76" t="s">
        <v>237</v>
      </c>
      <c r="H438" s="76" t="s">
        <v>238</v>
      </c>
      <c r="I438" s="79" t="n">
        <v>2308</v>
      </c>
      <c r="J438" s="79" t="n">
        <v>687</v>
      </c>
      <c r="K438" s="80" t="n">
        <v>1.22</v>
      </c>
      <c r="L438" s="79" t="n">
        <v>149</v>
      </c>
      <c r="M438" s="79" t="n">
        <v>9381</v>
      </c>
      <c r="N438" s="80"/>
      <c r="O438" s="80" t="n">
        <v>112.199996948242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216</v>
      </c>
      <c r="B439" s="76" t="s">
        <v>242</v>
      </c>
      <c r="C439" s="77" t="n">
        <v>2025</v>
      </c>
      <c r="D439" s="77" t="n">
        <v>4</v>
      </c>
      <c r="E439" s="78" t="n">
        <v>45838</v>
      </c>
      <c r="F439" s="76" t="s">
        <v>236</v>
      </c>
      <c r="G439" s="76" t="s">
        <v>237</v>
      </c>
      <c r="H439" s="76" t="s">
        <v>238</v>
      </c>
      <c r="I439" s="79" t="n">
        <v>1901</v>
      </c>
      <c r="J439" s="79" t="n">
        <v>498</v>
      </c>
      <c r="K439" s="80" t="n">
        <v>0.29</v>
      </c>
      <c r="L439" s="79" t="n">
        <v>145</v>
      </c>
      <c r="M439" s="79" t="n">
        <v>9216</v>
      </c>
      <c r="N439" s="80"/>
      <c r="O439" s="80" t="n">
        <v>45.3499984741211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216</v>
      </c>
      <c r="B440" s="76" t="s">
        <v>244</v>
      </c>
      <c r="C440" s="77" t="n">
        <v>2025</v>
      </c>
      <c r="D440" s="77" t="n">
        <v>3</v>
      </c>
      <c r="E440" s="78" t="n">
        <v>45747</v>
      </c>
      <c r="F440" s="76" t="s">
        <v>236</v>
      </c>
      <c r="G440" s="76" t="s">
        <v>237</v>
      </c>
      <c r="H440" s="76" t="s">
        <v>238</v>
      </c>
      <c r="I440" s="79" t="n">
        <v>1695</v>
      </c>
      <c r="J440" s="79" t="n">
        <v>382</v>
      </c>
      <c r="K440" s="80" t="n">
        <v>-0.3</v>
      </c>
      <c r="L440" s="79" t="n">
        <v>145</v>
      </c>
      <c r="M440" s="79" t="n">
        <v>9161</v>
      </c>
      <c r="N440" s="80"/>
      <c r="O440" s="80" t="n">
        <v>47.6100006103516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216</v>
      </c>
      <c r="B441" s="76" t="s">
        <v>246</v>
      </c>
      <c r="C441" s="77" t="n">
        <v>2025</v>
      </c>
      <c r="D441" s="77" t="n">
        <v>2</v>
      </c>
      <c r="E441" s="78" t="n">
        <v>45657</v>
      </c>
      <c r="F441" s="76" t="s">
        <v>236</v>
      </c>
      <c r="G441" s="76" t="s">
        <v>237</v>
      </c>
      <c r="H441" s="76" t="s">
        <v>238</v>
      </c>
      <c r="I441" s="79" t="n">
        <v>1876</v>
      </c>
      <c r="J441" s="79" t="n">
        <v>606</v>
      </c>
      <c r="K441" s="80" t="n">
        <v>1.23</v>
      </c>
      <c r="L441" s="79" t="n">
        <v>145</v>
      </c>
      <c r="M441" s="79" t="n">
        <v>12001</v>
      </c>
      <c r="N441" s="80"/>
      <c r="O441" s="80"/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216</v>
      </c>
      <c r="B442" s="76" t="s">
        <v>248</v>
      </c>
      <c r="C442" s="77" t="n">
        <v>2025</v>
      </c>
      <c r="D442" s="77" t="n">
        <v>1</v>
      </c>
      <c r="E442" s="78" t="n">
        <v>45565</v>
      </c>
      <c r="F442" s="76" t="s">
        <v>236</v>
      </c>
      <c r="G442" s="76" t="s">
        <v>237</v>
      </c>
      <c r="H442" s="76" t="s">
        <v>238</v>
      </c>
      <c r="I442" s="79" t="n">
        <v>1883</v>
      </c>
      <c r="J442" s="79" t="n">
        <v>726</v>
      </c>
      <c r="K442" s="80" t="n">
        <v>1.8</v>
      </c>
      <c r="L442" s="79" t="n">
        <v>145</v>
      </c>
      <c r="M442" s="79" t="n">
        <v>12126</v>
      </c>
      <c r="N442" s="80"/>
      <c r="O442" s="80"/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216</v>
      </c>
      <c r="B443" s="76" t="s">
        <v>250</v>
      </c>
      <c r="C443" s="77" t="n">
        <v>2024</v>
      </c>
      <c r="D443" s="77" t="n">
        <v>4</v>
      </c>
      <c r="E443" s="78" t="n">
        <v>45473</v>
      </c>
      <c r="F443" s="76" t="s">
        <v>236</v>
      </c>
      <c r="G443" s="76" t="s">
        <v>237</v>
      </c>
      <c r="H443" s="76" t="s">
        <v>238</v>
      </c>
      <c r="I443" s="79" t="n">
        <v>1883</v>
      </c>
      <c r="J443" s="79" t="n">
        <v>726</v>
      </c>
      <c r="K443" s="80"/>
      <c r="L443" s="79"/>
      <c r="M443" s="79" t="n">
        <v>11082</v>
      </c>
      <c r="N443" s="80"/>
      <c r="O443" s="80"/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216</v>
      </c>
      <c r="B444" s="76" t="s">
        <v>252</v>
      </c>
      <c r="C444" s="77" t="n">
        <v>2024</v>
      </c>
      <c r="D444" s="77" t="n">
        <v>3</v>
      </c>
      <c r="E444" s="78" t="n">
        <v>45382</v>
      </c>
      <c r="F444" s="76" t="s">
        <v>236</v>
      </c>
      <c r="G444" s="76" t="s">
        <v>237</v>
      </c>
      <c r="H444" s="76" t="s">
        <v>238</v>
      </c>
      <c r="I444" s="79" t="n">
        <v>1705</v>
      </c>
      <c r="J444" s="79" t="n">
        <v>463</v>
      </c>
      <c r="K444" s="80"/>
      <c r="L444" s="79" t="n">
        <v>145</v>
      </c>
      <c r="M444" s="79" t="n">
        <v>10939</v>
      </c>
      <c r="N444" s="80"/>
      <c r="O444" s="80"/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216</v>
      </c>
      <c r="B445" s="76" t="s">
        <v>254</v>
      </c>
      <c r="C445" s="77" t="n">
        <v>2024</v>
      </c>
      <c r="D445" s="77" t="n">
        <v>2</v>
      </c>
      <c r="E445" s="78" t="n">
        <v>45291</v>
      </c>
      <c r="F445" s="76" t="s">
        <v>236</v>
      </c>
      <c r="G445" s="76" t="s">
        <v>237</v>
      </c>
      <c r="H445" s="76" t="s">
        <v>238</v>
      </c>
      <c r="I445" s="79" t="n">
        <v>1665</v>
      </c>
      <c r="J445" s="79" t="n">
        <v>161</v>
      </c>
      <c r="K445" s="80"/>
      <c r="L445" s="79"/>
      <c r="M445" s="79" t="n">
        <v>10896</v>
      </c>
      <c r="N445" s="80"/>
      <c r="O445" s="80"/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216</v>
      </c>
      <c r="B446" s="76" t="s">
        <v>256</v>
      </c>
      <c r="C446" s="77" t="n">
        <v>2024</v>
      </c>
      <c r="D446" s="77" t="n">
        <v>1</v>
      </c>
      <c r="E446" s="78" t="n">
        <v>45199</v>
      </c>
      <c r="F446" s="76" t="s">
        <v>236</v>
      </c>
      <c r="G446" s="76" t="s">
        <v>237</v>
      </c>
      <c r="H446" s="76" t="s">
        <v>238</v>
      </c>
      <c r="I446" s="79" t="n">
        <v>1533</v>
      </c>
      <c r="J446" s="79" t="n">
        <v>-188</v>
      </c>
      <c r="K446" s="80"/>
      <c r="L446" s="79"/>
      <c r="M446" s="79" t="n">
        <v>11439</v>
      </c>
      <c r="N446" s="80"/>
      <c r="O446" s="80"/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184</v>
      </c>
      <c r="B447" s="76" t="s">
        <v>235</v>
      </c>
      <c r="C447" s="77" t="n">
        <v>2026</v>
      </c>
      <c r="D447" s="77" t="n">
        <v>2</v>
      </c>
      <c r="E447" s="78" t="n">
        <v>46203</v>
      </c>
      <c r="F447" s="76" t="s">
        <v>236</v>
      </c>
      <c r="G447" s="76" t="s">
        <v>237</v>
      </c>
      <c r="H447" s="76" t="s">
        <v>238</v>
      </c>
      <c r="I447" s="79" t="n">
        <v>1328.99</v>
      </c>
      <c r="J447" s="79" t="n">
        <v>794.618</v>
      </c>
      <c r="K447" s="80" t="n">
        <v>2.47</v>
      </c>
      <c r="L447" s="79" t="n">
        <v>157.693</v>
      </c>
      <c r="M447" s="79" t="n">
        <v>3437.162</v>
      </c>
      <c r="N447" s="80" t="n">
        <v>0.13</v>
      </c>
      <c r="O447" s="80" t="n">
        <v>483.839996337891</v>
      </c>
      <c r="P447" s="47" t="n">
        <v>1</v>
      </c>
      <c r="Q447" s="66" t="s">
        <v>711</v>
      </c>
    </row>
    <row r="448" customFormat="false" ht="15" hidden="false" customHeight="false" outlineLevel="0" collapsed="false">
      <c r="A448" s="76" t="s">
        <v>184</v>
      </c>
      <c r="B448" s="76" t="s">
        <v>240</v>
      </c>
      <c r="C448" s="77" t="n">
        <v>2026</v>
      </c>
      <c r="D448" s="77" t="n">
        <v>1</v>
      </c>
      <c r="E448" s="78" t="n">
        <v>46112</v>
      </c>
      <c r="F448" s="76" t="s">
        <v>236</v>
      </c>
      <c r="G448" s="76" t="s">
        <v>237</v>
      </c>
      <c r="H448" s="76" t="s">
        <v>238</v>
      </c>
      <c r="I448" s="79" t="n">
        <v>1282.494</v>
      </c>
      <c r="J448" s="79" t="n">
        <v>780.949</v>
      </c>
      <c r="K448" s="80" t="n">
        <v>2.56</v>
      </c>
      <c r="L448" s="79" t="n">
        <v>157.636</v>
      </c>
      <c r="M448" s="79" t="n">
        <v>3143.816</v>
      </c>
      <c r="N448" s="80" t="n">
        <v>0.13</v>
      </c>
      <c r="O448" s="80" t="n">
        <v>296.459991455078</v>
      </c>
      <c r="P448" s="47" t="n">
        <v>2</v>
      </c>
      <c r="Q448" s="66" t="s">
        <v>712</v>
      </c>
    </row>
    <row r="449" customFormat="false" ht="15" hidden="false" customHeight="false" outlineLevel="0" collapsed="false">
      <c r="A449" s="76" t="s">
        <v>184</v>
      </c>
      <c r="B449" s="76" t="s">
        <v>242</v>
      </c>
      <c r="C449" s="77" t="n">
        <v>2025</v>
      </c>
      <c r="D449" s="77" t="n">
        <v>4</v>
      </c>
      <c r="E449" s="78" t="n">
        <v>46022</v>
      </c>
      <c r="F449" s="76" t="s">
        <v>236</v>
      </c>
      <c r="G449" s="76" t="s">
        <v>237</v>
      </c>
      <c r="H449" s="76" t="s">
        <v>238</v>
      </c>
      <c r="I449" s="79" t="n">
        <v>1083.337</v>
      </c>
      <c r="J449" s="79" t="n">
        <v>619.69</v>
      </c>
      <c r="K449" s="80" t="n">
        <v>1.8</v>
      </c>
      <c r="L449" s="79" t="n">
        <v>157.651</v>
      </c>
      <c r="M449" s="79" t="n">
        <v>2795.752</v>
      </c>
      <c r="N449" s="80" t="n">
        <v>0.12</v>
      </c>
      <c r="O449" s="80" t="n">
        <v>193.559997558594</v>
      </c>
      <c r="P449" s="47" t="n">
        <v>3</v>
      </c>
      <c r="Q449" s="66" t="s">
        <v>713</v>
      </c>
    </row>
    <row r="450" customFormat="false" ht="15" hidden="false" customHeight="false" outlineLevel="0" collapsed="false">
      <c r="A450" s="76" t="s">
        <v>184</v>
      </c>
      <c r="B450" s="76" t="s">
        <v>244</v>
      </c>
      <c r="C450" s="77" t="n">
        <v>2025</v>
      </c>
      <c r="D450" s="77" t="n">
        <v>3</v>
      </c>
      <c r="E450" s="78" t="n">
        <v>45930</v>
      </c>
      <c r="F450" s="76" t="s">
        <v>236</v>
      </c>
      <c r="G450" s="76" t="s">
        <v>237</v>
      </c>
      <c r="H450" s="76" t="s">
        <v>238</v>
      </c>
      <c r="I450" s="79" t="n">
        <v>769.21</v>
      </c>
      <c r="J450" s="79" t="n">
        <v>449.306</v>
      </c>
      <c r="K450" s="80" t="n">
        <v>0.85</v>
      </c>
      <c r="L450" s="79" t="n">
        <v>159.097</v>
      </c>
      <c r="M450" s="79" t="n">
        <v>2717.275</v>
      </c>
      <c r="N450" s="80" t="n">
        <v>0.12</v>
      </c>
      <c r="O450" s="80" t="n">
        <v>137.639999389648</v>
      </c>
      <c r="P450" s="47" t="n">
        <v>4</v>
      </c>
      <c r="Q450" s="66" t="s">
        <v>714</v>
      </c>
    </row>
    <row r="451" customFormat="false" ht="15" hidden="false" customHeight="false" outlineLevel="0" collapsed="false">
      <c r="A451" s="76" t="s">
        <v>184</v>
      </c>
      <c r="B451" s="76" t="s">
        <v>246</v>
      </c>
      <c r="C451" s="77" t="n">
        <v>2025</v>
      </c>
      <c r="D451" s="77" t="n">
        <v>2</v>
      </c>
      <c r="E451" s="78" t="n">
        <v>45838</v>
      </c>
      <c r="F451" s="76" t="s">
        <v>236</v>
      </c>
      <c r="G451" s="76" t="s">
        <v>237</v>
      </c>
      <c r="H451" s="76" t="s">
        <v>238</v>
      </c>
      <c r="I451" s="79" t="n">
        <v>651.797</v>
      </c>
      <c r="J451" s="79" t="n">
        <v>373.012</v>
      </c>
      <c r="K451" s="80" t="n">
        <v>0.57</v>
      </c>
      <c r="L451" s="79" t="n">
        <v>160.135</v>
      </c>
      <c r="M451" s="79" t="n">
        <v>2837.301</v>
      </c>
      <c r="N451" s="80" t="n">
        <v>0.12</v>
      </c>
      <c r="O451" s="80" t="n">
        <v>89.9199981689453</v>
      </c>
      <c r="P451" s="47" t="n">
        <v>5</v>
      </c>
      <c r="Q451" s="66" t="s">
        <v>715</v>
      </c>
    </row>
    <row r="452" customFormat="false" ht="15" hidden="false" customHeight="false" outlineLevel="0" collapsed="false">
      <c r="A452" s="76" t="s">
        <v>184</v>
      </c>
      <c r="B452" s="76" t="s">
        <v>248</v>
      </c>
      <c r="C452" s="77" t="n">
        <v>2025</v>
      </c>
      <c r="D452" s="77" t="n">
        <v>1</v>
      </c>
      <c r="E452" s="78" t="n">
        <v>45747</v>
      </c>
      <c r="F452" s="76" t="s">
        <v>236</v>
      </c>
      <c r="G452" s="76" t="s">
        <v>237</v>
      </c>
      <c r="H452" s="76" t="s">
        <v>238</v>
      </c>
      <c r="I452" s="79" t="n">
        <v>685.68</v>
      </c>
      <c r="J452" s="79" t="n">
        <v>415.336</v>
      </c>
      <c r="K452" s="80" t="n">
        <v>0.75</v>
      </c>
      <c r="L452" s="79" t="n">
        <v>161.996</v>
      </c>
      <c r="M452" s="79" t="n">
        <v>2797.499</v>
      </c>
      <c r="N452" s="80" t="n">
        <v>0.12</v>
      </c>
      <c r="O452" s="80" t="n">
        <v>82.5999984741211</v>
      </c>
      <c r="P452" s="47" t="n">
        <v>6</v>
      </c>
      <c r="Q452" s="66" t="s">
        <v>716</v>
      </c>
    </row>
    <row r="453" customFormat="false" ht="15" hidden="false" customHeight="false" outlineLevel="0" collapsed="false">
      <c r="A453" s="76" t="s">
        <v>184</v>
      </c>
      <c r="B453" s="76" t="s">
        <v>250</v>
      </c>
      <c r="C453" s="77" t="n">
        <v>2024</v>
      </c>
      <c r="D453" s="77" t="n">
        <v>4</v>
      </c>
      <c r="E453" s="78" t="n">
        <v>45657</v>
      </c>
      <c r="F453" s="76" t="s">
        <v>236</v>
      </c>
      <c r="G453" s="76" t="s">
        <v>237</v>
      </c>
      <c r="H453" s="76" t="s">
        <v>238</v>
      </c>
      <c r="I453" s="79" t="n">
        <v>752.884</v>
      </c>
      <c r="J453" s="79" t="n">
        <v>447.288</v>
      </c>
      <c r="K453" s="80" t="n">
        <v>0.95</v>
      </c>
      <c r="L453" s="79"/>
      <c r="M453" s="79" t="n">
        <v>2819.294</v>
      </c>
      <c r="N453" s="80" t="n">
        <v>0.12</v>
      </c>
      <c r="O453" s="80" t="n">
        <v>125.919998168945</v>
      </c>
      <c r="P453" s="47" t="n">
        <v>7</v>
      </c>
      <c r="Q453" s="66" t="s">
        <v>717</v>
      </c>
    </row>
    <row r="454" customFormat="false" ht="15" hidden="false" customHeight="false" outlineLevel="0" collapsed="false">
      <c r="A454" s="76" t="s">
        <v>184</v>
      </c>
      <c r="B454" s="76" t="s">
        <v>252</v>
      </c>
      <c r="C454" s="77" t="n">
        <v>2024</v>
      </c>
      <c r="D454" s="77" t="n">
        <v>3</v>
      </c>
      <c r="E454" s="78" t="n">
        <v>45565</v>
      </c>
      <c r="F454" s="76" t="s">
        <v>236</v>
      </c>
      <c r="G454" s="76" t="s">
        <v>237</v>
      </c>
      <c r="H454" s="76" t="s">
        <v>238</v>
      </c>
      <c r="I454" s="79" t="n">
        <v>737.298</v>
      </c>
      <c r="J454" s="79" t="n">
        <v>436.514</v>
      </c>
      <c r="K454" s="80" t="n">
        <v>0.9</v>
      </c>
      <c r="L454" s="79" t="n">
        <v>164.253</v>
      </c>
      <c r="M454" s="79" t="n">
        <v>2902.542</v>
      </c>
      <c r="N454" s="80" t="n">
        <v>0.12</v>
      </c>
      <c r="O454" s="80" t="n">
        <v>133.929992675781</v>
      </c>
      <c r="P454" s="47" t="n">
        <v>8</v>
      </c>
      <c r="Q454" s="66" t="s">
        <v>718</v>
      </c>
    </row>
    <row r="455" customFormat="false" ht="15" hidden="false" customHeight="false" outlineLevel="0" collapsed="false">
      <c r="A455" s="76" t="s">
        <v>184</v>
      </c>
      <c r="B455" s="76" t="s">
        <v>254</v>
      </c>
      <c r="C455" s="77" t="n">
        <v>2024</v>
      </c>
      <c r="D455" s="77" t="n">
        <v>2</v>
      </c>
      <c r="E455" s="78" t="n">
        <v>45473</v>
      </c>
      <c r="F455" s="76" t="s">
        <v>236</v>
      </c>
      <c r="G455" s="76" t="s">
        <v>237</v>
      </c>
      <c r="H455" s="76" t="s">
        <v>238</v>
      </c>
      <c r="I455" s="79" t="n">
        <v>729.879</v>
      </c>
      <c r="J455" s="79" t="n">
        <v>425.844</v>
      </c>
      <c r="K455" s="80"/>
      <c r="L455" s="79" t="n">
        <v>163.47</v>
      </c>
      <c r="M455" s="79" t="n">
        <v>2730.812</v>
      </c>
      <c r="N455" s="80" t="n">
        <v>0.12</v>
      </c>
      <c r="O455" s="80" t="n">
        <v>148.289993286133</v>
      </c>
      <c r="P455" s="47" t="n">
        <v>9</v>
      </c>
      <c r="Q455" s="66" t="s">
        <v>719</v>
      </c>
    </row>
    <row r="456" customFormat="false" ht="15" hidden="false" customHeight="false" outlineLevel="0" collapsed="false">
      <c r="A456" s="76" t="s">
        <v>184</v>
      </c>
      <c r="B456" s="76" t="s">
        <v>256</v>
      </c>
      <c r="C456" s="77" t="n">
        <v>2024</v>
      </c>
      <c r="D456" s="77" t="n">
        <v>1</v>
      </c>
      <c r="E456" s="78" t="n">
        <v>45382</v>
      </c>
      <c r="F456" s="76" t="s">
        <v>236</v>
      </c>
      <c r="G456" s="76" t="s">
        <v>237</v>
      </c>
      <c r="H456" s="76" t="s">
        <v>238</v>
      </c>
      <c r="I456" s="79" t="n">
        <v>599.819</v>
      </c>
      <c r="J456" s="79" t="n">
        <v>339.282</v>
      </c>
      <c r="K456" s="80"/>
      <c r="L456" s="79" t="n">
        <v>162.348</v>
      </c>
      <c r="M456" s="79" t="n">
        <v>2557.829</v>
      </c>
      <c r="N456" s="80"/>
      <c r="O456" s="80" t="n">
        <v>112.830001831055</v>
      </c>
      <c r="P456" s="47" t="n">
        <v>10</v>
      </c>
      <c r="Q456" s="66" t="s">
        <v>720</v>
      </c>
    </row>
    <row r="457" customFormat="false" ht="15" hidden="false" customHeight="false" outlineLevel="0" collapsed="false">
      <c r="A457" s="76" t="s">
        <v>184</v>
      </c>
      <c r="B457" s="76" t="s">
        <v>258</v>
      </c>
      <c r="C457" s="77" t="n">
        <v>2023</v>
      </c>
      <c r="D457" s="77" t="n">
        <v>4</v>
      </c>
      <c r="E457" s="78" t="n">
        <v>45291</v>
      </c>
      <c r="F457" s="76" t="s">
        <v>236</v>
      </c>
      <c r="G457" s="76" t="s">
        <v>237</v>
      </c>
      <c r="H457" s="76" t="s">
        <v>238</v>
      </c>
      <c r="I457" s="79" t="n">
        <v>670.599</v>
      </c>
      <c r="J457" s="79" t="n">
        <v>379.544</v>
      </c>
      <c r="K457" s="80" t="n">
        <v>0.79</v>
      </c>
      <c r="L457" s="79" t="n">
        <v>164.304</v>
      </c>
      <c r="M457" s="79" t="n">
        <v>2525.897</v>
      </c>
      <c r="N457" s="80" t="n">
        <v>0.11</v>
      </c>
      <c r="O457" s="80" t="n">
        <v>108.519996643066</v>
      </c>
      <c r="P457" s="47" t="n">
        <v>11</v>
      </c>
      <c r="Q457" s="66" t="s">
        <v>721</v>
      </c>
    </row>
    <row r="458" customFormat="false" ht="15" hidden="false" customHeight="false" outlineLevel="0" collapsed="false">
      <c r="A458" s="76" t="s">
        <v>184</v>
      </c>
      <c r="B458" s="76" t="s">
        <v>260</v>
      </c>
      <c r="C458" s="77" t="n">
        <v>2023</v>
      </c>
      <c r="D458" s="77" t="n">
        <v>3</v>
      </c>
      <c r="E458" s="78" t="n">
        <v>45199</v>
      </c>
      <c r="F458" s="76" t="s">
        <v>236</v>
      </c>
      <c r="G458" s="76" t="s">
        <v>237</v>
      </c>
      <c r="H458" s="76" t="s">
        <v>238</v>
      </c>
      <c r="I458" s="79" t="n">
        <v>703.732</v>
      </c>
      <c r="J458" s="79" t="n">
        <v>398.291</v>
      </c>
      <c r="K458" s="80" t="n">
        <v>0.8</v>
      </c>
      <c r="L458" s="79" t="n">
        <v>166.41675</v>
      </c>
      <c r="M458" s="79" t="n">
        <v>2441.3</v>
      </c>
      <c r="N458" s="80" t="n">
        <v>0.11</v>
      </c>
      <c r="O458" s="80" t="n">
        <v>100.459999084473</v>
      </c>
      <c r="P458" s="47" t="n">
        <v>12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262</v>
      </c>
      <c r="C459" s="77" t="n">
        <v>2023</v>
      </c>
      <c r="D459" s="77" t="n">
        <v>2</v>
      </c>
      <c r="E459" s="78" t="n">
        <v>45107</v>
      </c>
      <c r="F459" s="76" t="s">
        <v>236</v>
      </c>
      <c r="G459" s="76" t="s">
        <v>237</v>
      </c>
      <c r="H459" s="76" t="s">
        <v>238</v>
      </c>
      <c r="I459" s="79" t="n">
        <v>684.437</v>
      </c>
      <c r="J459" s="79" t="n">
        <v>402.492</v>
      </c>
      <c r="K459" s="80" t="n">
        <v>0.79</v>
      </c>
      <c r="L459" s="79" t="n">
        <v>164.751</v>
      </c>
      <c r="M459" s="79" t="n">
        <v>2434.883</v>
      </c>
      <c r="N459" s="80" t="n">
        <v>0.11</v>
      </c>
      <c r="O459" s="80" t="n">
        <v>111.330001831055</v>
      </c>
      <c r="P459" s="47" t="n">
        <v>13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264</v>
      </c>
      <c r="C460" s="77" t="n">
        <v>2023</v>
      </c>
      <c r="D460" s="77" t="n">
        <v>1</v>
      </c>
      <c r="E460" s="78" t="n">
        <v>45016</v>
      </c>
      <c r="F460" s="76" t="s">
        <v>236</v>
      </c>
      <c r="G460" s="76" t="s">
        <v>237</v>
      </c>
      <c r="H460" s="76" t="s">
        <v>238</v>
      </c>
      <c r="I460" s="79" t="n">
        <v>617.529</v>
      </c>
      <c r="J460" s="79" t="n">
        <v>356.42</v>
      </c>
      <c r="K460" s="80" t="n">
        <v>0.55</v>
      </c>
      <c r="L460" s="79" t="n">
        <v>166.308</v>
      </c>
      <c r="M460" s="79" t="n">
        <v>2449.462</v>
      </c>
      <c r="N460" s="80" t="n">
        <v>0.11</v>
      </c>
      <c r="O460" s="80" t="n">
        <v>107.510002136231</v>
      </c>
      <c r="P460" s="47" t="n">
        <v>14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266</v>
      </c>
      <c r="C461" s="77" t="n">
        <v>2022</v>
      </c>
      <c r="D461" s="77" t="n">
        <v>4</v>
      </c>
      <c r="E461" s="78" t="n">
        <v>44926</v>
      </c>
      <c r="F461" s="76" t="s">
        <v>236</v>
      </c>
      <c r="G461" s="76" t="s">
        <v>237</v>
      </c>
      <c r="H461" s="76" t="s">
        <v>238</v>
      </c>
      <c r="I461" s="79" t="n">
        <v>731.836</v>
      </c>
      <c r="J461" s="79" t="n">
        <v>420.45</v>
      </c>
      <c r="K461" s="80" t="n">
        <v>0.92</v>
      </c>
      <c r="L461" s="79"/>
      <c r="M461" s="79" t="n">
        <v>2451.294</v>
      </c>
      <c r="N461" s="80" t="n">
        <v>0.11</v>
      </c>
      <c r="O461" s="80" t="n">
        <v>87.3499984741211</v>
      </c>
      <c r="P461" s="47" t="n">
        <v>15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268</v>
      </c>
      <c r="C462" s="77" t="n">
        <v>2022</v>
      </c>
      <c r="D462" s="77" t="n">
        <v>3</v>
      </c>
      <c r="E462" s="78" t="n">
        <v>44834</v>
      </c>
      <c r="F462" s="76" t="s">
        <v>236</v>
      </c>
      <c r="G462" s="76" t="s">
        <v>237</v>
      </c>
      <c r="H462" s="76" t="s">
        <v>238</v>
      </c>
      <c r="I462" s="79" t="n">
        <v>827.073</v>
      </c>
      <c r="J462" s="79" t="n">
        <v>485.379</v>
      </c>
      <c r="K462" s="80" t="n">
        <v>1.15</v>
      </c>
      <c r="L462" s="79" t="n">
        <v>0.166733</v>
      </c>
      <c r="M462" s="79" t="n">
        <v>2254.125</v>
      </c>
      <c r="N462" s="80" t="n">
        <v>0.11</v>
      </c>
      <c r="O462" s="80" t="n">
        <v>75.1500015258789</v>
      </c>
      <c r="P462" s="47" t="n">
        <v>16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270</v>
      </c>
      <c r="C463" s="77" t="n">
        <v>2022</v>
      </c>
      <c r="D463" s="77" t="n">
        <v>2</v>
      </c>
      <c r="E463" s="78" t="n">
        <v>44742</v>
      </c>
      <c r="F463" s="76" t="s">
        <v>236</v>
      </c>
      <c r="G463" s="76" t="s">
        <v>237</v>
      </c>
      <c r="H463" s="76" t="s">
        <v>238</v>
      </c>
      <c r="I463" s="79" t="n">
        <v>840.766</v>
      </c>
      <c r="J463" s="79" t="n">
        <v>506.389</v>
      </c>
      <c r="K463" s="80" t="n">
        <v>1.21</v>
      </c>
      <c r="L463" s="79" t="n">
        <v>171.159</v>
      </c>
      <c r="M463" s="79" t="n">
        <v>2298.596</v>
      </c>
      <c r="N463" s="80" t="n">
        <v>0.11</v>
      </c>
      <c r="O463" s="80" t="n">
        <v>89.5500030517578</v>
      </c>
      <c r="P463" s="47" t="n">
        <v>17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272</v>
      </c>
      <c r="C464" s="77" t="n">
        <v>2022</v>
      </c>
      <c r="D464" s="77" t="n">
        <v>1</v>
      </c>
      <c r="E464" s="78" t="n">
        <v>44651</v>
      </c>
      <c r="F464" s="76" t="s">
        <v>236</v>
      </c>
      <c r="G464" s="76" t="s">
        <v>237</v>
      </c>
      <c r="H464" s="76" t="s">
        <v>238</v>
      </c>
      <c r="I464" s="79" t="n">
        <v>755.37</v>
      </c>
      <c r="J464" s="79" t="n">
        <v>454.933</v>
      </c>
      <c r="K464" s="80" t="n">
        <v>0.98</v>
      </c>
      <c r="L464" s="79" t="n">
        <v>175.575</v>
      </c>
      <c r="M464" s="79" t="n">
        <v>2474.532</v>
      </c>
      <c r="N464" s="80" t="n">
        <v>0.11</v>
      </c>
      <c r="O464" s="80" t="n">
        <v>118.230003356934</v>
      </c>
      <c r="P464" s="47" t="n">
        <v>18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274</v>
      </c>
      <c r="C465" s="77" t="n">
        <v>2021</v>
      </c>
      <c r="D465" s="77" t="n">
        <v>4</v>
      </c>
      <c r="E465" s="78" t="n">
        <v>44561</v>
      </c>
      <c r="F465" s="76" t="s">
        <v>236</v>
      </c>
      <c r="G465" s="76" t="s">
        <v>237</v>
      </c>
      <c r="H465" s="76" t="s">
        <v>238</v>
      </c>
      <c r="I465" s="79" t="n">
        <v>885.046</v>
      </c>
      <c r="J465" s="79" t="n">
        <v>527.048</v>
      </c>
      <c r="K465" s="80" t="n">
        <v>1.37</v>
      </c>
      <c r="L465" s="79"/>
      <c r="M465" s="79" t="n">
        <v>2563.956</v>
      </c>
      <c r="N465" s="80" t="n">
        <v>0.1</v>
      </c>
      <c r="O465" s="80" t="n">
        <v>163.529998779297</v>
      </c>
      <c r="P465" s="47" t="n">
        <v>19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276</v>
      </c>
      <c r="C466" s="77" t="n">
        <v>2021</v>
      </c>
      <c r="D466" s="77" t="n">
        <v>3</v>
      </c>
      <c r="E466" s="78" t="n">
        <v>44469</v>
      </c>
      <c r="F466" s="76" t="s">
        <v>236</v>
      </c>
      <c r="G466" s="76" t="s">
        <v>237</v>
      </c>
      <c r="H466" s="76" t="s">
        <v>238</v>
      </c>
      <c r="I466" s="79" t="n">
        <v>950.501</v>
      </c>
      <c r="J466" s="79" t="n">
        <v>571.001</v>
      </c>
      <c r="K466" s="80" t="n">
        <v>1.59</v>
      </c>
      <c r="L466" s="79" t="n">
        <v>181.987</v>
      </c>
      <c r="M466" s="79" t="n">
        <v>2540.374</v>
      </c>
      <c r="N466" s="80" t="n">
        <v>0.1</v>
      </c>
      <c r="O466" s="80" t="n">
        <v>109.169998168945</v>
      </c>
      <c r="P466" s="47" t="n">
        <v>20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278</v>
      </c>
      <c r="C467" s="77" t="n">
        <v>2021</v>
      </c>
      <c r="D467" s="77" t="n">
        <v>2</v>
      </c>
      <c r="E467" s="78" t="n">
        <v>44377</v>
      </c>
      <c r="F467" s="76" t="s">
        <v>236</v>
      </c>
      <c r="G467" s="76" t="s">
        <v>237</v>
      </c>
      <c r="H467" s="76" t="s">
        <v>238</v>
      </c>
      <c r="I467" s="79" t="n">
        <v>1085.728</v>
      </c>
      <c r="J467" s="79" t="n">
        <v>646.989</v>
      </c>
      <c r="K467" s="80" t="n">
        <v>1.91</v>
      </c>
      <c r="L467" s="79" t="n">
        <v>186.75</v>
      </c>
      <c r="M467" s="79" t="n">
        <v>2514.642</v>
      </c>
      <c r="N467" s="80" t="n">
        <v>0.1</v>
      </c>
      <c r="O467" s="80" t="n">
        <v>133.960006713867</v>
      </c>
      <c r="P467" s="47" t="n">
        <v>21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280</v>
      </c>
      <c r="C468" s="77" t="n">
        <v>2021</v>
      </c>
      <c r="D468" s="77" t="n">
        <v>1</v>
      </c>
      <c r="E468" s="78" t="n">
        <v>44286</v>
      </c>
      <c r="F468" s="76" t="s">
        <v>236</v>
      </c>
      <c r="G468" s="76" t="s">
        <v>237</v>
      </c>
      <c r="H468" s="76" t="s">
        <v>238</v>
      </c>
      <c r="I468" s="79" t="n">
        <v>781.606</v>
      </c>
      <c r="J468" s="79" t="n">
        <v>461.618</v>
      </c>
      <c r="K468" s="80" t="n">
        <v>1.11</v>
      </c>
      <c r="L468" s="79" t="n">
        <v>187.74</v>
      </c>
      <c r="M468" s="79" t="n">
        <v>2325.786</v>
      </c>
      <c r="N468" s="80" t="n">
        <v>0.1</v>
      </c>
      <c r="O468" s="80" t="n">
        <v>121.680000305176</v>
      </c>
      <c r="P468" s="47" t="n">
        <v>22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282</v>
      </c>
      <c r="C469" s="77" t="n">
        <v>2020</v>
      </c>
      <c r="D469" s="77" t="n">
        <v>4</v>
      </c>
      <c r="E469" s="78" t="n">
        <v>44196</v>
      </c>
      <c r="F469" s="76" t="s">
        <v>236</v>
      </c>
      <c r="G469" s="76" t="s">
        <v>237</v>
      </c>
      <c r="H469" s="76" t="s">
        <v>238</v>
      </c>
      <c r="I469" s="79" t="n">
        <v>758.969</v>
      </c>
      <c r="J469" s="79" t="n">
        <v>449.79</v>
      </c>
      <c r="K469" s="80" t="n">
        <v>1.1</v>
      </c>
      <c r="L469" s="79"/>
      <c r="M469" s="79" t="n">
        <v>2210.805</v>
      </c>
      <c r="N469" s="80" t="n">
        <v>0.1</v>
      </c>
      <c r="O469" s="80" t="n">
        <v>119.889999389648</v>
      </c>
      <c r="P469" s="47" t="n">
        <v>23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284</v>
      </c>
      <c r="C470" s="77" t="n">
        <v>2020</v>
      </c>
      <c r="D470" s="77" t="n">
        <v>3</v>
      </c>
      <c r="E470" s="78" t="n">
        <v>44104</v>
      </c>
      <c r="F470" s="76" t="s">
        <v>236</v>
      </c>
      <c r="G470" s="76" t="s">
        <v>237</v>
      </c>
      <c r="H470" s="76" t="s">
        <v>238</v>
      </c>
      <c r="I470" s="79" t="n">
        <v>819.484</v>
      </c>
      <c r="J470" s="79" t="n">
        <v>458.928</v>
      </c>
      <c r="K470" s="80" t="n">
        <v>1.18</v>
      </c>
      <c r="L470" s="79" t="n">
        <v>184.338</v>
      </c>
      <c r="M470" s="79" t="n">
        <v>1993.544</v>
      </c>
      <c r="N470" s="80"/>
      <c r="O470" s="80" t="n">
        <v>79.4599990844727</v>
      </c>
      <c r="P470" s="47" t="n">
        <v>24</v>
      </c>
      <c r="Q470" s="66" t="s">
        <v>734</v>
      </c>
    </row>
    <row r="471" customFormat="false" ht="15" hidden="false" customHeight="false" outlineLevel="0" collapsed="false">
      <c r="A471" s="76" t="s">
        <v>175</v>
      </c>
      <c r="B471" s="76" t="s">
        <v>735</v>
      </c>
      <c r="C471" s="77" t="n">
        <v>2026</v>
      </c>
      <c r="D471" s="77" t="n">
        <v>3</v>
      </c>
      <c r="E471" s="78" t="n">
        <v>46294</v>
      </c>
      <c r="F471" s="76" t="s">
        <v>736</v>
      </c>
      <c r="G471" s="76" t="s">
        <v>737</v>
      </c>
      <c r="H471" s="76" t="s">
        <v>238</v>
      </c>
      <c r="I471" s="79"/>
      <c r="J471" s="79"/>
      <c r="K471" s="80" t="n">
        <v>0.14333</v>
      </c>
      <c r="L471" s="79"/>
      <c r="M471" s="79"/>
      <c r="N471" s="80"/>
      <c r="O471" s="80"/>
      <c r="P471" s="47" t="n">
        <v>0</v>
      </c>
      <c r="Q471" s="66" t="s">
        <v>738</v>
      </c>
    </row>
    <row r="472" customFormat="false" ht="15" hidden="false" customHeight="false" outlineLevel="0" collapsed="false">
      <c r="A472" s="76" t="s">
        <v>84</v>
      </c>
      <c r="B472" s="76" t="s">
        <v>739</v>
      </c>
      <c r="C472" s="77" t="n">
        <v>2026</v>
      </c>
      <c r="D472" s="77" t="n">
        <v>4</v>
      </c>
      <c r="E472" s="78" t="n">
        <v>46294</v>
      </c>
      <c r="F472" s="76" t="s">
        <v>736</v>
      </c>
      <c r="G472" s="76" t="s">
        <v>737</v>
      </c>
      <c r="H472" s="76" t="s">
        <v>238</v>
      </c>
      <c r="I472" s="79"/>
      <c r="J472" s="79"/>
      <c r="K472" s="80" t="n">
        <v>1.97656</v>
      </c>
      <c r="L472" s="79"/>
      <c r="M472" s="79"/>
      <c r="N472" s="80"/>
      <c r="O472" s="80"/>
      <c r="P472" s="47" t="n">
        <v>0</v>
      </c>
      <c r="Q472" s="66" t="s">
        <v>740</v>
      </c>
    </row>
    <row r="473" customFormat="false" ht="15" hidden="false" customHeight="false" outlineLevel="0" collapsed="false">
      <c r="A473" s="76" t="s">
        <v>199</v>
      </c>
      <c r="B473" s="76" t="s">
        <v>735</v>
      </c>
      <c r="C473" s="77" t="n">
        <v>2026</v>
      </c>
      <c r="D473" s="77" t="n">
        <v>3</v>
      </c>
      <c r="E473" s="78" t="n">
        <v>46294</v>
      </c>
      <c r="F473" s="76" t="s">
        <v>736</v>
      </c>
      <c r="G473" s="76" t="s">
        <v>737</v>
      </c>
      <c r="H473" s="76" t="s">
        <v>238</v>
      </c>
      <c r="I473" s="79"/>
      <c r="J473" s="79"/>
      <c r="K473" s="80" t="n">
        <v>1.95485</v>
      </c>
      <c r="L473" s="79"/>
      <c r="M473" s="79"/>
      <c r="N473" s="80"/>
      <c r="O473" s="80"/>
      <c r="P473" s="47" t="n">
        <v>0</v>
      </c>
      <c r="Q473" s="66" t="s">
        <v>741</v>
      </c>
    </row>
    <row r="474" customFormat="false" ht="15" hidden="false" customHeight="false" outlineLevel="0" collapsed="false">
      <c r="A474" s="76" t="s">
        <v>214</v>
      </c>
      <c r="B474" s="76" t="s">
        <v>739</v>
      </c>
      <c r="C474" s="77" t="n">
        <v>2026</v>
      </c>
      <c r="D474" s="77" t="n">
        <v>4</v>
      </c>
      <c r="E474" s="78" t="n">
        <v>46325</v>
      </c>
      <c r="F474" s="76" t="s">
        <v>736</v>
      </c>
      <c r="G474" s="76" t="s">
        <v>737</v>
      </c>
      <c r="H474" s="76" t="s">
        <v>238</v>
      </c>
      <c r="I474" s="79"/>
      <c r="J474" s="79"/>
      <c r="K474" s="80" t="n">
        <v>3.82578</v>
      </c>
      <c r="L474" s="79"/>
      <c r="M474" s="79"/>
      <c r="N474" s="80"/>
      <c r="O474" s="80"/>
      <c r="P474" s="47" t="n">
        <v>0</v>
      </c>
      <c r="Q474" s="66" t="s">
        <v>742</v>
      </c>
    </row>
    <row r="475" customFormat="false" ht="15" hidden="false" customHeight="false" outlineLevel="0" collapsed="false">
      <c r="A475" s="76" t="s">
        <v>196</v>
      </c>
      <c r="B475" s="76" t="s">
        <v>735</v>
      </c>
      <c r="C475" s="77" t="n">
        <v>2026</v>
      </c>
      <c r="D475" s="77" t="n">
        <v>3</v>
      </c>
      <c r="E475" s="78" t="n">
        <v>46294</v>
      </c>
      <c r="F475" s="76" t="s">
        <v>736</v>
      </c>
      <c r="G475" s="76" t="s">
        <v>737</v>
      </c>
      <c r="H475" s="76" t="s">
        <v>238</v>
      </c>
      <c r="I475" s="79"/>
      <c r="J475" s="79"/>
      <c r="K475" s="80" t="n">
        <v>3.74379</v>
      </c>
      <c r="L475" s="79"/>
      <c r="M475" s="79"/>
      <c r="N475" s="80"/>
      <c r="O475" s="80"/>
      <c r="P475" s="47" t="n">
        <v>0</v>
      </c>
      <c r="Q475" s="66" t="s">
        <v>743</v>
      </c>
    </row>
    <row r="476" customFormat="false" ht="15" hidden="false" customHeight="false" outlineLevel="0" collapsed="false">
      <c r="A476" s="76" t="s">
        <v>191</v>
      </c>
      <c r="B476" s="76" t="s">
        <v>744</v>
      </c>
      <c r="C476" s="77" t="n">
        <v>2027</v>
      </c>
      <c r="D476" s="77" t="n">
        <v>3</v>
      </c>
      <c r="E476" s="78" t="n">
        <v>46325</v>
      </c>
      <c r="F476" s="76" t="s">
        <v>736</v>
      </c>
      <c r="G476" s="76" t="s">
        <v>737</v>
      </c>
      <c r="H476" s="76" t="s">
        <v>238</v>
      </c>
      <c r="I476" s="79"/>
      <c r="J476" s="79"/>
      <c r="K476" s="80" t="n">
        <v>0.31116</v>
      </c>
      <c r="L476" s="79"/>
      <c r="M476" s="79"/>
      <c r="N476" s="80"/>
      <c r="O476" s="80"/>
      <c r="P476" s="47" t="n">
        <v>0</v>
      </c>
      <c r="Q476" s="66" t="s">
        <v>745</v>
      </c>
    </row>
    <row r="477" customFormat="false" ht="15" hidden="false" customHeight="false" outlineLevel="0" collapsed="false">
      <c r="A477" s="76" t="s">
        <v>187</v>
      </c>
      <c r="B477" s="76" t="s">
        <v>746</v>
      </c>
      <c r="C477" s="77" t="n">
        <v>2027</v>
      </c>
      <c r="D477" s="77" t="n">
        <v>2</v>
      </c>
      <c r="E477" s="78" t="n">
        <v>46233</v>
      </c>
      <c r="F477" s="76" t="s">
        <v>736</v>
      </c>
      <c r="G477" s="76" t="s">
        <v>737</v>
      </c>
      <c r="H477" s="76" t="s">
        <v>238</v>
      </c>
      <c r="I477" s="79"/>
      <c r="J477" s="79"/>
      <c r="K477" s="80" t="n">
        <v>4.91986</v>
      </c>
      <c r="L477" s="79"/>
      <c r="M477" s="79"/>
      <c r="N477" s="80"/>
      <c r="O477" s="80"/>
      <c r="P477" s="47" t="n">
        <v>0</v>
      </c>
      <c r="Q477" s="66" t="s">
        <v>747</v>
      </c>
    </row>
    <row r="478" customFormat="false" ht="15" hidden="false" customHeight="false" outlineLevel="0" collapsed="false">
      <c r="A478" s="76" t="s">
        <v>189</v>
      </c>
      <c r="B478" s="76" t="s">
        <v>735</v>
      </c>
      <c r="C478" s="77" t="n">
        <v>2026</v>
      </c>
      <c r="D478" s="77" t="n">
        <v>3</v>
      </c>
      <c r="E478" s="78" t="n">
        <v>46294</v>
      </c>
      <c r="F478" s="76" t="s">
        <v>736</v>
      </c>
      <c r="G478" s="76" t="s">
        <v>737</v>
      </c>
      <c r="H478" s="76" t="s">
        <v>238</v>
      </c>
      <c r="I478" s="79"/>
      <c r="J478" s="79"/>
      <c r="K478" s="80" t="n">
        <v>1.055</v>
      </c>
      <c r="L478" s="79"/>
      <c r="M478" s="79"/>
      <c r="N478" s="80"/>
      <c r="O478" s="80"/>
      <c r="P478" s="47" t="n">
        <v>0</v>
      </c>
      <c r="Q478" s="66" t="s">
        <v>748</v>
      </c>
    </row>
    <row r="479" customFormat="false" ht="15" hidden="false" customHeight="false" outlineLevel="0" collapsed="false">
      <c r="A479" s="76" t="s">
        <v>202</v>
      </c>
      <c r="B479" s="76" t="s">
        <v>735</v>
      </c>
      <c r="C479" s="77" t="n">
        <v>2026</v>
      </c>
      <c r="D479" s="77" t="n">
        <v>3</v>
      </c>
      <c r="E479" s="78" t="n">
        <v>46294</v>
      </c>
      <c r="F479" s="76" t="s">
        <v>736</v>
      </c>
      <c r="G479" s="76" t="s">
        <v>737</v>
      </c>
      <c r="H479" s="76" t="s">
        <v>238</v>
      </c>
      <c r="I479" s="79"/>
      <c r="J479" s="79"/>
      <c r="K479" s="80" t="n">
        <v>3.00444</v>
      </c>
      <c r="L479" s="79"/>
      <c r="M479" s="79"/>
      <c r="N479" s="80"/>
      <c r="O479" s="80"/>
      <c r="P479" s="47" t="n">
        <v>0</v>
      </c>
      <c r="Q479" s="66" t="s">
        <v>749</v>
      </c>
    </row>
    <row r="480" customFormat="false" ht="15" hidden="false" customHeight="false" outlineLevel="0" collapsed="false">
      <c r="A480" s="76" t="s">
        <v>179</v>
      </c>
      <c r="B480" s="76" t="s">
        <v>744</v>
      </c>
      <c r="C480" s="77" t="n">
        <v>2027</v>
      </c>
      <c r="D480" s="77" t="n">
        <v>3</v>
      </c>
      <c r="E480" s="78" t="n">
        <v>46325</v>
      </c>
      <c r="F480" s="76" t="s">
        <v>736</v>
      </c>
      <c r="G480" s="76" t="s">
        <v>737</v>
      </c>
      <c r="H480" s="76" t="s">
        <v>238</v>
      </c>
      <c r="I480" s="79"/>
      <c r="J480" s="79"/>
      <c r="K480" s="80" t="n">
        <v>1.1004</v>
      </c>
      <c r="L480" s="79"/>
      <c r="M480" s="79"/>
      <c r="N480" s="80"/>
      <c r="O480" s="80"/>
      <c r="P480" s="47" t="n">
        <v>0</v>
      </c>
      <c r="Q480" s="66" t="s">
        <v>750</v>
      </c>
    </row>
    <row r="481" customFormat="false" ht="15" hidden="false" customHeight="false" outlineLevel="0" collapsed="false">
      <c r="A481" s="76" t="s">
        <v>169</v>
      </c>
      <c r="B481" s="76" t="s">
        <v>751</v>
      </c>
      <c r="C481" s="77" t="n">
        <v>2027</v>
      </c>
      <c r="D481" s="77" t="n">
        <v>1</v>
      </c>
      <c r="E481" s="78" t="n">
        <v>46294</v>
      </c>
      <c r="F481" s="76" t="s">
        <v>736</v>
      </c>
      <c r="G481" s="76" t="s">
        <v>737</v>
      </c>
      <c r="H481" s="76" t="s">
        <v>238</v>
      </c>
      <c r="I481" s="79"/>
      <c r="J481" s="79"/>
      <c r="K481" s="80" t="n">
        <v>4.72092</v>
      </c>
      <c r="L481" s="79"/>
      <c r="M481" s="79"/>
      <c r="N481" s="80"/>
      <c r="O481" s="80"/>
      <c r="P481" s="47" t="n">
        <v>0</v>
      </c>
      <c r="Q481" s="66" t="s">
        <v>752</v>
      </c>
    </row>
    <row r="482" customFormat="false" ht="15" hidden="false" customHeight="false" outlineLevel="0" collapsed="false">
      <c r="A482" s="76" t="s">
        <v>182</v>
      </c>
      <c r="B482" s="76" t="s">
        <v>739</v>
      </c>
      <c r="C482" s="77" t="n">
        <v>2026</v>
      </c>
      <c r="D482" s="77" t="n">
        <v>4</v>
      </c>
      <c r="E482" s="78" t="n">
        <v>46264</v>
      </c>
      <c r="F482" s="76" t="s">
        <v>736</v>
      </c>
      <c r="G482" s="76" t="s">
        <v>737</v>
      </c>
      <c r="H482" s="76" t="s">
        <v>238</v>
      </c>
      <c r="I482" s="79"/>
      <c r="J482" s="79"/>
      <c r="K482" s="80" t="n">
        <v>31.28341</v>
      </c>
      <c r="L482" s="79"/>
      <c r="M482" s="79"/>
      <c r="N482" s="80"/>
      <c r="O482" s="80"/>
      <c r="P482" s="47" t="n">
        <v>0</v>
      </c>
      <c r="Q482" s="66" t="s">
        <v>753</v>
      </c>
    </row>
    <row r="483" customFormat="false" ht="15" hidden="false" customHeight="false" outlineLevel="0" collapsed="false">
      <c r="A483" s="76" t="s">
        <v>193</v>
      </c>
      <c r="B483" s="76" t="s">
        <v>735</v>
      </c>
      <c r="C483" s="77" t="n">
        <v>2026</v>
      </c>
      <c r="D483" s="77" t="n">
        <v>3</v>
      </c>
      <c r="E483" s="78" t="n">
        <v>46294</v>
      </c>
      <c r="F483" s="76" t="s">
        <v>736</v>
      </c>
      <c r="G483" s="76" t="s">
        <v>737</v>
      </c>
      <c r="H483" s="76" t="s">
        <v>238</v>
      </c>
      <c r="I483" s="79"/>
      <c r="J483" s="79"/>
      <c r="K483" s="80" t="n">
        <v>0.34308</v>
      </c>
      <c r="L483" s="79"/>
      <c r="M483" s="79"/>
      <c r="N483" s="80"/>
      <c r="O483" s="80"/>
      <c r="P483" s="47" t="n">
        <v>0</v>
      </c>
      <c r="Q483" s="66" t="s">
        <v>754</v>
      </c>
    </row>
    <row r="484" customFormat="false" ht="15" hidden="false" customHeight="false" outlineLevel="0" collapsed="false">
      <c r="A484" s="76" t="s">
        <v>172</v>
      </c>
      <c r="B484" s="76" t="s">
        <v>744</v>
      </c>
      <c r="C484" s="77" t="n">
        <v>2027</v>
      </c>
      <c r="D484" s="77" t="n">
        <v>3</v>
      </c>
      <c r="E484" s="78" t="n">
        <v>46325</v>
      </c>
      <c r="F484" s="76" t="s">
        <v>736</v>
      </c>
      <c r="G484" s="76" t="s">
        <v>737</v>
      </c>
      <c r="H484" s="76" t="s">
        <v>238</v>
      </c>
      <c r="I484" s="79"/>
      <c r="J484" s="79"/>
      <c r="K484" s="80" t="n">
        <v>2.34</v>
      </c>
      <c r="L484" s="79"/>
      <c r="M484" s="79"/>
      <c r="N484" s="80"/>
      <c r="O484" s="80"/>
      <c r="P484" s="47" t="n">
        <v>0</v>
      </c>
      <c r="Q484" s="66" t="s">
        <v>755</v>
      </c>
    </row>
    <row r="485" customFormat="false" ht="15" hidden="false" customHeight="false" outlineLevel="0" collapsed="false">
      <c r="A485" s="76" t="s">
        <v>205</v>
      </c>
      <c r="B485" s="76" t="s">
        <v>744</v>
      </c>
      <c r="C485" s="77" t="n">
        <v>2027</v>
      </c>
      <c r="D485" s="77" t="n">
        <v>3</v>
      </c>
      <c r="E485" s="78" t="n">
        <v>46325</v>
      </c>
      <c r="F485" s="76" t="s">
        <v>736</v>
      </c>
      <c r="G485" s="76" t="s">
        <v>737</v>
      </c>
      <c r="H485" s="76" t="s">
        <v>238</v>
      </c>
      <c r="I485" s="79"/>
      <c r="J485" s="79"/>
      <c r="K485" s="80" t="n">
        <v>0.93474</v>
      </c>
      <c r="L485" s="79"/>
      <c r="M485" s="79"/>
      <c r="N485" s="80"/>
      <c r="O485" s="80"/>
      <c r="P485" s="47" t="n">
        <v>0</v>
      </c>
      <c r="Q485" s="66" t="s">
        <v>756</v>
      </c>
    </row>
    <row r="486" customFormat="false" ht="15" hidden="false" customHeight="false" outlineLevel="0" collapsed="false">
      <c r="A486" s="76" t="s">
        <v>208</v>
      </c>
      <c r="B486" s="76" t="s">
        <v>735</v>
      </c>
      <c r="C486" s="77" t="n">
        <v>2026</v>
      </c>
      <c r="D486" s="77" t="n">
        <v>3</v>
      </c>
      <c r="E486" s="78" t="n">
        <v>46294</v>
      </c>
      <c r="F486" s="76" t="s">
        <v>736</v>
      </c>
      <c r="G486" s="76" t="s">
        <v>737</v>
      </c>
      <c r="H486" s="76" t="s">
        <v>238</v>
      </c>
      <c r="I486" s="79"/>
      <c r="J486" s="79"/>
      <c r="K486" s="80" t="n">
        <v>0.41452</v>
      </c>
      <c r="L486" s="79"/>
      <c r="M486" s="79"/>
      <c r="N486" s="80"/>
      <c r="O486" s="80"/>
      <c r="P486" s="47" t="n">
        <v>0</v>
      </c>
      <c r="Q486" s="66" t="s">
        <v>757</v>
      </c>
    </row>
    <row r="487" customFormat="false" ht="15" hidden="false" customHeight="false" outlineLevel="0" collapsed="false">
      <c r="A487" s="76" t="s">
        <v>212</v>
      </c>
      <c r="B487" s="76" t="s">
        <v>739</v>
      </c>
      <c r="C487" s="77" t="n">
        <v>2026</v>
      </c>
      <c r="D487" s="77" t="n">
        <v>4</v>
      </c>
      <c r="E487" s="78" t="n">
        <v>46294</v>
      </c>
      <c r="F487" s="76" t="s">
        <v>736</v>
      </c>
      <c r="G487" s="76" t="s">
        <v>737</v>
      </c>
      <c r="H487" s="76" t="s">
        <v>238</v>
      </c>
      <c r="I487" s="79"/>
      <c r="J487" s="79"/>
      <c r="K487" s="80" t="n">
        <v>2.1566</v>
      </c>
      <c r="L487" s="79"/>
      <c r="M487" s="79"/>
      <c r="N487" s="80"/>
      <c r="O487" s="80"/>
      <c r="P487" s="47" t="n">
        <v>0</v>
      </c>
      <c r="Q487" s="66" t="s">
        <v>758</v>
      </c>
    </row>
    <row r="488" customFormat="false" ht="15" hidden="false" customHeight="false" outlineLevel="0" collapsed="false">
      <c r="A488" s="76" t="s">
        <v>210</v>
      </c>
      <c r="B488" s="76" t="s">
        <v>744</v>
      </c>
      <c r="C488" s="77" t="n">
        <v>2027</v>
      </c>
      <c r="D488" s="77" t="n">
        <v>3</v>
      </c>
      <c r="E488" s="78" t="n">
        <v>46325</v>
      </c>
      <c r="F488" s="76" t="s">
        <v>736</v>
      </c>
      <c r="G488" s="76" t="s">
        <v>737</v>
      </c>
      <c r="H488" s="76" t="s">
        <v>238</v>
      </c>
      <c r="I488" s="79"/>
      <c r="J488" s="79"/>
      <c r="K488" s="80" t="n">
        <v>1.0557</v>
      </c>
      <c r="L488" s="79"/>
      <c r="M488" s="79"/>
      <c r="N488" s="80"/>
      <c r="O488" s="80"/>
      <c r="P488" s="47" t="n">
        <v>0</v>
      </c>
      <c r="Q488" s="66" t="s">
        <v>759</v>
      </c>
    </row>
    <row r="489" customFormat="false" ht="15" hidden="false" customHeight="false" outlineLevel="0" collapsed="false">
      <c r="A489" s="76" t="s">
        <v>216</v>
      </c>
      <c r="B489" s="76" t="s">
        <v>751</v>
      </c>
      <c r="C489" s="77" t="n">
        <v>2027</v>
      </c>
      <c r="D489" s="77" t="n">
        <v>1</v>
      </c>
      <c r="E489" s="78" t="n">
        <v>46294</v>
      </c>
      <c r="F489" s="76" t="s">
        <v>736</v>
      </c>
      <c r="G489" s="76" t="s">
        <v>737</v>
      </c>
      <c r="H489" s="76" t="s">
        <v>238</v>
      </c>
      <c r="I489" s="79"/>
      <c r="J489" s="79"/>
      <c r="K489" s="80" t="n">
        <v>46.20664</v>
      </c>
      <c r="L489" s="79"/>
      <c r="M489" s="79"/>
      <c r="N489" s="80"/>
      <c r="O489" s="80"/>
      <c r="P489" s="47" t="n">
        <v>0</v>
      </c>
      <c r="Q489" s="66" t="s">
        <v>760</v>
      </c>
    </row>
    <row r="490" customFormat="false" ht="15" hidden="false" customHeight="false" outlineLevel="0" collapsed="false">
      <c r="A490" s="76" t="s">
        <v>184</v>
      </c>
      <c r="B490" s="76" t="s">
        <v>735</v>
      </c>
      <c r="C490" s="77" t="n">
        <v>2026</v>
      </c>
      <c r="D490" s="77" t="n">
        <v>3</v>
      </c>
      <c r="E490" s="78" t="n">
        <v>46294</v>
      </c>
      <c r="F490" s="76" t="s">
        <v>736</v>
      </c>
      <c r="G490" s="76" t="s">
        <v>737</v>
      </c>
      <c r="H490" s="76" t="s">
        <v>238</v>
      </c>
      <c r="I490" s="79"/>
      <c r="J490" s="79"/>
      <c r="K490" s="80" t="n">
        <v>2.05052</v>
      </c>
      <c r="L490" s="79"/>
      <c r="M490" s="79"/>
      <c r="N490" s="80"/>
      <c r="O490" s="80"/>
      <c r="P490" s="47" t="n">
        <v>0</v>
      </c>
      <c r="Q490" s="66" t="s">
        <v>761</v>
      </c>
    </row>
    <row r="492" customFormat="false" ht="15" hidden="false" customHeight="false" outlineLevel="0" collapsed="false">
      <c r="A492" s="81" t="s">
        <v>762</v>
      </c>
    </row>
    <row r="493" customFormat="false" ht="15" hidden="false" customHeight="false" outlineLevel="0" collapsed="false">
      <c r="A493" s="41" t="s">
        <v>763</v>
      </c>
    </row>
    <row r="494" customFormat="false" ht="15" hidden="false" customHeight="false" outlineLevel="0" collapsed="false">
      <c r="A494" s="82" t="s">
        <v>764</v>
      </c>
      <c r="C494" s="24" t="s">
        <v>765</v>
      </c>
    </row>
    <row r="495" customFormat="false" ht="15" hidden="false" customHeight="false" outlineLevel="0" collapsed="false">
      <c r="A495" s="82" t="s">
        <v>766</v>
      </c>
      <c r="C495" s="24" t="s">
        <v>765</v>
      </c>
    </row>
    <row r="496" customFormat="false" ht="15" hidden="false" customHeight="false" outlineLevel="0" collapsed="false">
      <c r="A496" s="82" t="s">
        <v>767</v>
      </c>
      <c r="C496" s="24" t="s">
        <v>765</v>
      </c>
    </row>
    <row r="497" customFormat="false" ht="15" hidden="false" customHeight="false" outlineLevel="0" collapsed="false">
      <c r="A497" s="82" t="s">
        <v>768</v>
      </c>
      <c r="C497" s="24" t="s">
        <v>765</v>
      </c>
    </row>
    <row r="498" customFormat="false" ht="15" hidden="false" customHeight="false" outlineLevel="0" collapsed="false">
      <c r="A498" s="82" t="s">
        <v>769</v>
      </c>
      <c r="C498" s="24" t="s">
        <v>765</v>
      </c>
    </row>
    <row r="499" customFormat="false" ht="15" hidden="false" customHeight="false" outlineLevel="0" collapsed="false">
      <c r="A499" s="82" t="s">
        <v>770</v>
      </c>
      <c r="C499" s="24" t="s">
        <v>771</v>
      </c>
    </row>
    <row r="500" customFormat="false" ht="15" hidden="false" customHeight="false" outlineLevel="0" collapsed="false">
      <c r="A500" s="82" t="s">
        <v>772</v>
      </c>
      <c r="C500" s="24" t="s">
        <v>771</v>
      </c>
    </row>
    <row r="501" customFormat="false" ht="15" hidden="false" customHeight="false" outlineLevel="0" collapsed="false">
      <c r="A501" s="82" t="s">
        <v>773</v>
      </c>
      <c r="C501" s="25" t="s">
        <v>774</v>
      </c>
    </row>
    <row r="502" customFormat="false" ht="15" hidden="false" customHeight="false" outlineLevel="0" collapsed="false">
      <c r="A502" s="82" t="s">
        <v>775</v>
      </c>
      <c r="C502" s="24" t="s">
        <v>776</v>
      </c>
    </row>
    <row r="503" customFormat="false" ht="15" hidden="false" customHeight="false" outlineLevel="0" collapsed="false">
      <c r="A503" s="82" t="s">
        <v>777</v>
      </c>
      <c r="C503" s="24" t="s">
        <v>778</v>
      </c>
    </row>
    <row r="504" customFormat="false" ht="15" hidden="false" customHeight="false" outlineLevel="0" collapsed="false">
      <c r="A504" s="82" t="s">
        <v>779</v>
      </c>
      <c r="C504" s="25" t="s">
        <v>780</v>
      </c>
    </row>
    <row r="505" customFormat="false" ht="15" hidden="false" customHeight="false" outlineLevel="0" collapsed="false">
      <c r="A505" s="82" t="s">
        <v>781</v>
      </c>
      <c r="C505" s="24" t="s">
        <v>782</v>
      </c>
    </row>
    <row r="506" customFormat="false" ht="15" hidden="false" customHeight="false" outlineLevel="0" collapsed="false">
      <c r="A506" s="82" t="s">
        <v>783</v>
      </c>
      <c r="C506" s="25" t="s">
        <v>784</v>
      </c>
    </row>
    <row r="507" customFormat="false" ht="15" hidden="false" customHeight="false" outlineLevel="0" collapsed="false">
      <c r="A507" s="82" t="s">
        <v>785</v>
      </c>
      <c r="C507" s="24" t="s">
        <v>47</v>
      </c>
    </row>
    <row r="508" customFormat="false" ht="15" hidden="false" customHeight="false" outlineLevel="0" collapsed="false">
      <c r="A508" s="82" t="s">
        <v>786</v>
      </c>
      <c r="C508" s="24" t="s">
        <v>787</v>
      </c>
    </row>
    <row r="510" customFormat="false" ht="15" hidden="false" customHeight="false" outlineLevel="0" collapsed="false">
      <c r="A510" s="24" t="s">
        <v>788</v>
      </c>
    </row>
  </sheetData>
  <autoFilter ref="A1:Q4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789</v>
      </c>
      <c r="C1" s="14" t="s">
        <v>790</v>
      </c>
      <c r="D1" s="14" t="s">
        <v>791</v>
      </c>
      <c r="E1" s="14" t="s">
        <v>792</v>
      </c>
      <c r="F1" s="14" t="s">
        <v>793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4.21276</v>
      </c>
      <c r="C11" s="80" t="n">
        <v>6.7608</v>
      </c>
      <c r="D11" s="78" t="n">
        <v>46418</v>
      </c>
      <c r="E11" s="77" t="n">
        <v>33</v>
      </c>
      <c r="F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19.75972</v>
      </c>
      <c r="C12" s="80" t="n">
        <v>23.59268</v>
      </c>
      <c r="D12" s="78" t="n">
        <v>46568</v>
      </c>
      <c r="E12" s="77" t="n">
        <v>25</v>
      </c>
      <c r="F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73.43877</v>
      </c>
      <c r="C13" s="80" t="n">
        <v>156.06607</v>
      </c>
      <c r="D13" s="78" t="n">
        <v>46265</v>
      </c>
      <c r="E13" s="77" t="n">
        <v>31</v>
      </c>
      <c r="F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1.26316</v>
      </c>
      <c r="C14" s="80" t="n">
        <v>1.67614</v>
      </c>
      <c r="D14" s="78" t="n">
        <v>46387</v>
      </c>
      <c r="E14" s="77" t="n">
        <v>29</v>
      </c>
      <c r="F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9.30687</v>
      </c>
      <c r="C15" s="80" t="n">
        <v>15.61489</v>
      </c>
      <c r="D15" s="78" t="n">
        <v>46418</v>
      </c>
      <c r="E15" s="77" t="n">
        <v>42</v>
      </c>
      <c r="F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3.92899</v>
      </c>
      <c r="C16" s="80" t="n">
        <v>4.37848</v>
      </c>
      <c r="D16" s="78" t="n">
        <v>46418</v>
      </c>
      <c r="E16" s="77" t="n">
        <v>41</v>
      </c>
      <c r="F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1.60736</v>
      </c>
      <c r="C17" s="80" t="n">
        <v>2.32299</v>
      </c>
      <c r="D17" s="78" t="n">
        <v>46387</v>
      </c>
      <c r="E17" s="77" t="n">
        <v>23</v>
      </c>
      <c r="F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10.48422</v>
      </c>
      <c r="C18" s="80" t="n">
        <v>10.20401</v>
      </c>
      <c r="D18" s="78" t="n">
        <v>46295</v>
      </c>
      <c r="E18" s="77" t="n">
        <v>26</v>
      </c>
      <c r="F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3.47422</v>
      </c>
      <c r="C19" s="80" t="n">
        <v>5.83561</v>
      </c>
      <c r="D19" s="78" t="n">
        <v>46418</v>
      </c>
      <c r="E19" s="77" t="n">
        <v>14</v>
      </c>
      <c r="F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214.09818</v>
      </c>
      <c r="C20" s="80" t="n">
        <v>264.72162</v>
      </c>
      <c r="D20" s="78" t="n">
        <v>46568</v>
      </c>
      <c r="E20" s="77" t="n">
        <v>17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795</v>
      </c>
      <c r="C1" s="14" t="s">
        <v>796</v>
      </c>
      <c r="D1" s="14" t="s">
        <v>797</v>
      </c>
      <c r="E1" s="14" t="s">
        <v>793</v>
      </c>
    </row>
    <row r="2" customFormat="false" ht="15" hidden="false" customHeight="false" outlineLevel="0" collapsed="false">
      <c r="A2" s="76" t="s">
        <v>175</v>
      </c>
      <c r="B2" s="80" t="n">
        <v>96.1900024414062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330.100006103516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248.809997558594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341.579986572266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261.279998779297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238.238006591797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555.760009765625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87.7399978637695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340.575012207031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223.860000610352</v>
      </c>
      <c r="C11" s="78" t="n">
        <v>46280</v>
      </c>
      <c r="D11" s="78" t="n">
        <v>46357</v>
      </c>
      <c r="E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500.779998779297</v>
      </c>
      <c r="C12" s="78" t="n">
        <v>46280</v>
      </c>
      <c r="D12" s="78" t="n">
        <v>46323</v>
      </c>
      <c r="E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929.5</v>
      </c>
      <c r="C13" s="78" t="n">
        <v>46280</v>
      </c>
      <c r="D13" s="78" t="n">
        <v>46295</v>
      </c>
      <c r="E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327.772003173828</v>
      </c>
      <c r="C14" s="78" t="n">
        <v>46280</v>
      </c>
      <c r="D14" s="78" t="n">
        <v>46324</v>
      </c>
      <c r="E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212.149993896484</v>
      </c>
      <c r="C15" s="78" t="n">
        <v>46280</v>
      </c>
      <c r="D15" s="78" t="n">
        <v>46343</v>
      </c>
      <c r="E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187.320098876953</v>
      </c>
      <c r="C16" s="78" t="n">
        <v>46280</v>
      </c>
      <c r="D16" s="78" t="n">
        <v>46357</v>
      </c>
      <c r="E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172.110000610352</v>
      </c>
      <c r="C17" s="78" t="n">
        <v>46280</v>
      </c>
      <c r="D17" s="78" t="n">
        <v>46328</v>
      </c>
      <c r="E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187.630004882813</v>
      </c>
      <c r="C18" s="78" t="n">
        <v>46280</v>
      </c>
      <c r="D18" s="78" t="n">
        <v>46324</v>
      </c>
      <c r="E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150.455001831055</v>
      </c>
      <c r="C19" s="78" t="n">
        <v>46280</v>
      </c>
      <c r="D19" s="78" t="n">
        <v>46349</v>
      </c>
      <c r="E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1534.22497558594</v>
      </c>
      <c r="C20" s="78" t="n">
        <v>46280</v>
      </c>
      <c r="D20" s="78" t="n">
        <v>46332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328.045013427734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798</v>
      </c>
      <c r="F1" s="14" t="s">
        <v>799</v>
      </c>
      <c r="G1" s="14" t="s">
        <v>800</v>
      </c>
      <c r="H1" s="14" t="s">
        <v>801</v>
      </c>
      <c r="I1" s="14" t="s">
        <v>68</v>
      </c>
      <c r="J1" s="14" t="s">
        <v>56</v>
      </c>
      <c r="K1" s="14" t="s">
        <v>802</v>
      </c>
      <c r="L1" s="14" t="s">
        <v>803</v>
      </c>
      <c r="M1" s="14" t="s">
        <v>804</v>
      </c>
      <c r="N1" s="14" t="s">
        <v>58</v>
      </c>
      <c r="O1" s="14" t="s">
        <v>59</v>
      </c>
      <c r="P1" s="14" t="s">
        <v>805</v>
      </c>
      <c r="Q1" s="15" t="s">
        <v>47</v>
      </c>
      <c r="R1" s="15" t="s">
        <v>60</v>
      </c>
      <c r="S1" s="15" t="s">
        <v>806</v>
      </c>
      <c r="T1" s="15" t="s">
        <v>807</v>
      </c>
      <c r="U1" s="15" t="s">
        <v>808</v>
      </c>
      <c r="V1" s="15" t="s">
        <v>809</v>
      </c>
      <c r="W1" s="15" t="s">
        <v>64</v>
      </c>
      <c r="X1" s="15" t="s">
        <v>65</v>
      </c>
      <c r="Y1" s="14" t="s">
        <v>810</v>
      </c>
      <c r="Z1" s="15" t="s">
        <v>811</v>
      </c>
      <c r="AA1" s="15" t="s">
        <v>812</v>
      </c>
      <c r="AB1" s="14" t="s">
        <v>813</v>
      </c>
      <c r="AC1" s="14" t="s">
        <v>71</v>
      </c>
      <c r="AD1" s="15" t="s">
        <v>106</v>
      </c>
      <c r="AE1" s="15" t="s">
        <v>814</v>
      </c>
      <c r="AF1" s="14" t="s">
        <v>72</v>
      </c>
      <c r="AG1" s="14" t="s">
        <v>73</v>
      </c>
      <c r="AH1" s="14" t="s">
        <v>815</v>
      </c>
      <c r="AI1" s="15" t="s">
        <v>75</v>
      </c>
      <c r="AJ1" s="15" t="s">
        <v>76</v>
      </c>
      <c r="AK1" s="15" t="s">
        <v>816</v>
      </c>
      <c r="AL1" s="15" t="s">
        <v>86</v>
      </c>
      <c r="AM1" s="15" t="s">
        <v>87</v>
      </c>
      <c r="AN1" s="15" t="s">
        <v>88</v>
      </c>
      <c r="AO1" s="14" t="s">
        <v>817</v>
      </c>
      <c r="AP1" s="14" t="s">
        <v>818</v>
      </c>
      <c r="AQ1" s="14" t="s">
        <v>819</v>
      </c>
      <c r="AR1" s="14" t="s">
        <v>820</v>
      </c>
      <c r="AS1" s="14" t="s">
        <v>821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330.100006103516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37.8555052871004</v>
      </c>
      <c r="K2" s="52" t="n">
        <f aca="false">IF($A2="","",IFERROR(IF(G2&lt;=0,"N/M",D2/G2),"N/M"))</f>
        <v>37.3139396673414</v>
      </c>
      <c r="L2" s="52" t="n">
        <f aca="false">IF($A2="","",IFERROR(IF(H2&lt;=0,"N/M",D2/H2),"N/M"))</f>
        <v>34.5852999045133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1.17121023399996</v>
      </c>
      <c r="O2" s="51" t="n">
        <f aca="false">IF($A2="","",IFERROR(IF(OR(NOT(ISNUMBER(L2)),M2&lt;Config!$B$6),"N/M",L2/(M2*100)),"N/M"))</f>
        <v>4.00630176562896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0.00318085422776615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500.779998779297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28.9803240034315</v>
      </c>
      <c r="K3" s="52" t="n">
        <f aca="false">IF($A3="","",IFERROR(IF(G3&lt;=0,"N/M",D3/G3),"N/M"))</f>
        <v>28.0220603516381</v>
      </c>
      <c r="L3" s="52" t="n">
        <f aca="false">IF($A3="","",IFERROR(IF(H3&lt;=0,"N/M",D3/H3),"N/M"))</f>
        <v>24.3471547904833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1.08596598738134</v>
      </c>
      <c r="O3" s="51" t="n">
        <f aca="false">IF($A3="","",IFERROR(IF(OR(NOT(ISNUMBER(L3)),M3&lt;Config!$B$6),"N/M",L3/(M3*100)),"N/M"))</f>
        <v>1.2551473572816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0.00710891011757233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212.149993896484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30.2639078311675</v>
      </c>
      <c r="K4" s="52" t="n">
        <f aca="false">IF($A4="","",IFERROR(IF(G4&lt;=0,"N/M",D4/G4),"N/M"))</f>
        <v>26.35403650888</v>
      </c>
      <c r="L4" s="52" t="n">
        <f aca="false">IF($A4="","",IFERROR(IF(H4&lt;=0,"N/M",D4/H4),"N/M"))</f>
        <v>16.0355976169065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0.312288440228859</v>
      </c>
      <c r="O4" s="51" t="n">
        <f aca="false">IF($A4="","",IFERROR(IF(OR(NOT(ISNUMBER(L4)),M4&lt;Config!$B$6),"N/M",L4/(M4*100)),"N/M"))</f>
        <v>0.236589646819221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0.0013198209194228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96.1900024414062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779.940018174055</v>
      </c>
      <c r="L5" s="52" t="n">
        <f aca="false">IF($A5="","",IFERROR(IF(H5&lt;=0,"N/M",D5/H5),"N/M"))</f>
        <v>27.8628835809215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0.0483089261474417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223.860000610352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67.8363638213187</v>
      </c>
      <c r="K6" s="52" t="n">
        <f aca="false">IF($A6="","",IFERROR(IF(G6&lt;=0,"N/M",D6/G6),"N/M"))</f>
        <v>61.4932426684847</v>
      </c>
      <c r="L6" s="52" t="n">
        <f aca="false">IF($A6="","",IFERROR(IF(H6&lt;=0,"N/M",D6/H6),"N/M"))</f>
        <v>38.6136520046319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1.6059220823006</v>
      </c>
      <c r="O6" s="51" t="n">
        <f aca="false">IF($A6="","",IFERROR(IF(OR(NOT(ISNUMBER(L6)),M6&lt;Config!$B$6),"N/M",L6/(M6*100)),"N/M"))</f>
        <v>0.638412460632616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0.00107209863015118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929.5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20.6006205673759</v>
      </c>
      <c r="K7" s="52" t="n">
        <f aca="false">IF($A7="","",IFERROR(IF(G7&lt;=0,"N/M",D7/G7),"N/M"))</f>
        <v>12.6680768959764</v>
      </c>
      <c r="L7" s="52" t="n">
        <f aca="false">IF($A7="","",IFERROR(IF(H7&lt;=0,"N/M",D7/H7),"N/M"))</f>
        <v>5.95581089470633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0.0342988615444418</v>
      </c>
      <c r="O7" s="51" t="n">
        <f aca="false">IF($A7="","",IFERROR(IF(OR(NOT(ISNUMBER(L7)),M7&lt;Config!$B$6),"N/M",L7/(M7*100)),"N/M"))</f>
        <v>0.0529349774783676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0.000532544378698225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328.045013427734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42.7141944567362</v>
      </c>
      <c r="K8" s="52" t="n">
        <f aca="false">IF($A8="","",IFERROR(IF(G8&lt;=0,"N/M",D8/G8),"N/M"))</f>
        <v>36.9398428726848</v>
      </c>
      <c r="L8" s="52" t="n">
        <f aca="false">IF($A8="","",IFERROR(IF(H8&lt;=0,"N/M",D8/H8),"N/M"))</f>
        <v>30.0912946943214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0.300230590749122</v>
      </c>
      <c r="O8" s="51" t="n">
        <f aca="false">IF($A8="","",IFERROR(IF(OR(NOT(ISNUMBER(L8)),M8&lt;Config!$B$6),"N/M",L8/(M8*100)),"N/M"))</f>
        <v>1.06813533817044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0.00152418107129724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555.760009765625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40.6852130135889</v>
      </c>
      <c r="K9" s="52" t="n">
        <f aca="false">IF($A9="","",IFERROR(IF(G9&lt;=0,"N/M",D9/G9),"N/M"))</f>
        <v>34.1798766880911</v>
      </c>
      <c r="L9" s="52" t="n">
        <f aca="false">IF($A9="","",IFERROR(IF(H9&lt;=0,"N/M",D9/H9),"N/M"))</f>
        <v>22.1198437631141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0.624242507648201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0.00396753987558387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87.7399978637695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47.6847814477008</v>
      </c>
      <c r="K10" s="52" t="n">
        <f aca="false">IF($A10="","",IFERROR(IF(G10&lt;=0,"N/M",D10/G10),"N/M"))</f>
        <v>34.7485140054533</v>
      </c>
      <c r="L10" s="52" t="n">
        <f aca="false">IF($A10="","",IFERROR(IF(H10&lt;=0,"N/M",D10/H10),"N/M"))</f>
        <v>17.2700231723766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0.915850564312985</v>
      </c>
      <c r="O10" s="51" t="n">
        <f aca="false">IF($A10="","",IFERROR(IF(OR(NOT(ISNUMBER(L10)),M10&lt;Config!$B$6),"N/M",L10/(M10*100)),"N/M"))</f>
        <v>0.212174570403484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238.238006591797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214.628834767385</v>
      </c>
      <c r="K11" s="52" t="n">
        <f aca="false">IF($A11="","",IFERROR(IF(G11&lt;=0,"N/M",D11/G11),"N/M"))</f>
        <v>201.69833603559</v>
      </c>
      <c r="L11" s="52" t="n">
        <f aca="false">IF($A11="","",IFERROR(IF(H11&lt;=0,"N/M",D11/H11),"N/M"))</f>
        <v>161.665335561813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9.19837863288791</v>
      </c>
      <c r="O11" s="51" t="n">
        <f aca="false">IF($A11="","",IFERROR(IF(OR(NOT(ISNUMBER(L11)),M11&lt;Config!$B$6),"N/M",L11/(M11*100)),"N/M"))</f>
        <v>5.80487711811326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327.772003173828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300.708259792503</v>
      </c>
      <c r="K12" s="52" t="n">
        <f aca="false">IF($A12="","",IFERROR(IF(G12&lt;=0,"N/M",D12/G12),"N/M"))</f>
        <v>281.813807454198</v>
      </c>
      <c r="L12" s="52" t="n">
        <f aca="false">IF($A12="","",IFERROR(IF(H12&lt;=0,"N/M",D12/H12),"N/M"))</f>
        <v>210.775738232547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6.92540234673643</v>
      </c>
      <c r="O12" s="51" t="n">
        <f aca="false">IF($A12="","",IFERROR(IF(OR(NOT(ISNUMBER(L12)),M12&lt;Config!$B$6),"N/M",L12/(M12*100)),"N/M"))</f>
        <v>6.44688559992794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261.279998779297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24.5794918889273</v>
      </c>
      <c r="K13" s="52" t="n">
        <f aca="false">IF($A13="","",IFERROR(IF(G13&lt;=0,"N/M",D13/G13),"N/M"))</f>
        <v>23.0531886314549</v>
      </c>
      <c r="L13" s="52" t="n">
        <f aca="false">IF($A13="","",IFERROR(IF(H13&lt;=0,"N/M",D13/H13),"N/M"))</f>
        <v>20.1249819294415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1.62049078667714</v>
      </c>
      <c r="O13" s="51" t="n">
        <f aca="false">IF($A13="","",IFERROR(IF(OR(NOT(ISNUMBER(L13)),M13&lt;Config!$B$6),"N/M",L13/(M13*100)),"N/M"))</f>
        <v>1.992596514978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0.00623851809405763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248.809997558594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20.0168944134026</v>
      </c>
      <c r="K14" s="52" t="n">
        <f aca="false">IF($A14="","",IFERROR(IF(G14&lt;=0,"N/M",D14/G14),"N/M"))</f>
        <v>20.0090871670019</v>
      </c>
      <c r="L14" s="52" t="n">
        <f aca="false">IF($A14="","",IFERROR(IF(H14&lt;=0,"N/M",D14/H14),"N/M"))</f>
        <v>22.2232413998932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0.223698172660853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340.575012207031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17.1057263790573</v>
      </c>
      <c r="K15" s="52" t="n">
        <f aca="false">IF($A15="","",IFERROR(IF(G15&lt;=0,"N/M",D15/G15),"N/M"))</f>
        <v>16.9909966158711</v>
      </c>
      <c r="L15" s="52" t="n">
        <f aca="false">IF($A15="","",IFERROR(IF(H15&lt;=0,"N/M",D15/H15),"N/M"))</f>
        <v>20.5888410022465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0.152683242109647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0.00249577910749159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187.320098876953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50.9022007817807</v>
      </c>
      <c r="K16" s="52" t="n">
        <f aca="false">IF($A16="","",IFERROR(IF(G16&lt;=0,"N/M",D16/G16),"N/M"))</f>
        <v>49.3630917736006</v>
      </c>
      <c r="L16" s="52" t="n">
        <f aca="false">IF($A16="","",IFERROR(IF(H16&lt;=0,"N/M",D16/H16),"N/M"))</f>
        <v>44.5095648923031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3.56315405472465</v>
      </c>
      <c r="O16" s="51" t="n">
        <f aca="false">IF($A16="","",IFERROR(IF(OR(NOT(ISNUMBER(L16)),M16&lt;Config!$B$6),"N/M",L16/(M16*100)),"N/M"))</f>
        <v>3.8905789976687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172.110000610352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143.425000508626</v>
      </c>
      <c r="K17" s="52" t="n">
        <f aca="false">IF($A17="","",IFERROR(IF(G17&lt;=0,"N/M",D17/G17),"N/M"))</f>
        <v>122.540085303414</v>
      </c>
      <c r="L17" s="52" t="n">
        <f aca="false">IF($A17="","",IFERROR(IF(H17&lt;=0,"N/M",D17/H17),"N/M"))</f>
        <v>81.4451026222413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1.13455597417272</v>
      </c>
      <c r="O17" s="51" t="n">
        <f aca="false">IF($A17="","",IFERROR(IF(OR(NOT(ISNUMBER(L17)),M17&lt;Config!$B$6),"N/M",L17/(M17*100)),"N/M"))</f>
        <v>1.8293196225827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150.455001831055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70.3060756219882</v>
      </c>
      <c r="K18" s="52" t="n">
        <f aca="false">IF($A18="","",IFERROR(IF(G18&lt;=0,"N/M",D18/G18),"N/M"))</f>
        <v>55.4019228305979</v>
      </c>
      <c r="L18" s="52" t="n">
        <f aca="false">IF($A18="","",IFERROR(IF(H18&lt;=0,"N/M",D18/H18),"N/M"))</f>
        <v>30.4391604815807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1.47744651669395</v>
      </c>
      <c r="O18" s="51" t="n">
        <f aca="false">IF($A18="","",IFERROR(IF(OR(NOT(ISNUMBER(L18)),M18&lt;Config!$B$6),"N/M",L18/(M18*100)),"N/M"))</f>
        <v>0.447839366340661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187.630004882813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16.5167257819377</v>
      </c>
      <c r="K19" s="52" t="n">
        <f aca="false">IF($A19="","",IFERROR(IF(G19&lt;=0,"N/M",D19/G19),"N/M"))</f>
        <v>17.8413180003815</v>
      </c>
      <c r="L19" s="52" t="n">
        <f aca="false">IF($A19="","",IFERROR(IF(H19&lt;=0,"N/M",D19/H19),"N/M"))</f>
        <v>18.3671417843575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0.0191334003441624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341.579986572266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53.0403705857555</v>
      </c>
      <c r="K20" s="52" t="n">
        <f aca="false">IF($A20="","",IFERROR(IF(G20&lt;=0,"N/M",D20/G20),"N/M"))</f>
        <v>41.0761211302206</v>
      </c>
      <c r="L20" s="52" t="n">
        <f aca="false">IF($A20="","",IFERROR(IF(H20&lt;=0,"N/M",D20/H20),"N/M"))</f>
        <v>18.5538536713919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0.279947604324011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0.00743603284691456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SNDK</v>
      </c>
      <c r="B21" s="66" t="str">
        <f aca="false">IF($A21="","",IFERROR(INDEX(Tickers!$B$2:$B$100,MATCH($A21,Tickers!$A$2:$A$100,0)),""))</f>
        <v>Sandisk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1534.22497558594</v>
      </c>
      <c r="E21" s="48" t="n">
        <f aca="false">IF($A21="","",IFERROR(SUMIFS(Raw_Q!$I$2:$I$600,Raw_Q!$A$2:$A$600,$A21,Raw_Q!$P$2:$P$600,"&gt;=1",Raw_Q!$P$2:$P$600,"&lt;=4"),""))</f>
        <v>20248</v>
      </c>
      <c r="F21" s="51" t="n">
        <f aca="false">IF($A21="","",IFERROR(SUMIFS(Raw_Q!$K$2:$K$600,Raw_Q!$A$2:$A$600,$A21,Raw_Q!$P$2:$P$600,"&gt;=1",Raw_Q!$P$2:$P$600,"&lt;=4"),""))</f>
        <v>69.65</v>
      </c>
      <c r="G21" s="51" t="n">
        <f aca="false">IF($A21="","",IFERROR(SUMIFS(Raw_Q!$K$2:$K$600,Raw_Q!$A$2:$A$600,$A21,Raw_Q!$P$2:$P$600,"&gt;=0",Raw_Q!$P$2:$P$600,"&lt;=3"),""))</f>
        <v>114.63664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224.777645424658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22.0629139072848</v>
      </c>
      <c r="J21" s="52" t="n">
        <f aca="false">IF($A21="","",IFERROR(IF(F21&lt;=0,"N/M",D21/F21),"N/M"))</f>
        <v>22.0276378404298</v>
      </c>
      <c r="K21" s="52" t="n">
        <f aca="false">IF($A21="","",IFERROR(IF(G21&lt;=0,"N/M",D21/G21),"N/M"))</f>
        <v>13.3833735495557</v>
      </c>
      <c r="L21" s="52" t="n">
        <f aca="false">IF($A21="","",IFERROR(IF(H21&lt;=0,"N/M",D21/H21),"N/M"))</f>
        <v>6.82552294151595</v>
      </c>
      <c r="M21" s="49" t="n">
        <f aca="false">IF($A21="","",IFERROR(INDEX(Raw_Est!$C$2:$C$100,MATCH($A21,Raw_Est!$A$2:$A$100,0))/INDEX(Raw_Est!$B$2:$B$100,MATCH($A21,Raw_Est!$A$2:$A$100,0))-1,""))</f>
        <v>0.236449651276811</v>
      </c>
      <c r="N21" s="51" t="n">
        <f aca="false">IF($A21="","",IFERROR(IF(OR(NOT(ISNUMBER(J21)),I21&lt;Config!$B$6),"N/M",J21/(I21*100)),"N/M"))</f>
        <v>0.00998401114784603</v>
      </c>
      <c r="O21" s="51" t="n">
        <f aca="false">IF($A21="","",IFERROR(IF(OR(NOT(ISNUMBER(L21)),M21&lt;Config!$B$6),"N/M",L21/(M21*100)),"N/M"))</f>
        <v>0.28866707583025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3.71593897948448</v>
      </c>
      <c r="T21" s="49" t="n">
        <f aca="false">IF($A21="","",IFERROR(SUMIFS(Raw_Q!$I$2:$I$600,Raw_Q!$A$2:$A$600,$A21,Raw_Q!$P$2:$P$600,1)/SUMIFS(Raw_Q!$I$2:$I$600,Raw_Q!$A$2:$A$600,$A21,Raw_Q!$P$2:$P$600,2)-1,""))</f>
        <v>0.50672268907563</v>
      </c>
      <c r="U21" s="49" t="n">
        <f aca="false">IF($A21="","",IFERROR(SUMIFS(Raw_Q!$I$2:$I$600,Raw_Q!$A$2:$A$600,$A21,Raw_Q!$P$2:$P$600,2)/SUMIFS(Raw_Q!$I$2:$I$600,Raw_Q!$A$2:$A$600,$A21,Raw_Q!$P$2:$P$600,3)-1,""))</f>
        <v>0.966942148760331</v>
      </c>
      <c r="V21" s="68" t="n">
        <f aca="false">IF($A21="","",IFERROR((T21-U21)*100,""))</f>
        <v>-46.0219459684701</v>
      </c>
      <c r="W21" s="66" t="str">
        <f aca="false">IF($A21="","",IFERROR(IF(NOT(ISNUMBER(T21)),"",IF(T21&gt;0,IF(V21&gt;0,"成長且加速","成長但減速"),IF(V21&gt;0,"衰退但收斂","衰退且惡化"))),""))</f>
        <v>成長但減速</v>
      </c>
      <c r="X21" s="68" t="n">
        <f aca="false">IF($A21="","",IFERROR((T21-(SUMIFS(Raw_Q!$I$2:$I$600,Raw_Q!$A$2:$A$600,$A21,Raw_Q!$P$2:$P$600,5)/SUMIFS(Raw_Q!$I$2:$I$600,Raw_Q!$A$2:$A$600,$A21,Raw_Q!$P$2:$P$600,6)-1))*100,""))</f>
        <v>38.5188765771795</v>
      </c>
      <c r="Y21" s="49" t="n">
        <f aca="false">IF($A21="","",IFERROR(SUMIFS(Raw_Q!$K$2:$K$600,Raw_Q!$A$2:$A$600,$A21,Raw_Q!$P$2:$P$600,1)/SUMIFS(Raw_Q!$K$2:$K$600,Raw_Q!$A$2:$A$600,$A21,Raw_Q!$P$2:$P$600,5)-1,""))</f>
        <v>132.862068965517</v>
      </c>
      <c r="Z21" s="49" t="n">
        <f aca="false">IF($A21="","",IFERROR(SUMIFS(Raw_Q!$J$2:$J$600,Raw_Q!$A$2:$A$600,$A21,Raw_Q!$P$2:$P$600,"&gt;=1",Raw_Q!$P$2:$P$600,"&lt;=4")/E21,""))</f>
        <v>0.71473725800079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0.518945011486231</v>
      </c>
      <c r="AB21" s="50" t="n">
        <f aca="false">IF($A21="","",IFERROR((Z21-AA21)*10000,""))</f>
        <v>1957.92246514559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5837.66022110065</v>
      </c>
      <c r="AD21" s="51" t="n">
        <f aca="false">IF($A21="","",IFERROR(SUMIFS(Raw_Q!$M$2:$M$600,Raw_Q!$A$2:$A$600,$A21,Raw_Q!$P$2:$P$600,1)/SUMIFS(Raw_Q!$L$2:$L$600,Raw_Q!$A$2:$A$600,$A21,Raw_Q!$P$2:$P$600,1),""))</f>
        <v>100.229299363057</v>
      </c>
      <c r="AE21" s="48" t="n">
        <f aca="false">IF($A21="","",IFERROR(SUMPRODUCT((Raw_Q!$A$2:$A$600=$A21)*(Raw_Q!$P$2:$P$600&gt;=1)*(Raw_Q!$P$2:$P$600&lt;=4)*Raw_Q!$K$2:$K$600*Raw_Q!$L$2:$L$600),""))</f>
        <v>10919.09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0.875207598589291</v>
      </c>
      <c r="AG21" s="49" t="n">
        <f aca="false">IF($A21="","",IFERROR(AVERAGE(AO21:AS21),""))</f>
        <v>0.459177353339379</v>
      </c>
      <c r="AH21" s="49" t="n">
        <f aca="false">IF($A21="","",IFERROR(IF(AD21&lt;=0,"N/M",INDEX(Raw_Est!$B$2:$B$100,MATCH($A21,Raw_Est!$A$2:$A$100,0))/AD21),"N/M"))</f>
        <v>2.13608377351296</v>
      </c>
      <c r="AI21" s="51" t="n">
        <f aca="false">IF($A21="","",IFERROR(SUMIFS(Raw_Q!$K$2:$K$600,Raw_Q!$A$2:$A$600,$A21,Raw_Q!$P$2:$P$600,0),""))</f>
        <v>46.20664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17</v>
      </c>
      <c r="AM21" s="67" t="n">
        <f aca="false">IF($A21="","",IFERROR(INDEX(Raw_Price!$D$2:$D$100,MATCH($A21,Raw_Price!$A$2:$A$100,0)),""))</f>
        <v>46332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0.875207598589291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0.0431471080894669</v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823</v>
      </c>
    </row>
    <row r="3" customFormat="false" ht="31.5" hidden="false" customHeight="true" outlineLevel="0" collapsed="false">
      <c r="A3" s="15" t="s">
        <v>824</v>
      </c>
      <c r="B3" s="15" t="s">
        <v>825</v>
      </c>
      <c r="C3" s="15" t="s">
        <v>826</v>
      </c>
    </row>
    <row r="4" customFormat="false" ht="15" hidden="false" customHeight="false" outlineLevel="0" collapsed="false">
      <c r="A4" s="5" t="s">
        <v>827</v>
      </c>
      <c r="B4" s="83" t="n">
        <v>24</v>
      </c>
      <c r="C4" s="25" t="s">
        <v>828</v>
      </c>
    </row>
    <row r="5" customFormat="false" ht="15" hidden="false" customHeight="false" outlineLevel="0" collapsed="false">
      <c r="A5" s="5" t="s">
        <v>829</v>
      </c>
      <c r="B5" s="83" t="n">
        <v>20</v>
      </c>
      <c r="C5" s="25" t="s">
        <v>830</v>
      </c>
    </row>
    <row r="6" customFormat="false" ht="15" hidden="false" customHeight="false" outlineLevel="0" collapsed="false">
      <c r="A6" s="2" t="s">
        <v>831</v>
      </c>
      <c r="B6" s="84" t="n">
        <v>0.05</v>
      </c>
      <c r="C6" s="24" t="s">
        <v>832</v>
      </c>
    </row>
    <row r="7" customFormat="false" ht="15" hidden="false" customHeight="false" outlineLevel="0" collapsed="false">
      <c r="A7" s="5" t="s">
        <v>833</v>
      </c>
      <c r="B7" s="83" t="n">
        <v>5</v>
      </c>
      <c r="C7" s="24" t="s">
        <v>834</v>
      </c>
    </row>
    <row r="8" customFormat="false" ht="15" hidden="false" customHeight="false" outlineLevel="0" collapsed="false">
      <c r="A8" s="2" t="s">
        <v>835</v>
      </c>
      <c r="B8" s="83" t="n">
        <v>365</v>
      </c>
      <c r="C8" s="25" t="s">
        <v>836</v>
      </c>
    </row>
    <row r="11" customFormat="false" ht="15" hidden="false" customHeight="false" outlineLevel="0" collapsed="false">
      <c r="A11" s="24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2026-09-15T15:21:33Z</dcterms:created>
  <dc:creator>openpyxl</dc:creator>
  <dc:description/>
  <dc:language>en-US</dc:language>
  <cp:lastModifiedBy/>
  <dcterms:modified xsi:type="dcterms:W3CDTF">2026-09-15T15:21:33Z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