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<sst xmlns="http://schemas.openxmlformats.org/spreadsheetml/2006/main" count="1121" uniqueCount="442">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</sst>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314.579986572266</v>
      </c>
      <c r="E3" s="18" t="n">
        <f aca="false">IF(Calc!$A$2="","",Calc!J$2)</f>
        <v>36.0756865335167</v>
      </c>
      <c r="F3" s="18" t="n">
        <f aca="false">IF(Calc!$A$2="","",Calc!L$2)</f>
        <v>33.2316221355111</v>
      </c>
      <c r="G3" s="17" t="n">
        <f aca="false">IF(Calc!$A$2="","",Calc!N$2)</f>
        <v>1.11614448007453</v>
      </c>
      <c r="H3" s="17" t="n">
        <f aca="false">IF(Calc!$A$2="","",Calc!O$2)</f>
        <v>4.07431116270585</v>
      </c>
      <c r="I3" s="19" t="n">
        <f aca="false">IF(Calc!$A$2="","",Calc!Q$2)</f>
        <v>0.00333778385408759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505.059997558594</v>
      </c>
      <c r="E4" s="18" t="n">
        <f aca="false">IF(Calc!$A$3="","",Calc!J$3)</f>
        <v>29.2280091179742</v>
      </c>
      <c r="F4" s="18" t="n">
        <f aca="false">IF(Calc!$A$3="","",Calc!L$3)</f>
        <v>24.793605345895</v>
      </c>
      <c r="G4" s="17" t="n">
        <f aca="false">IF(Calc!$A$3="","",Calc!N$3)</f>
        <v>1.09524737464057</v>
      </c>
      <c r="H4" s="17" t="n">
        <f aca="false">IF(Calc!$A$3="","",Calc!O$3)</f>
        <v>1.28199311561582</v>
      </c>
      <c r="I4" s="19" t="n">
        <f aca="false">IF(Calc!$A$3="","",Calc!Q$3)</f>
        <v>0.00704866751912379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227.979995727539</v>
      </c>
      <c r="E5" s="18" t="n">
        <f aca="false">IF(Calc!$A$4="","",Calc!J$4)</f>
        <v>32.522110660134</v>
      </c>
      <c r="F5" s="18" t="n">
        <f aca="false">IF(Calc!$A$4="","",Calc!L$4)</f>
        <v>20.0235804341143</v>
      </c>
      <c r="G5" s="17" t="n">
        <f aca="false">IF(Calc!$A$4="","",Calc!N$4)</f>
        <v>0.335590475217614</v>
      </c>
      <c r="H5" s="17" t="n">
        <f aca="false">IF(Calc!$A$4="","",Calc!O$4)</f>
        <v>0.44466316824175</v>
      </c>
      <c r="I5" s="19" t="n">
        <f aca="false">IF(Calc!$A$4="","",Calc!Q$4)</f>
        <v>0.00122817793335969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934.659973144531</v>
      </c>
      <c r="E6" s="18" t="n">
        <f aca="false">IF(Calc!$A$5="","",Calc!J$5)</f>
        <v>47.0150891923809</v>
      </c>
      <c r="F6" s="18" t="n">
        <f aca="false">IF(Calc!$A$5="","",Calc!L$5)</f>
        <v>41.1960509366659</v>
      </c>
      <c r="G6" s="17" t="n">
        <f aca="false">IF(Calc!$A$5="","",Calc!N$5)</f>
        <v>3.44056029278135</v>
      </c>
      <c r="H6" s="17" t="n">
        <f aca="false">IF(Calc!$A$5="","",Calc!O$5)</f>
        <v>4.01060066349516</v>
      </c>
      <c r="I6" s="19" t="n">
        <f aca="false">IF(Calc!$A$5="","",Calc!Q$5)</f>
        <v>0.00574540491119289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289.149993896484</v>
      </c>
      <c r="E7" s="18" t="n">
        <f aca="false">IF(Calc!$A$6="","",Calc!J$6)</f>
        <v>12.6653523388736</v>
      </c>
      <c r="F7" s="18" t="n">
        <f aca="false">IF(Calc!$A$6="","",Calc!L$6)</f>
        <v>10.8305742015876</v>
      </c>
      <c r="G7" s="17" t="n">
        <f aca="false">IF(Calc!$A$6="","",Calc!N$6)</f>
        <v>0.768547696105024</v>
      </c>
      <c r="H7" s="17" t="n">
        <f aca="false">IF(Calc!$A$6="","",Calc!O$6)</f>
        <v>0.85883975605164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2">
      <formula>"N/M"</formula>
    </cfRule>
  </conditionalFormatting>
  <conditionalFormatting sqref="G3:G22">
    <cfRule type="cellIs" priority="11" operator="lessThan" aboveAverage="0" equalAverage="0" bottom="0" percent="0" rank="0" text="" dxfId="33">
      <formula>1.5</formula>
    </cfRule>
  </conditionalFormatting>
  <conditionalFormatting sqref="H3:H22">
    <cfRule type="cellIs" priority="12" operator="lessThan" aboveAverage="0" equalAverage="0" bottom="0" percent="0" rank="0" text="" dxfId="33">
      <formula>1.5</formula>
    </cfRule>
  </conditionalFormatting>
  <conditionalFormatting sqref="N3:N22">
    <cfRule type="cellIs" priority="13" operator="equal" aboveAverage="0" equalAverage="0" bottom="0" percent="0" rank="0" text="" dxfId="33">
      <formula>"成長且加速"</formula>
    </cfRule>
    <cfRule type="cellIs" priority="14" operator="equal" aboveAverage="0" equalAverage="0" bottom="0" percent="0" rank="0" text="" dxfId="34">
      <formula>"成長但減速"</formula>
    </cfRule>
    <cfRule type="cellIs" priority="15" operator="equal" aboveAverage="0" equalAverage="0" bottom="0" percent="0" rank="0" text="" dxfId="34">
      <formula>"衰退但收斂"</formula>
    </cfRule>
    <cfRule type="cellIs" priority="16" operator="equal" aboveAverage="0" equalAverage="0" bottom="0" percent="0" rank="0" text="" dxfId="35">
      <formula>"衰退且惡化"</formula>
    </cfRule>
  </conditionalFormatting>
  <conditionalFormatting sqref="A3:AC22">
    <cfRule type="expression" priority="17" aboveAverage="0" equalAverage="0" bottom="0" percent="0" rank="0" text="" dxfId="3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314.579986572266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46262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36.0756865335167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33.2316221355111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1.11614448007453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4.07431116270585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9.4662844109589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0.00333778385408759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314.579986572266</v>
      </c>
      <c r="L12" s="55" t="n">
        <f aca="false">IF(Stock_Card!$B$2="","",IFERROR(INDEX(Calc!$Q$2:$Q$100,MATCH(Stock_Card!$B$2,Calc!$A$2:$A$100,0)),""))</f>
        <v>0.00333778385408759</v>
      </c>
      <c r="M12" s="58" t="n">
        <f aca="false">IF(Stock_Card!$B$2="","",IFERROR(INDEX(Calc!$J$2:$J$100,MATCH(Stock_Card!$B$2,Calc!$A$2:$A$100,0)),""))</f>
        <v>36.0756865335167</v>
      </c>
      <c r="N12" s="57" t="n">
        <f aca="false">IF(Stock_Card!$B$2="","",IFERROR(INDEX(Calc!$N$2:$N$100,MATCH(Stock_Card!$B$2,Calc!$A$2:$A$100,0)),""))</f>
        <v>1.11614448007453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9.4662844109589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33.2316221355111</v>
      </c>
      <c r="N13" s="57" t="n">
        <f aca="false">IF(Stock_Card!$B$2="","",IFERROR(INDEX(Calc!$O$2:$O$100,MATCH(Stock_Card!$B$2,Calc!$A$2:$A$100,0)),""))</f>
        <v>4.07431116270585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{A081C4E3-F712-41F3-8A82-1037A015E140}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3">
      <formula>"成長且加速"</formula>
    </cfRule>
    <cfRule type="cellIs" priority="5" operator="equal" aboveAverage="0" equalAverage="0" bottom="0" percent="0" rank="0" text="" dxfId="34">
      <formula>"成長但減速"</formula>
    </cfRule>
    <cfRule type="cellIs" priority="6" operator="equal" aboveAverage="0" equalAverage="0" bottom="0" percent="0" rank="0" text="" dxfId="34">
      <formula>"衰退但收斂"</formula>
    </cfRule>
    <cfRule type="cellIs" priority="7" operator="equal" aboveAverage="0" equalAverage="0" bottom="0" percent="0" rank="0" text="" dxfId="3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7">
      <formula>$O5="預估"</formula>
    </cfRule>
  </conditionalFormatting>
  <conditionalFormatting sqref="B24:B28">
    <cfRule type="expression" priority="12" aboveAverage="0" equalAverage="0" bottom="0" percent="0" rank="0" text="" dxfId="3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81C4E3-F712-41F3-8A82-1037A015E14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62</v>
      </c>
      <c r="I4" s="67" t="n">
        <f aca="false">IF($A4="","",IFERROR(INDEX(Raw_Price!$E$2:$E$100,MATCH($A4,Raw_Price!$A$2:$A$100,0)),""))</f>
        <v>46262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61</v>
      </c>
      <c r="I5" s="67" t="n">
        <f aca="false">IF($A5="","",IFERROR(INDEX(Raw_Price!$E$2:$E$100,MATCH($A5,Raw_Price!$A$2:$A$100,0)),""))</f>
        <v>46262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81</v>
      </c>
      <c r="I6" s="67" t="n">
        <f aca="false">IF($A6="","",IFERROR(INDEX(Raw_Price!$E$2:$E$100,MATCH($A6,Raw_Price!$A$2:$A$100,0)),""))</f>
        <v>46262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27</v>
      </c>
      <c r="I7" s="67" t="n">
        <f aca="false">IF($A7="","",IFERROR(INDEX(Raw_Price!$E$2:$E$100,MATCH($A7,Raw_Price!$A$2:$A$100,0)),""))</f>
        <v>46262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13</v>
      </c>
      <c r="I8" s="67" t="n">
        <f aca="false">IF($A8="","",IFERROR(INDEX(Raw_Price!$E$2:$E$100,MATCH($A8,Raw_Price!$A$2:$A$100,0)),""))</f>
        <v>46262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8">
      <formula>"OK"</formula>
    </cfRule>
    <cfRule type="cellIs" priority="3" operator="equal" aboveAverage="0" equalAverage="0" bottom="0" percent="0" rank="0" text="" dxfId="39">
      <formula>"待更新財報"</formula>
    </cfRule>
    <cfRule type="expression" priority="4" aboveAverage="0" equalAverage="0" bottom="0" percent="0" rank="0" text="" dxfId="4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3</v>
      </c>
      <c r="E102" s="78" t="n">
        <v>46325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2.34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2</v>
      </c>
      <c r="E103" s="78" t="n">
        <v>46234</v>
      </c>
      <c r="F103" s="76" t="s">
        <v>209</v>
      </c>
      <c r="G103" s="76" t="s">
        <v>210</v>
      </c>
      <c r="H103" s="76" t="s">
        <v>206</v>
      </c>
      <c r="I103" s="79" t="n">
        <v>302970</v>
      </c>
      <c r="J103" s="79" t="n">
        <v>226241</v>
      </c>
      <c r="K103" s="80" t="n">
        <v>2.22</v>
      </c>
      <c r="L103" s="79" t="n">
        <v>24397.5</v>
      </c>
      <c r="M103" s="79" t="n">
        <v>228984</v>
      </c>
      <c r="N103" s="80" t="n">
        <v>0.25</v>
      </c>
      <c r="O103" s="80" t="n">
        <v>200.75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341</v>
      </c>
      <c r="C104" s="77" t="n">
        <v>2027</v>
      </c>
      <c r="D104" s="77" t="n">
        <v>1</v>
      </c>
      <c r="E104" s="78" t="n">
        <v>46142</v>
      </c>
      <c r="F104" s="76" t="s">
        <v>209</v>
      </c>
      <c r="G104" s="76" t="s">
        <v>210</v>
      </c>
      <c r="H104" s="76" t="s">
        <v>206</v>
      </c>
      <c r="I104" s="79" t="n">
        <v>81615</v>
      </c>
      <c r="J104" s="79" t="n">
        <v>61157</v>
      </c>
      <c r="K104" s="80" t="n">
        <v>1.87</v>
      </c>
      <c r="L104" s="79" t="n">
        <v>24391</v>
      </c>
      <c r="M104" s="79" t="n">
        <v>195474</v>
      </c>
      <c r="N104" s="80" t="n">
        <v>0.01</v>
      </c>
      <c r="O104" s="80" t="n">
        <v>199.570007324219</v>
      </c>
      <c r="P104" s="47" t="n">
        <v>2</v>
      </c>
      <c r="Q104" s="66" t="s">
        <v>342</v>
      </c>
    </row>
    <row r="105" customFormat="false" ht="15" hidden="false" customHeight="false" outlineLevel="0" collapsed="false">
      <c r="A105" s="76" t="s">
        <v>173</v>
      </c>
      <c r="B105" s="76" t="s">
        <v>312</v>
      </c>
      <c r="C105" s="77" t="n">
        <v>2026</v>
      </c>
      <c r="D105" s="77" t="n">
        <v>4</v>
      </c>
      <c r="E105" s="78" t="n">
        <v>46053</v>
      </c>
      <c r="F105" s="76" t="s">
        <v>209</v>
      </c>
      <c r="G105" s="76" t="s">
        <v>210</v>
      </c>
      <c r="H105" s="76" t="s">
        <v>206</v>
      </c>
      <c r="I105" s="79" t="n">
        <v>68127</v>
      </c>
      <c r="J105" s="79" t="n">
        <v>51093</v>
      </c>
      <c r="K105" s="80" t="n">
        <v>1.62</v>
      </c>
      <c r="L105" s="79" t="n">
        <v>24432</v>
      </c>
      <c r="M105" s="79" t="n">
        <v>157293</v>
      </c>
      <c r="N105" s="80" t="n">
        <v>0.01</v>
      </c>
      <c r="O105" s="80" t="n">
        <v>191.130004882813</v>
      </c>
      <c r="P105" s="47" t="n">
        <v>3</v>
      </c>
      <c r="Q105" s="66" t="s">
        <v>343</v>
      </c>
    </row>
    <row r="106" customFormat="false" ht="15" hidden="false" customHeight="false" outlineLevel="0" collapsed="false">
      <c r="A106" s="76" t="s">
        <v>173</v>
      </c>
      <c r="B106" s="76" t="s">
        <v>208</v>
      </c>
      <c r="C106" s="77" t="n">
        <v>2026</v>
      </c>
      <c r="D106" s="77" t="n">
        <v>3</v>
      </c>
      <c r="E106" s="78" t="n">
        <v>45961</v>
      </c>
      <c r="F106" s="76" t="s">
        <v>209</v>
      </c>
      <c r="G106" s="76" t="s">
        <v>210</v>
      </c>
      <c r="H106" s="76" t="s">
        <v>206</v>
      </c>
      <c r="I106" s="79" t="n">
        <v>57006</v>
      </c>
      <c r="J106" s="79" t="n">
        <v>41849</v>
      </c>
      <c r="K106" s="80" t="n">
        <v>1.3</v>
      </c>
      <c r="L106" s="79" t="n">
        <v>24483</v>
      </c>
      <c r="M106" s="79" t="n">
        <v>118897</v>
      </c>
      <c r="N106" s="80" t="n">
        <v>0.01</v>
      </c>
      <c r="O106" s="80" t="n">
        <v>202.490005493164</v>
      </c>
      <c r="P106" s="47" t="n">
        <v>4</v>
      </c>
      <c r="Q106" s="66" t="s">
        <v>344</v>
      </c>
    </row>
    <row r="107" customFormat="false" ht="15" hidden="false" customHeight="false" outlineLevel="0" collapsed="false">
      <c r="A107" s="76" t="s">
        <v>173</v>
      </c>
      <c r="B107" s="76" t="s">
        <v>212</v>
      </c>
      <c r="C107" s="77" t="n">
        <v>2026</v>
      </c>
      <c r="D107" s="77" t="n">
        <v>2</v>
      </c>
      <c r="E107" s="78" t="n">
        <v>45869</v>
      </c>
      <c r="F107" s="76" t="s">
        <v>209</v>
      </c>
      <c r="G107" s="76" t="s">
        <v>210</v>
      </c>
      <c r="H107" s="76" t="s">
        <v>206</v>
      </c>
      <c r="I107" s="79" t="n">
        <v>46743</v>
      </c>
      <c r="J107" s="79" t="n">
        <v>33853</v>
      </c>
      <c r="K107" s="80" t="n">
        <v>1.05</v>
      </c>
      <c r="L107" s="79" t="n">
        <v>24532</v>
      </c>
      <c r="M107" s="79" t="n">
        <v>100131</v>
      </c>
      <c r="N107" s="80" t="n">
        <v>0.01</v>
      </c>
      <c r="O107" s="80" t="n">
        <v>177.869995117188</v>
      </c>
      <c r="P107" s="47" t="n">
        <v>5</v>
      </c>
      <c r="Q107" s="66" t="s">
        <v>345</v>
      </c>
    </row>
    <row r="108" customFormat="false" ht="15" hidden="false" customHeight="false" outlineLevel="0" collapsed="false">
      <c r="A108" s="76" t="s">
        <v>173</v>
      </c>
      <c r="B108" s="76" t="s">
        <v>214</v>
      </c>
      <c r="C108" s="77" t="n">
        <v>2026</v>
      </c>
      <c r="D108" s="77" t="n">
        <v>1</v>
      </c>
      <c r="E108" s="78" t="n">
        <v>45777</v>
      </c>
      <c r="F108" s="76" t="s">
        <v>209</v>
      </c>
      <c r="G108" s="76" t="s">
        <v>210</v>
      </c>
      <c r="H108" s="76" t="s">
        <v>206</v>
      </c>
      <c r="I108" s="79" t="n">
        <v>44062</v>
      </c>
      <c r="J108" s="79" t="n">
        <v>26668</v>
      </c>
      <c r="K108" s="80" t="n">
        <v>0.81</v>
      </c>
      <c r="L108" s="79" t="n">
        <v>24611</v>
      </c>
      <c r="M108" s="79" t="n">
        <v>83843</v>
      </c>
      <c r="N108" s="80" t="n">
        <v>0.01</v>
      </c>
      <c r="O108" s="80" t="n">
        <v>108.919998168945</v>
      </c>
      <c r="P108" s="47" t="n">
        <v>6</v>
      </c>
      <c r="Q108" s="66" t="s">
        <v>346</v>
      </c>
    </row>
    <row r="109" customFormat="false" ht="15" hidden="false" customHeight="false" outlineLevel="0" collapsed="false">
      <c r="A109" s="76" t="s">
        <v>173</v>
      </c>
      <c r="B109" s="76" t="s">
        <v>216</v>
      </c>
      <c r="C109" s="77" t="n">
        <v>2025</v>
      </c>
      <c r="D109" s="77" t="n">
        <v>4</v>
      </c>
      <c r="E109" s="78" t="n">
        <v>45688</v>
      </c>
      <c r="F109" s="76" t="s">
        <v>209</v>
      </c>
      <c r="G109" s="76" t="s">
        <v>210</v>
      </c>
      <c r="H109" s="76" t="s">
        <v>206</v>
      </c>
      <c r="I109" s="79" t="n">
        <v>39331</v>
      </c>
      <c r="J109" s="79" t="n">
        <v>28723</v>
      </c>
      <c r="K109" s="80" t="n">
        <v>0.89</v>
      </c>
      <c r="L109" s="79"/>
      <c r="M109" s="79" t="n">
        <v>79327</v>
      </c>
      <c r="N109" s="80" t="n">
        <v>0.01</v>
      </c>
      <c r="O109" s="80" t="n">
        <v>120.069999694824</v>
      </c>
      <c r="P109" s="47" t="n">
        <v>7</v>
      </c>
      <c r="Q109" s="66" t="s">
        <v>347</v>
      </c>
    </row>
    <row r="110" customFormat="false" ht="15" hidden="false" customHeight="false" outlineLevel="0" collapsed="false">
      <c r="A110" s="76" t="s">
        <v>173</v>
      </c>
      <c r="B110" s="76" t="s">
        <v>218</v>
      </c>
      <c r="C110" s="77" t="n">
        <v>2025</v>
      </c>
      <c r="D110" s="77" t="n">
        <v>3</v>
      </c>
      <c r="E110" s="78" t="n">
        <v>45596</v>
      </c>
      <c r="F110" s="76" t="s">
        <v>209</v>
      </c>
      <c r="G110" s="76" t="s">
        <v>210</v>
      </c>
      <c r="H110" s="76" t="s">
        <v>206</v>
      </c>
      <c r="I110" s="79" t="n">
        <v>35082</v>
      </c>
      <c r="J110" s="79" t="n">
        <v>26156</v>
      </c>
      <c r="K110" s="80" t="n">
        <v>0.81</v>
      </c>
      <c r="L110" s="79" t="n">
        <v>24774</v>
      </c>
      <c r="M110" s="79" t="n">
        <v>65899</v>
      </c>
      <c r="N110" s="80" t="n">
        <v>0.01</v>
      </c>
      <c r="O110" s="80" t="n">
        <v>132.759994506836</v>
      </c>
      <c r="P110" s="47" t="n">
        <v>8</v>
      </c>
      <c r="Q110" s="66" t="s">
        <v>348</v>
      </c>
    </row>
    <row r="111" customFormat="false" ht="15" hidden="false" customHeight="false" outlineLevel="0" collapsed="false">
      <c r="A111" s="76" t="s">
        <v>173</v>
      </c>
      <c r="B111" s="76" t="s">
        <v>220</v>
      </c>
      <c r="C111" s="77" t="n">
        <v>2025</v>
      </c>
      <c r="D111" s="77" t="n">
        <v>2</v>
      </c>
      <c r="E111" s="78" t="n">
        <v>45501</v>
      </c>
      <c r="F111" s="76" t="s">
        <v>209</v>
      </c>
      <c r="G111" s="76" t="s">
        <v>210</v>
      </c>
      <c r="H111" s="76" t="s">
        <v>206</v>
      </c>
      <c r="I111" s="79" t="n">
        <v>30040</v>
      </c>
      <c r="J111" s="79" t="n">
        <v>22574</v>
      </c>
      <c r="K111" s="80"/>
      <c r="L111" s="79" t="n">
        <v>24848</v>
      </c>
      <c r="M111" s="79" t="n">
        <v>58157</v>
      </c>
      <c r="N111" s="80" t="n">
        <v>0.01</v>
      </c>
      <c r="O111" s="80" t="n">
        <v>113.059997558594</v>
      </c>
      <c r="P111" s="47" t="n">
        <v>9</v>
      </c>
      <c r="Q111" s="66" t="s">
        <v>349</v>
      </c>
    </row>
    <row r="112" customFormat="false" ht="15" hidden="false" customHeight="false" outlineLevel="0" collapsed="false">
      <c r="A112" s="76" t="s">
        <v>173</v>
      </c>
      <c r="B112" s="76" t="s">
        <v>222</v>
      </c>
      <c r="C112" s="77" t="n">
        <v>2025</v>
      </c>
      <c r="D112" s="77" t="n">
        <v>1</v>
      </c>
      <c r="E112" s="78" t="n">
        <v>45410</v>
      </c>
      <c r="F112" s="76" t="s">
        <v>209</v>
      </c>
      <c r="G112" s="76" t="s">
        <v>210</v>
      </c>
      <c r="H112" s="76" t="s">
        <v>206</v>
      </c>
      <c r="I112" s="79" t="n">
        <v>26044</v>
      </c>
      <c r="J112" s="79" t="n">
        <v>20406</v>
      </c>
      <c r="K112" s="80"/>
      <c r="L112" s="79" t="n">
        <v>24890</v>
      </c>
      <c r="M112" s="79" t="n">
        <v>49142</v>
      </c>
      <c r="N112" s="80"/>
      <c r="O112" s="80" t="n">
        <v>87.7350006103516</v>
      </c>
      <c r="P112" s="47" t="n">
        <v>10</v>
      </c>
      <c r="Q112" s="66" t="s">
        <v>350</v>
      </c>
    </row>
    <row r="113" customFormat="false" ht="15" hidden="false" customHeight="false" outlineLevel="0" collapsed="false">
      <c r="A113" s="76" t="s">
        <v>173</v>
      </c>
      <c r="B113" s="76" t="s">
        <v>224</v>
      </c>
      <c r="C113" s="77" t="n">
        <v>2024</v>
      </c>
      <c r="D113" s="77" t="n">
        <v>4</v>
      </c>
      <c r="E113" s="78" t="n">
        <v>45322</v>
      </c>
      <c r="F113" s="76" t="s">
        <v>209</v>
      </c>
      <c r="G113" s="76" t="s">
        <v>210</v>
      </c>
      <c r="H113" s="76" t="s">
        <v>206</v>
      </c>
      <c r="I113" s="79" t="n">
        <v>22103</v>
      </c>
      <c r="J113" s="79" t="n">
        <v>16791</v>
      </c>
      <c r="K113" s="80" t="n">
        <v>0.52</v>
      </c>
      <c r="L113" s="79" t="n">
        <v>24940</v>
      </c>
      <c r="M113" s="79" t="n">
        <v>42978</v>
      </c>
      <c r="N113" s="80" t="n">
        <v>0.004</v>
      </c>
      <c r="O113" s="80" t="n">
        <v>61.5270004272461</v>
      </c>
      <c r="P113" s="47" t="n">
        <v>11</v>
      </c>
      <c r="Q113" s="66" t="s">
        <v>351</v>
      </c>
    </row>
    <row r="114" customFormat="false" ht="15" hidden="false" customHeight="false" outlineLevel="0" collapsed="false">
      <c r="A114" s="76" t="s">
        <v>173</v>
      </c>
      <c r="B114" s="76" t="s">
        <v>226</v>
      </c>
      <c r="C114" s="77" t="n">
        <v>2024</v>
      </c>
      <c r="D114" s="77" t="n">
        <v>3</v>
      </c>
      <c r="E114" s="78" t="n">
        <v>45230</v>
      </c>
      <c r="F114" s="76" t="s">
        <v>209</v>
      </c>
      <c r="G114" s="76" t="s">
        <v>210</v>
      </c>
      <c r="H114" s="76" t="s">
        <v>206</v>
      </c>
      <c r="I114" s="79" t="n">
        <v>18120</v>
      </c>
      <c r="J114" s="79" t="n">
        <v>13400</v>
      </c>
      <c r="K114" s="80" t="n">
        <v>0.4</v>
      </c>
      <c r="L114" s="79" t="n">
        <v>24897.5</v>
      </c>
      <c r="M114" s="79" t="n">
        <v>33265</v>
      </c>
      <c r="N114" s="80" t="n">
        <v>0.004</v>
      </c>
      <c r="O114" s="80" t="n">
        <v>40.7799987792969</v>
      </c>
      <c r="P114" s="47" t="n">
        <v>12</v>
      </c>
      <c r="Q114" s="66" t="s">
        <v>352</v>
      </c>
    </row>
    <row r="115" customFormat="false" ht="15" hidden="false" customHeight="false" outlineLevel="0" collapsed="false">
      <c r="A115" s="76" t="s">
        <v>173</v>
      </c>
      <c r="B115" s="76" t="s">
        <v>228</v>
      </c>
      <c r="C115" s="77" t="n">
        <v>2024</v>
      </c>
      <c r="D115" s="77" t="n">
        <v>2</v>
      </c>
      <c r="E115" s="78" t="n">
        <v>45138</v>
      </c>
      <c r="F115" s="76" t="s">
        <v>209</v>
      </c>
      <c r="G115" s="76" t="s">
        <v>210</v>
      </c>
      <c r="H115" s="76" t="s">
        <v>206</v>
      </c>
      <c r="I115" s="79" t="n">
        <v>13507</v>
      </c>
      <c r="J115" s="79" t="n">
        <v>9462</v>
      </c>
      <c r="K115" s="80" t="n">
        <v>0.27</v>
      </c>
      <c r="L115" s="79" t="n">
        <v>24994</v>
      </c>
      <c r="M115" s="79" t="n">
        <v>27501</v>
      </c>
      <c r="N115" s="80" t="n">
        <v>0.004</v>
      </c>
      <c r="O115" s="80" t="n">
        <v>46.7290000915527</v>
      </c>
      <c r="P115" s="47" t="n">
        <v>13</v>
      </c>
      <c r="Q115" s="66" t="s">
        <v>353</v>
      </c>
    </row>
    <row r="116" customFormat="false" ht="15" hidden="false" customHeight="false" outlineLevel="0" collapsed="false">
      <c r="A116" s="76" t="s">
        <v>173</v>
      </c>
      <c r="B116" s="76" t="s">
        <v>230</v>
      </c>
      <c r="C116" s="77" t="n">
        <v>2024</v>
      </c>
      <c r="D116" s="77" t="n">
        <v>1</v>
      </c>
      <c r="E116" s="78" t="n">
        <v>45046</v>
      </c>
      <c r="F116" s="76" t="s">
        <v>209</v>
      </c>
      <c r="G116" s="76" t="s">
        <v>210</v>
      </c>
      <c r="H116" s="76" t="s">
        <v>206</v>
      </c>
      <c r="I116" s="79" t="n">
        <v>7192</v>
      </c>
      <c r="J116" s="79" t="n">
        <v>4648</v>
      </c>
      <c r="K116" s="80" t="n">
        <v>0.11</v>
      </c>
      <c r="L116" s="79" t="n">
        <v>24900</v>
      </c>
      <c r="M116" s="79" t="n">
        <v>24520</v>
      </c>
      <c r="N116" s="80" t="n">
        <v>0.004</v>
      </c>
      <c r="O116" s="80" t="n">
        <v>27.7490005493164</v>
      </c>
      <c r="P116" s="47" t="n">
        <v>14</v>
      </c>
      <c r="Q116" s="66" t="s">
        <v>354</v>
      </c>
    </row>
    <row r="117" customFormat="false" ht="15" hidden="false" customHeight="false" outlineLevel="0" collapsed="false">
      <c r="A117" s="76" t="s">
        <v>173</v>
      </c>
      <c r="B117" s="76" t="s">
        <v>232</v>
      </c>
      <c r="C117" s="77" t="n">
        <v>2023</v>
      </c>
      <c r="D117" s="77" t="n">
        <v>4</v>
      </c>
      <c r="E117" s="78" t="n">
        <v>44957</v>
      </c>
      <c r="F117" s="76" t="s">
        <v>209</v>
      </c>
      <c r="G117" s="76" t="s">
        <v>210</v>
      </c>
      <c r="H117" s="76" t="s">
        <v>206</v>
      </c>
      <c r="I117" s="79" t="n">
        <v>6051</v>
      </c>
      <c r="J117" s="79" t="n">
        <v>3833</v>
      </c>
      <c r="K117" s="80" t="n">
        <v>0.09</v>
      </c>
      <c r="L117" s="79"/>
      <c r="M117" s="79" t="n">
        <v>22101</v>
      </c>
      <c r="N117" s="80" t="n">
        <v>0.004</v>
      </c>
      <c r="O117" s="80" t="n">
        <v>19.5370006561279</v>
      </c>
      <c r="P117" s="47" t="n">
        <v>15</v>
      </c>
      <c r="Q117" s="66" t="s">
        <v>355</v>
      </c>
    </row>
    <row r="118" customFormat="false" ht="15" hidden="false" customHeight="false" outlineLevel="0" collapsed="false">
      <c r="A118" s="76" t="s">
        <v>173</v>
      </c>
      <c r="B118" s="76" t="s">
        <v>234</v>
      </c>
      <c r="C118" s="77" t="n">
        <v>2023</v>
      </c>
      <c r="D118" s="77" t="n">
        <v>3</v>
      </c>
      <c r="E118" s="78" t="n">
        <v>44865</v>
      </c>
      <c r="F118" s="76" t="s">
        <v>209</v>
      </c>
      <c r="G118" s="76" t="s">
        <v>210</v>
      </c>
      <c r="H118" s="76" t="s">
        <v>206</v>
      </c>
      <c r="I118" s="79" t="n">
        <v>5931</v>
      </c>
      <c r="J118" s="79" t="n">
        <v>3177</v>
      </c>
      <c r="K118" s="80" t="n">
        <v>0.06</v>
      </c>
      <c r="L118" s="79" t="n">
        <v>24990</v>
      </c>
      <c r="M118" s="79" t="n">
        <v>21349</v>
      </c>
      <c r="N118" s="80" t="n">
        <v>0.004</v>
      </c>
      <c r="O118" s="80" t="n">
        <v>13.4969997406006</v>
      </c>
      <c r="P118" s="47" t="n">
        <v>16</v>
      </c>
      <c r="Q118" s="66" t="s">
        <v>356</v>
      </c>
    </row>
    <row r="119" customFormat="false" ht="15" hidden="false" customHeight="false" outlineLevel="0" collapsed="false">
      <c r="A119" s="76" t="s">
        <v>173</v>
      </c>
      <c r="B119" s="76" t="s">
        <v>236</v>
      </c>
      <c r="C119" s="77" t="n">
        <v>2023</v>
      </c>
      <c r="D119" s="77" t="n">
        <v>2</v>
      </c>
      <c r="E119" s="78" t="n">
        <v>44773</v>
      </c>
      <c r="F119" s="76" t="s">
        <v>209</v>
      </c>
      <c r="G119" s="76" t="s">
        <v>210</v>
      </c>
      <c r="H119" s="76" t="s">
        <v>206</v>
      </c>
      <c r="I119" s="79" t="n">
        <v>6704</v>
      </c>
      <c r="J119" s="79" t="n">
        <v>2915</v>
      </c>
      <c r="K119" s="80" t="n">
        <v>0.05</v>
      </c>
      <c r="L119" s="79" t="n">
        <v>25160</v>
      </c>
      <c r="M119" s="79" t="n">
        <v>23851</v>
      </c>
      <c r="N119" s="80" t="n">
        <v>0.004</v>
      </c>
      <c r="O119" s="80" t="n">
        <v>18.1630001068115</v>
      </c>
      <c r="P119" s="47" t="n">
        <v>17</v>
      </c>
      <c r="Q119" s="66" t="s">
        <v>357</v>
      </c>
    </row>
    <row r="120" customFormat="false" ht="15" hidden="false" customHeight="false" outlineLevel="0" collapsed="false">
      <c r="A120" s="76" t="s">
        <v>173</v>
      </c>
      <c r="B120" s="76" t="s">
        <v>238</v>
      </c>
      <c r="C120" s="77" t="n">
        <v>2023</v>
      </c>
      <c r="D120" s="77" t="n">
        <v>1</v>
      </c>
      <c r="E120" s="78" t="n">
        <v>44681</v>
      </c>
      <c r="F120" s="76" t="s">
        <v>209</v>
      </c>
      <c r="G120" s="76" t="s">
        <v>210</v>
      </c>
      <c r="H120" s="76" t="s">
        <v>206</v>
      </c>
      <c r="I120" s="79" t="n">
        <v>8288</v>
      </c>
      <c r="J120" s="79" t="n">
        <v>5431</v>
      </c>
      <c r="K120" s="80" t="n">
        <v>0.14</v>
      </c>
      <c r="L120" s="79" t="n">
        <v>25370</v>
      </c>
      <c r="M120" s="79" t="n">
        <v>26320</v>
      </c>
      <c r="N120" s="80" t="n">
        <v>0.004</v>
      </c>
      <c r="O120" s="80" t="n">
        <v>18.5470008850098</v>
      </c>
      <c r="P120" s="47" t="n">
        <v>18</v>
      </c>
      <c r="Q120" s="66" t="s">
        <v>358</v>
      </c>
    </row>
    <row r="121" customFormat="false" ht="15" hidden="false" customHeight="false" outlineLevel="0" collapsed="false">
      <c r="A121" s="76" t="s">
        <v>173</v>
      </c>
      <c r="B121" s="76" t="s">
        <v>240</v>
      </c>
      <c r="C121" s="77" t="n">
        <v>2022</v>
      </c>
      <c r="D121" s="77" t="n">
        <v>4</v>
      </c>
      <c r="E121" s="78" t="n">
        <v>44592</v>
      </c>
      <c r="F121" s="76" t="s">
        <v>209</v>
      </c>
      <c r="G121" s="76" t="s">
        <v>210</v>
      </c>
      <c r="H121" s="76" t="s">
        <v>206</v>
      </c>
      <c r="I121" s="79" t="n">
        <v>7643</v>
      </c>
      <c r="J121" s="79" t="n">
        <v>4999</v>
      </c>
      <c r="K121" s="80" t="n">
        <v>0.13</v>
      </c>
      <c r="L121" s="79"/>
      <c r="M121" s="79" t="n">
        <v>26612</v>
      </c>
      <c r="N121" s="80" t="n">
        <v>0.004</v>
      </c>
      <c r="O121" s="80" t="n">
        <v>24.4860000610352</v>
      </c>
      <c r="P121" s="47" t="n">
        <v>19</v>
      </c>
      <c r="Q121" s="66" t="s">
        <v>359</v>
      </c>
    </row>
    <row r="122" customFormat="false" ht="15" hidden="false" customHeight="false" outlineLevel="0" collapsed="false">
      <c r="A122" s="76" t="s">
        <v>173</v>
      </c>
      <c r="B122" s="76" t="s">
        <v>242</v>
      </c>
      <c r="C122" s="77" t="n">
        <v>2022</v>
      </c>
      <c r="D122" s="77" t="n">
        <v>3</v>
      </c>
      <c r="E122" s="78" t="n">
        <v>44500</v>
      </c>
      <c r="F122" s="76" t="s">
        <v>209</v>
      </c>
      <c r="G122" s="76" t="s">
        <v>210</v>
      </c>
      <c r="H122" s="76" t="s">
        <v>206</v>
      </c>
      <c r="I122" s="79" t="n">
        <v>7103</v>
      </c>
      <c r="J122" s="79" t="n">
        <v>4631</v>
      </c>
      <c r="K122" s="80" t="n">
        <v>0.12</v>
      </c>
      <c r="L122" s="79" t="n">
        <v>25380</v>
      </c>
      <c r="M122" s="79" t="n">
        <v>23798</v>
      </c>
      <c r="N122" s="80" t="n">
        <v>0.004</v>
      </c>
      <c r="O122" s="80" t="n">
        <v>25.5669994354248</v>
      </c>
      <c r="P122" s="47" t="n">
        <v>20</v>
      </c>
      <c r="Q122" s="66" t="s">
        <v>360</v>
      </c>
    </row>
    <row r="123" customFormat="false" ht="15" hidden="false" customHeight="false" outlineLevel="0" collapsed="false">
      <c r="A123" s="76" t="s">
        <v>173</v>
      </c>
      <c r="B123" s="76" t="s">
        <v>244</v>
      </c>
      <c r="C123" s="77" t="n">
        <v>2022</v>
      </c>
      <c r="D123" s="77" t="n">
        <v>2</v>
      </c>
      <c r="E123" s="78" t="n">
        <v>44408</v>
      </c>
      <c r="F123" s="76" t="s">
        <v>209</v>
      </c>
      <c r="G123" s="76" t="s">
        <v>210</v>
      </c>
      <c r="H123" s="76" t="s">
        <v>206</v>
      </c>
      <c r="I123" s="79" t="n">
        <v>6507</v>
      </c>
      <c r="J123" s="79" t="n">
        <v>4215</v>
      </c>
      <c r="K123" s="80" t="n">
        <v>0.1</v>
      </c>
      <c r="L123" s="79" t="n">
        <v>25320</v>
      </c>
      <c r="M123" s="79" t="n">
        <v>21147</v>
      </c>
      <c r="N123" s="80" t="n">
        <v>0.004</v>
      </c>
      <c r="O123" s="80" t="n">
        <v>19.4990005493164</v>
      </c>
      <c r="P123" s="47" t="n">
        <v>21</v>
      </c>
      <c r="Q123" s="66" t="s">
        <v>361</v>
      </c>
    </row>
    <row r="124" customFormat="false" ht="15" hidden="false" customHeight="false" outlineLevel="0" collapsed="false">
      <c r="A124" s="76" t="s">
        <v>173</v>
      </c>
      <c r="B124" s="76" t="s">
        <v>246</v>
      </c>
      <c r="C124" s="77" t="n">
        <v>2022</v>
      </c>
      <c r="D124" s="77" t="n">
        <v>1</v>
      </c>
      <c r="E124" s="78" t="n">
        <v>44316</v>
      </c>
      <c r="F124" s="76" t="s">
        <v>209</v>
      </c>
      <c r="G124" s="76" t="s">
        <v>210</v>
      </c>
      <c r="H124" s="76" t="s">
        <v>206</v>
      </c>
      <c r="I124" s="79" t="n">
        <v>5661</v>
      </c>
      <c r="J124" s="79" t="n">
        <v>3629</v>
      </c>
      <c r="K124" s="80" t="n">
        <v>0.09</v>
      </c>
      <c r="L124" s="79" t="n">
        <v>25280</v>
      </c>
      <c r="M124" s="79" t="n">
        <v>18774</v>
      </c>
      <c r="N124" s="80" t="n">
        <v>0.004</v>
      </c>
      <c r="O124" s="80" t="n">
        <v>15.0094995498657</v>
      </c>
      <c r="P124" s="47" t="n">
        <v>22</v>
      </c>
      <c r="Q124" s="66" t="s">
        <v>362</v>
      </c>
    </row>
    <row r="125" customFormat="false" ht="15" hidden="false" customHeight="false" outlineLevel="0" collapsed="false">
      <c r="A125" s="76" t="s">
        <v>173</v>
      </c>
      <c r="B125" s="76" t="s">
        <v>248</v>
      </c>
      <c r="C125" s="77" t="n">
        <v>2021</v>
      </c>
      <c r="D125" s="77" t="n">
        <v>4</v>
      </c>
      <c r="E125" s="78" t="n">
        <v>44227</v>
      </c>
      <c r="F125" s="76" t="s">
        <v>209</v>
      </c>
      <c r="G125" s="76" t="s">
        <v>210</v>
      </c>
      <c r="H125" s="76" t="s">
        <v>206</v>
      </c>
      <c r="I125" s="79" t="n">
        <v>5003</v>
      </c>
      <c r="J125" s="79" t="n">
        <v>3156</v>
      </c>
      <c r="K125" s="80" t="n">
        <v>0.08</v>
      </c>
      <c r="L125" s="79"/>
      <c r="M125" s="79" t="n">
        <v>16893</v>
      </c>
      <c r="N125" s="80" t="n">
        <v>0.004</v>
      </c>
      <c r="O125" s="80" t="n">
        <v>12.9897499084473</v>
      </c>
      <c r="P125" s="47" t="n">
        <v>23</v>
      </c>
      <c r="Q125" s="66" t="s">
        <v>363</v>
      </c>
    </row>
    <row r="126" customFormat="false" ht="15" hidden="false" customHeight="false" outlineLevel="0" collapsed="false">
      <c r="A126" s="76" t="s">
        <v>173</v>
      </c>
      <c r="B126" s="76" t="s">
        <v>250</v>
      </c>
      <c r="C126" s="77" t="n">
        <v>2021</v>
      </c>
      <c r="D126" s="77" t="n">
        <v>3</v>
      </c>
      <c r="E126" s="78" t="n">
        <v>44135</v>
      </c>
      <c r="F126" s="76" t="s">
        <v>209</v>
      </c>
      <c r="G126" s="76" t="s">
        <v>210</v>
      </c>
      <c r="H126" s="76" t="s">
        <v>206</v>
      </c>
      <c r="I126" s="79" t="n">
        <v>4726</v>
      </c>
      <c r="J126" s="79" t="n">
        <v>2960</v>
      </c>
      <c r="K126" s="80" t="n">
        <v>0.07</v>
      </c>
      <c r="L126" s="79" t="n">
        <v>25200</v>
      </c>
      <c r="M126" s="79" t="n">
        <v>15334</v>
      </c>
      <c r="N126" s="80" t="n">
        <v>0.004</v>
      </c>
      <c r="O126" s="80" t="n">
        <v>12.5340003967285</v>
      </c>
      <c r="P126" s="47" t="n">
        <v>24</v>
      </c>
      <c r="Q126" s="66" t="s">
        <v>364</v>
      </c>
    </row>
    <row r="127" customFormat="false" ht="15" hidden="false" customHeight="false" outlineLevel="0" collapsed="false">
      <c r="A127" s="76" t="s">
        <v>173</v>
      </c>
      <c r="B127" s="76" t="s">
        <v>252</v>
      </c>
      <c r="C127" s="77" t="n">
        <v>2021</v>
      </c>
      <c r="D127" s="77" t="n">
        <v>2</v>
      </c>
      <c r="E127" s="78" t="n">
        <v>44043</v>
      </c>
      <c r="F127" s="76" t="s">
        <v>209</v>
      </c>
      <c r="G127" s="76" t="s">
        <v>210</v>
      </c>
      <c r="H127" s="76" t="s">
        <v>206</v>
      </c>
      <c r="I127" s="79" t="n">
        <v>3866</v>
      </c>
      <c r="J127" s="79" t="n">
        <v>2275</v>
      </c>
      <c r="K127" s="80" t="n">
        <v>0.05</v>
      </c>
      <c r="L127" s="79" t="n">
        <v>25040</v>
      </c>
      <c r="M127" s="79" t="n">
        <v>13914</v>
      </c>
      <c r="N127" s="80"/>
      <c r="O127" s="80" t="n">
        <v>10.6147499084473</v>
      </c>
      <c r="P127" s="47" t="n">
        <v>25</v>
      </c>
      <c r="Q127" s="66" t="s">
        <v>365</v>
      </c>
    </row>
    <row r="129" customFormat="false" ht="15" hidden="false" customHeight="false" outlineLevel="0" collapsed="false">
      <c r="A129" s="81" t="s">
        <v>366</v>
      </c>
    </row>
    <row r="130" customFormat="false" ht="15" hidden="false" customHeight="false" outlineLevel="0" collapsed="false">
      <c r="A130" s="41" t="s">
        <v>367</v>
      </c>
    </row>
    <row r="131" customFormat="false" ht="15" hidden="false" customHeight="false" outlineLevel="0" collapsed="false">
      <c r="A131" s="82" t="s">
        <v>368</v>
      </c>
      <c r="C131" s="24" t="s">
        <v>369</v>
      </c>
    </row>
    <row r="132" customFormat="false" ht="15" hidden="false" customHeight="false" outlineLevel="0" collapsed="false">
      <c r="A132" s="82" t="s">
        <v>370</v>
      </c>
      <c r="C132" s="24" t="s">
        <v>369</v>
      </c>
    </row>
    <row r="133" customFormat="false" ht="15" hidden="false" customHeight="false" outlineLevel="0" collapsed="false">
      <c r="A133" s="82" t="s">
        <v>371</v>
      </c>
      <c r="C133" s="24" t="s">
        <v>369</v>
      </c>
    </row>
    <row r="134" customFormat="false" ht="15" hidden="false" customHeight="false" outlineLevel="0" collapsed="false">
      <c r="A134" s="82" t="s">
        <v>372</v>
      </c>
      <c r="C134" s="24" t="s">
        <v>369</v>
      </c>
    </row>
    <row r="135" customFormat="false" ht="15" hidden="false" customHeight="false" outlineLevel="0" collapsed="false">
      <c r="A135" s="82" t="s">
        <v>373</v>
      </c>
      <c r="C135" s="24" t="s">
        <v>369</v>
      </c>
    </row>
    <row r="136" customFormat="false" ht="15" hidden="false" customHeight="false" outlineLevel="0" collapsed="false">
      <c r="A136" s="82" t="s">
        <v>374</v>
      </c>
      <c r="C136" s="24" t="s">
        <v>375</v>
      </c>
    </row>
    <row r="137" customFormat="false" ht="15" hidden="false" customHeight="false" outlineLevel="0" collapsed="false">
      <c r="A137" s="82" t="s">
        <v>376</v>
      </c>
      <c r="C137" s="24" t="s">
        <v>375</v>
      </c>
    </row>
    <row r="138" customFormat="false" ht="15" hidden="false" customHeight="false" outlineLevel="0" collapsed="false">
      <c r="A138" s="82" t="s">
        <v>377</v>
      </c>
      <c r="C138" s="25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4" t="s">
        <v>382</v>
      </c>
    </row>
    <row r="141" customFormat="false" ht="15" hidden="false" customHeight="false" outlineLevel="0" collapsed="false">
      <c r="A141" s="82" t="s">
        <v>383</v>
      </c>
      <c r="C141" s="25" t="s">
        <v>384</v>
      </c>
    </row>
    <row r="142" customFormat="false" ht="15" hidden="false" customHeight="false" outlineLevel="0" collapsed="false">
      <c r="A142" s="82" t="s">
        <v>385</v>
      </c>
      <c r="C142" s="24" t="s">
        <v>386</v>
      </c>
    </row>
    <row r="143" customFormat="false" ht="15" hidden="false" customHeight="false" outlineLevel="0" collapsed="false">
      <c r="A143" s="82" t="s">
        <v>387</v>
      </c>
      <c r="C143" s="25" t="s">
        <v>388</v>
      </c>
    </row>
    <row r="144" customFormat="false" ht="15" hidden="false" customHeight="false" outlineLevel="0" collapsed="false">
      <c r="A144" s="82" t="s">
        <v>389</v>
      </c>
      <c r="C144" s="24" t="s">
        <v>47</v>
      </c>
    </row>
    <row r="145" customFormat="false" ht="15" hidden="false" customHeight="false" outlineLevel="0" collapsed="false">
      <c r="A145" s="82" t="s">
        <v>390</v>
      </c>
      <c r="C145" s="24" t="s">
        <v>391</v>
      </c>
    </row>
    <row r="147" customFormat="false" ht="15" hidden="false" customHeight="false" outlineLevel="0" collapsed="false">
      <c r="A147" s="24" t="s">
        <v>392</v>
      </c>
    </row>
  </sheetData>
  <autoFilter ref="A1:Q1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393</v>
      </c>
      <c r="C1" s="14" t="s">
        <v>394</v>
      </c>
      <c r="D1" s="14" t="s">
        <v>395</v>
      </c>
      <c r="E1" s="14" t="s">
        <v>396</v>
      </c>
      <c r="F1" s="14" t="s">
        <v>397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46262</v>
      </c>
    </row>
    <row r="3" customFormat="false" ht="15" hidden="false" customHeight="false" outlineLevel="0" collapsed="false">
      <c r="A3" s="76" t="s">
        <v>170</v>
      </c>
      <c r="B3" s="80" t="n">
        <v>19.75306</v>
      </c>
      <c r="C3" s="80" t="n">
        <v>23.57328</v>
      </c>
      <c r="D3" s="78" t="n">
        <v>46568</v>
      </c>
      <c r="E3" s="77" t="n">
        <v>25</v>
      </c>
      <c r="F3" s="78" t="n">
        <v>46262</v>
      </c>
    </row>
    <row r="4" customFormat="false" ht="15" hidden="false" customHeight="false" outlineLevel="0" collapsed="false">
      <c r="A4" s="76" t="s">
        <v>173</v>
      </c>
      <c r="B4" s="80" t="n">
        <v>9.05163</v>
      </c>
      <c r="C4" s="80" t="n">
        <v>13.12766</v>
      </c>
      <c r="D4" s="78" t="n">
        <v>46418</v>
      </c>
      <c r="E4" s="77" t="n">
        <v>4</v>
      </c>
      <c r="F4" s="78" t="n">
        <v>46262</v>
      </c>
    </row>
    <row r="5" customFormat="false" ht="15" hidden="false" customHeight="false" outlineLevel="0" collapsed="false">
      <c r="A5" s="76" t="s">
        <v>178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46262</v>
      </c>
    </row>
    <row r="6" customFormat="false" ht="15" hidden="false" customHeight="false" outlineLevel="0" collapsed="false">
      <c r="A6" s="76" t="s">
        <v>182</v>
      </c>
      <c r="B6" s="80" t="n">
        <v>24.41188</v>
      </c>
      <c r="C6" s="80" t="n">
        <v>27.49039</v>
      </c>
      <c r="D6" s="78" t="n">
        <v>46356</v>
      </c>
      <c r="E6" s="77" t="n">
        <v>29</v>
      </c>
      <c r="F6" s="78" t="n">
        <v>46262</v>
      </c>
    </row>
    <row r="8" customFormat="false" ht="15" hidden="false" customHeight="false" outlineLevel="0" collapsed="false">
      <c r="A8" s="2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399</v>
      </c>
      <c r="C1" s="14" t="s">
        <v>400</v>
      </c>
      <c r="D1" s="14" t="s">
        <v>401</v>
      </c>
      <c r="E1" s="14" t="s">
        <v>397</v>
      </c>
    </row>
    <row r="2" customFormat="false" ht="15" hidden="false" customHeight="false" outlineLevel="0" collapsed="false">
      <c r="A2" s="76" t="s">
        <v>84</v>
      </c>
      <c r="B2" s="80" t="n">
        <v>314.579986572266</v>
      </c>
      <c r="C2" s="78" t="n">
        <v>46262</v>
      </c>
      <c r="D2" s="78" t="n">
        <v>46324</v>
      </c>
      <c r="E2" s="78" t="n">
        <v>46262</v>
      </c>
    </row>
    <row r="3" customFormat="false" ht="15" hidden="false" customHeight="false" outlineLevel="0" collapsed="false">
      <c r="A3" s="76" t="s">
        <v>170</v>
      </c>
      <c r="B3" s="80" t="n">
        <v>505.059997558594</v>
      </c>
      <c r="C3" s="78" t="n">
        <v>46262</v>
      </c>
      <c r="D3" s="78" t="n">
        <v>46323</v>
      </c>
      <c r="E3" s="78" t="n">
        <v>46262</v>
      </c>
    </row>
    <row r="4" customFormat="false" ht="15" hidden="false" customHeight="false" outlineLevel="0" collapsed="false">
      <c r="A4" s="76" t="s">
        <v>173</v>
      </c>
      <c r="B4" s="80" t="n">
        <v>227.979995727539</v>
      </c>
      <c r="C4" s="78" t="n">
        <v>46262</v>
      </c>
      <c r="D4" s="78" t="n">
        <v>46343</v>
      </c>
      <c r="E4" s="78" t="n">
        <v>46262</v>
      </c>
    </row>
    <row r="5" customFormat="false" ht="15" hidden="false" customHeight="false" outlineLevel="0" collapsed="false">
      <c r="A5" s="76" t="s">
        <v>178</v>
      </c>
      <c r="B5" s="80" t="n">
        <v>934.659973144531</v>
      </c>
      <c r="C5" s="78" t="n">
        <v>46262</v>
      </c>
      <c r="D5" s="78" t="n">
        <v>46289</v>
      </c>
      <c r="E5" s="78" t="n">
        <v>46262</v>
      </c>
    </row>
    <row r="6" customFormat="false" ht="15" hidden="false" customHeight="false" outlineLevel="0" collapsed="false">
      <c r="A6" s="76" t="s">
        <v>182</v>
      </c>
      <c r="B6" s="80" t="n">
        <v>289.149993896484</v>
      </c>
      <c r="C6" s="78" t="n">
        <v>46262</v>
      </c>
      <c r="D6" s="78" t="n">
        <v>46275</v>
      </c>
      <c r="E6" s="78" t="n">
        <v>46262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402</v>
      </c>
      <c r="F1" s="14" t="s">
        <v>403</v>
      </c>
      <c r="G1" s="14" t="s">
        <v>404</v>
      </c>
      <c r="H1" s="14" t="s">
        <v>405</v>
      </c>
      <c r="I1" s="14" t="s">
        <v>68</v>
      </c>
      <c r="J1" s="14" t="s">
        <v>56</v>
      </c>
      <c r="K1" s="14" t="s">
        <v>406</v>
      </c>
      <c r="L1" s="14" t="s">
        <v>407</v>
      </c>
      <c r="M1" s="14" t="s">
        <v>408</v>
      </c>
      <c r="N1" s="14" t="s">
        <v>58</v>
      </c>
      <c r="O1" s="14" t="s">
        <v>59</v>
      </c>
      <c r="P1" s="14" t="s">
        <v>409</v>
      </c>
      <c r="Q1" s="15" t="s">
        <v>47</v>
      </c>
      <c r="R1" s="15" t="s">
        <v>60</v>
      </c>
      <c r="S1" s="15" t="s">
        <v>410</v>
      </c>
      <c r="T1" s="15" t="s">
        <v>411</v>
      </c>
      <c r="U1" s="15" t="s">
        <v>412</v>
      </c>
      <c r="V1" s="15" t="s">
        <v>413</v>
      </c>
      <c r="W1" s="15" t="s">
        <v>64</v>
      </c>
      <c r="X1" s="15" t="s">
        <v>65</v>
      </c>
      <c r="Y1" s="14" t="s">
        <v>414</v>
      </c>
      <c r="Z1" s="15" t="s">
        <v>415</v>
      </c>
      <c r="AA1" s="15" t="s">
        <v>416</v>
      </c>
      <c r="AB1" s="14" t="s">
        <v>417</v>
      </c>
      <c r="AC1" s="14" t="s">
        <v>71</v>
      </c>
      <c r="AD1" s="15" t="s">
        <v>106</v>
      </c>
      <c r="AE1" s="15" t="s">
        <v>418</v>
      </c>
      <c r="AF1" s="14" t="s">
        <v>72</v>
      </c>
      <c r="AG1" s="14" t="s">
        <v>73</v>
      </c>
      <c r="AH1" s="14" t="s">
        <v>419</v>
      </c>
      <c r="AI1" s="15" t="s">
        <v>75</v>
      </c>
      <c r="AJ1" s="15" t="s">
        <v>76</v>
      </c>
      <c r="AK1" s="15" t="s">
        <v>420</v>
      </c>
      <c r="AL1" s="15" t="s">
        <v>86</v>
      </c>
      <c r="AM1" s="15" t="s">
        <v>87</v>
      </c>
      <c r="AN1" s="15" t="s">
        <v>88</v>
      </c>
      <c r="AO1" s="14" t="s">
        <v>421</v>
      </c>
      <c r="AP1" s="14" t="s">
        <v>422</v>
      </c>
      <c r="AQ1" s="14" t="s">
        <v>423</v>
      </c>
      <c r="AR1" s="14" t="s">
        <v>424</v>
      </c>
      <c r="AS1" s="14" t="s">
        <v>425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314.579986572266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9.4662844109589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36.0756865335167</v>
      </c>
      <c r="K2" s="52" t="n">
        <f aca="false">IF($A2="","",IFERROR(IF(G2&lt;=0,"N/M",D2/G2),"N/M"))</f>
        <v>35.5595832246959</v>
      </c>
      <c r="L2" s="52" t="n">
        <f aca="false">IF($A2="","",IFERROR(IF(H2&lt;=0,"N/M",D2/H2),"N/M"))</f>
        <v>33.2316221355111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1.11614448007453</v>
      </c>
      <c r="O2" s="51" t="n">
        <f aca="false">IF($A2="","",IFERROR(IF(OR(NOT(ISNUMBER(L2)),M2&lt;Config!$B$6),"N/M",L2/(M2*100)),"N/M"))</f>
        <v>4.07431116270585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0.00333778385408759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46262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505.059997558594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20.3705750136986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29.2280091179742</v>
      </c>
      <c r="K3" s="52" t="n">
        <f aca="false">IF($A3="","",IFERROR(IF(G3&lt;=0,"N/M",D3/G3),"N/M"))</f>
        <v>28.2615555079757</v>
      </c>
      <c r="L3" s="52" t="n">
        <f aca="false">IF($A3="","",IFERROR(IF(H3&lt;=0,"N/M",D3/H3),"N/M"))</f>
        <v>24.793605345895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1.09524737464057</v>
      </c>
      <c r="O3" s="51" t="n">
        <f aca="false">IF($A3="","",IFERROR(IF(OR(NOT(ISNUMBER(L3)),M3&lt;Config!$B$6),"N/M",L3/(M3*100)),"N/M"))</f>
        <v>1.28199311561582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0.00704866751912379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46262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227.979995727539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11.3855759452055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32.522110660134</v>
      </c>
      <c r="K4" s="52" t="n">
        <f aca="false">IF($A4="","",IFERROR(IF(G4&lt;=0,"N/M",D4/G4),"N/M"))</f>
        <v>28.3204963636694</v>
      </c>
      <c r="L4" s="52" t="n">
        <f aca="false">IF($A4="","",IFERROR(IF(H4&lt;=0,"N/M",D4/H4),"N/M"))</f>
        <v>20.0235804341143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0.335590475217614</v>
      </c>
      <c r="O4" s="51" t="n">
        <f aca="false">IF($A4="","",IFERROR(IF(OR(NOT(ISNUMBER(L4)),M4&lt;Config!$B$6),"N/M",L4/(M4*100)),"N/M"))</f>
        <v>0.44466316824175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0.00122817793335969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46262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934.659973144531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22.6880963561644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47.0150891923809</v>
      </c>
      <c r="K5" s="52" t="n">
        <f aca="false">IF($A5="","",IFERROR(IF(G5&lt;=0,"N/M",D5/G5),"N/M"))</f>
        <v>45.4283200204007</v>
      </c>
      <c r="L5" s="52" t="n">
        <f aca="false">IF($A5="","",IFERROR(IF(H5&lt;=0,"N/M",D5/H5),"N/M"))</f>
        <v>41.1960509366659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3.44056029278135</v>
      </c>
      <c r="O5" s="51" t="n">
        <f aca="false">IF($A5="","",IFERROR(IF(OR(NOT(ISNUMBER(L5)),M5&lt;Config!$B$6),"N/M",L5/(M5*100)),"N/M"))</f>
        <v>4.01060066349516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0.00574540491119289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46262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289.149993896484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26.6975682465753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12.6653523388736</v>
      </c>
      <c r="K6" s="52" t="n">
        <f aca="false">IF($A6="","",IFERROR(IF(G6&lt;=0,"N/M",D6/G6),"N/M"))</f>
        <v>12.2528764023742</v>
      </c>
      <c r="L6" s="52" t="n">
        <f aca="false">IF($A6="","",IFERROR(IF(H6&lt;=0,"N/M",D6/H6),"N/M"))</f>
        <v>10.8305742015876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0.768547696105024</v>
      </c>
      <c r="O6" s="51" t="n">
        <f aca="false">IF($A6="","",IFERROR(IF(OR(NOT(ISNUMBER(L6)),M6&lt;Config!$B$6),"N/M",L6/(M6*100)),"N/M"))</f>
        <v>0.85883975605164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46262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427</v>
      </c>
    </row>
    <row r="3" customFormat="false" ht="31.5" hidden="false" customHeight="true" outlineLevel="0" collapsed="false">
      <c r="A3" s="15" t="s">
        <v>428</v>
      </c>
      <c r="B3" s="15" t="s">
        <v>429</v>
      </c>
      <c r="C3" s="15" t="s">
        <v>430</v>
      </c>
    </row>
    <row r="4" customFormat="false" ht="15" hidden="false" customHeight="false" outlineLevel="0" collapsed="false">
      <c r="A4" s="5" t="s">
        <v>431</v>
      </c>
      <c r="B4" s="83" t="n">
        <v>24</v>
      </c>
      <c r="C4" s="25" t="s">
        <v>432</v>
      </c>
    </row>
    <row r="5" customFormat="false" ht="15" hidden="false" customHeight="false" outlineLevel="0" collapsed="false">
      <c r="A5" s="5" t="s">
        <v>433</v>
      </c>
      <c r="B5" s="83" t="n">
        <v>20</v>
      </c>
      <c r="C5" s="25" t="s">
        <v>434</v>
      </c>
    </row>
    <row r="6" customFormat="false" ht="15" hidden="false" customHeight="false" outlineLevel="0" collapsed="false">
      <c r="A6" s="2" t="s">
        <v>435</v>
      </c>
      <c r="B6" s="84" t="n">
        <v>0.05</v>
      </c>
      <c r="C6" s="24" t="s">
        <v>436</v>
      </c>
    </row>
    <row r="7" customFormat="false" ht="15" hidden="false" customHeight="false" outlineLevel="0" collapsed="false">
      <c r="A7" s="5" t="s">
        <v>437</v>
      </c>
      <c r="B7" s="83" t="n">
        <v>5</v>
      </c>
      <c r="C7" s="24" t="s">
        <v>438</v>
      </c>
    </row>
    <row r="8" customFormat="false" ht="15" hidden="false" customHeight="false" outlineLevel="0" collapsed="false">
      <c r="A8" s="2" t="s">
        <v>439</v>
      </c>
      <c r="B8" s="83" t="n">
        <v>365</v>
      </c>
      <c r="C8" s="25" t="s">
        <v>440</v>
      </c>
    </row>
    <row r="11" customFormat="false" ht="15" hidden="false" customHeight="false" outlineLevel="0" collapsed="false">
      <c r="A11" s="24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2026-08-28T06:27:20Z</dcterms:created>
  <dc:creator>openpyxl</dc:creator>
  <dc:description/>
  <dc:language>en-US</dc:language>
  <cp:lastModifiedBy/>
  <dcterms:modified xsi:type="dcterms:W3CDTF">2026-08-28T06:27:20Z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